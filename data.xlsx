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Ben\Documents\NTU\capstone\roundadabout\"/>
    </mc:Choice>
  </mc:AlternateContent>
  <xr:revisionPtr revIDLastSave="0" documentId="13_ncr:1_{9AF1E68A-AB56-4DE1-B27A-26F1994D5D76}" xr6:coauthVersionLast="47" xr6:coauthVersionMax="47" xr10:uidLastSave="{00000000-0000-0000-0000-000000000000}"/>
  <bookViews>
    <workbookView xWindow="-110" yWindow="-110" windowWidth="25820" windowHeight="15500" tabRatio="806" firstSheet="7" activeTab="11" xr2:uid="{00000000-000D-0000-FFFF-FFFF00000000}"/>
  </bookViews>
  <sheets>
    <sheet name="poisson" sheetId="35" r:id="rId1"/>
    <sheet name="result" sheetId="42" r:id="rId2"/>
    <sheet name="施工期表" sheetId="19" r:id="rId3"/>
    <sheet name="control group" sheetId="36" r:id="rId4"/>
    <sheet name="align_test" sheetId="38" r:id="rId5"/>
    <sheet name="1_Pair" sheetId="45" r:id="rId6"/>
    <sheet name="2_Pair" sheetId="44" r:id="rId7"/>
    <sheet name="Pair_test" sheetId="20" r:id="rId8"/>
    <sheet name="to_panel_data" sheetId="43" r:id="rId9"/>
    <sheet name="to_panel_data_test" sheetId="37" r:id="rId10"/>
    <sheet name="總表" sheetId="30" r:id="rId11"/>
    <sheet name="細項總表" sheetId="6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75" i="30" l="1"/>
  <c r="K77" i="30"/>
  <c r="K79" i="30"/>
  <c r="K81" i="30"/>
  <c r="K83" i="30"/>
  <c r="K85" i="30"/>
  <c r="K87" i="30"/>
  <c r="K89" i="30"/>
  <c r="K91" i="30"/>
  <c r="K92" i="30"/>
  <c r="K93" i="30"/>
  <c r="K95" i="30"/>
  <c r="K73" i="30"/>
  <c r="K71" i="30"/>
  <c r="K69" i="30"/>
  <c r="K67" i="30"/>
  <c r="K65" i="30"/>
  <c r="K63" i="30"/>
  <c r="K61" i="30"/>
  <c r="K59" i="30"/>
  <c r="K57" i="30"/>
  <c r="K55" i="30"/>
  <c r="K53" i="30"/>
  <c r="K37" i="30"/>
  <c r="K35" i="30"/>
  <c r="K33" i="30"/>
  <c r="K97" i="30"/>
  <c r="K29" i="30"/>
  <c r="K25" i="30"/>
  <c r="K27" i="30"/>
  <c r="K31" i="30"/>
  <c r="K39" i="30"/>
  <c r="K41" i="30"/>
  <c r="K43" i="30"/>
  <c r="K45" i="30"/>
  <c r="K47" i="30"/>
  <c r="K49" i="30"/>
  <c r="K51" i="30"/>
  <c r="K23" i="30"/>
  <c r="K21" i="30"/>
  <c r="K17" i="30"/>
  <c r="K15" i="30"/>
  <c r="K13" i="30"/>
  <c r="K11" i="30"/>
  <c r="K9" i="30"/>
  <c r="K7" i="30"/>
  <c r="K5" i="30"/>
  <c r="F15" i="35"/>
  <c r="F14" i="35"/>
  <c r="F13" i="35"/>
  <c r="F12" i="35"/>
  <c r="F11" i="35"/>
  <c r="F10" i="35"/>
  <c r="F9" i="35"/>
  <c r="F8" i="35"/>
  <c r="F7" i="35"/>
  <c r="F6" i="35"/>
  <c r="F5" i="35"/>
  <c r="F4" i="35"/>
  <c r="F32" i="35"/>
  <c r="F31" i="35"/>
  <c r="F30" i="35"/>
  <c r="F29" i="35"/>
  <c r="F28" i="35"/>
  <c r="F27" i="35"/>
  <c r="F26" i="35"/>
  <c r="F25" i="35"/>
  <c r="F24" i="35"/>
  <c r="F23" i="35"/>
  <c r="F22" i="35"/>
  <c r="F21" i="35"/>
  <c r="F49" i="35"/>
  <c r="F48" i="35"/>
  <c r="F47" i="35"/>
  <c r="F46" i="35"/>
  <c r="F45" i="35"/>
  <c r="F44" i="35"/>
  <c r="F43" i="35"/>
  <c r="F42" i="35"/>
  <c r="F41" i="35"/>
  <c r="F40" i="35"/>
  <c r="F39" i="35"/>
  <c r="F38" i="35"/>
</calcChain>
</file>

<file path=xl/sharedStrings.xml><?xml version="1.0" encoding="utf-8"?>
<sst xmlns="http://schemas.openxmlformats.org/spreadsheetml/2006/main" count="2977" uniqueCount="446">
  <si>
    <t>名稱</t>
    <phoneticPr fontId="1" type="noConversion"/>
  </si>
  <si>
    <t>經緯度</t>
    <phoneticPr fontId="1" type="noConversion"/>
  </si>
  <si>
    <t>施工年份</t>
    <phoneticPr fontId="1" type="noConversion"/>
  </si>
  <si>
    <t>潮州燒冷冰</t>
    <phoneticPr fontId="1" type="noConversion"/>
  </si>
  <si>
    <t>歸仁圓環</t>
    <phoneticPr fontId="1" type="noConversion"/>
  </si>
  <si>
    <t>9月</t>
  </si>
  <si>
    <t>10月</t>
  </si>
  <si>
    <t>10月</t>
    <phoneticPr fontId="1" type="noConversion"/>
  </si>
  <si>
    <t>11月</t>
  </si>
  <si>
    <t>11月</t>
    <phoneticPr fontId="1" type="noConversion"/>
  </si>
  <si>
    <t>12月</t>
  </si>
  <si>
    <t>12月</t>
    <phoneticPr fontId="1" type="noConversion"/>
  </si>
  <si>
    <t>1月</t>
  </si>
  <si>
    <t>1月</t>
    <phoneticPr fontId="1" type="noConversion"/>
  </si>
  <si>
    <t>2月</t>
  </si>
  <si>
    <t>3月</t>
  </si>
  <si>
    <t>4月</t>
  </si>
  <si>
    <t>5月</t>
  </si>
  <si>
    <t>6月</t>
  </si>
  <si>
    <t>7月</t>
  </si>
  <si>
    <t>8月</t>
  </si>
  <si>
    <t>統計</t>
    <phoneticPr fontId="1" type="noConversion"/>
  </si>
  <si>
    <t>單月</t>
    <phoneticPr fontId="1" type="noConversion"/>
  </si>
  <si>
    <t>總和</t>
    <phoneticPr fontId="1" type="noConversion"/>
  </si>
  <si>
    <t>111年9月設置科技執法；112年5月改建完成</t>
    <phoneticPr fontId="1" type="noConversion"/>
  </si>
  <si>
    <t>事故數量</t>
    <phoneticPr fontId="1" type="noConversion"/>
  </si>
  <si>
    <t>110年</t>
    <phoneticPr fontId="1" type="noConversion"/>
  </si>
  <si>
    <t>111年</t>
    <phoneticPr fontId="1" type="noConversion"/>
  </si>
  <si>
    <t>112年</t>
    <phoneticPr fontId="1" type="noConversion"/>
  </si>
  <si>
    <t>113年</t>
    <phoneticPr fontId="1" type="noConversion"/>
  </si>
  <si>
    <t>適應期</t>
    <phoneticPr fontId="1" type="noConversion"/>
  </si>
  <si>
    <t>芒果圓環</t>
    <phoneticPr fontId="1" type="noConversion"/>
  </si>
  <si>
    <t xml:space="preserve"> 113年11月結束工程。</t>
    <phoneticPr fontId="1" type="noConversion"/>
  </si>
  <si>
    <t>114年</t>
    <phoneticPr fontId="1" type="noConversion"/>
  </si>
  <si>
    <t>中興新村圓環</t>
    <phoneticPr fontId="1" type="noConversion"/>
  </si>
  <si>
    <t>三多商圈圓環</t>
    <phoneticPr fontId="1" type="noConversion"/>
  </si>
  <si>
    <t>111年12月9日標線改動結束</t>
    <phoneticPr fontId="1" type="noConversion"/>
  </si>
  <si>
    <t>115年1月12日至1月31日。</t>
    <phoneticPr fontId="1" type="noConversion"/>
  </si>
  <si>
    <t>113年2月27日標線改動結束</t>
    <phoneticPr fontId="1" type="noConversion"/>
  </si>
  <si>
    <t>114年8月底標線改動結束</t>
    <phoneticPr fontId="1" type="noConversion"/>
  </si>
  <si>
    <t>109年</t>
    <phoneticPr fontId="1" type="noConversion"/>
  </si>
  <si>
    <t>事故數量(件次)</t>
    <phoneticPr fontId="1" type="noConversion"/>
  </si>
  <si>
    <t>unknown</t>
    <phoneticPr fontId="1" type="noConversion"/>
  </si>
  <si>
    <t>圓環半徑</t>
    <phoneticPr fontId="1" type="noConversion"/>
  </si>
  <si>
    <t>總影響事故半徑</t>
    <phoneticPr fontId="1" type="noConversion"/>
  </si>
  <si>
    <t>30.5m</t>
    <phoneticPr fontId="1" type="noConversion"/>
  </si>
  <si>
    <t>15m</t>
    <phoneticPr fontId="1" type="noConversion"/>
  </si>
  <si>
    <t>15~20m</t>
    <phoneticPr fontId="1" type="noConversion"/>
  </si>
  <si>
    <t>外加半徑</t>
    <phoneticPr fontId="1" type="noConversion"/>
  </si>
  <si>
    <t>10m</t>
    <phoneticPr fontId="1" type="noConversion"/>
  </si>
  <si>
    <t>25~30m</t>
    <phoneticPr fontId="1" type="noConversion"/>
  </si>
  <si>
    <t>45.5m</t>
    <phoneticPr fontId="1" type="noConversion"/>
  </si>
  <si>
    <t>25.0m</t>
    <phoneticPr fontId="1" type="noConversion"/>
  </si>
  <si>
    <t>40.0m</t>
    <phoneticPr fontId="1" type="noConversion"/>
  </si>
  <si>
    <t>19.5m</t>
    <phoneticPr fontId="1" type="noConversion"/>
  </si>
  <si>
    <t>29.5m</t>
    <phoneticPr fontId="1" type="noConversion"/>
  </si>
  <si>
    <t>15.0m</t>
    <phoneticPr fontId="1" type="noConversion"/>
  </si>
  <si>
    <t>施工期</t>
    <phoneticPr fontId="1" type="noConversion"/>
  </si>
  <si>
    <t>未採計</t>
    <phoneticPr fontId="1" type="noConversion"/>
  </si>
  <si>
    <t>9.5m</t>
    <phoneticPr fontId="1" type="noConversion"/>
  </si>
  <si>
    <t>接近20m</t>
    <phoneticPr fontId="1" type="noConversion"/>
  </si>
  <si>
    <t>30m</t>
    <phoneticPr fontId="1" type="noConversion"/>
  </si>
  <si>
    <t>對照組</t>
    <phoneticPr fontId="1" type="noConversion"/>
  </si>
  <si>
    <t>other</t>
    <phoneticPr fontId="1" type="noConversion"/>
  </si>
  <si>
    <t>114年2月底改建為標線型圓環</t>
    <phoneticPr fontId="1" type="noConversion"/>
  </si>
  <si>
    <t>18m</t>
    <phoneticPr fontId="1" type="noConversion"/>
  </si>
  <si>
    <t>28m</t>
    <phoneticPr fontId="1" type="noConversion"/>
  </si>
  <si>
    <t>大村圓環</t>
    <phoneticPr fontId="1" type="noConversion"/>
  </si>
  <si>
    <t>中山大學圓環(暫時不分析)</t>
    <phoneticPr fontId="1" type="noConversion"/>
  </si>
  <si>
    <t>total</t>
    <phoneticPr fontId="1" type="noConversion"/>
  </si>
  <si>
    <t>岡山圓環</t>
    <phoneticPr fontId="1" type="noConversion"/>
  </si>
  <si>
    <t>109-1</t>
    <phoneticPr fontId="1" type="noConversion"/>
  </si>
  <si>
    <t>109-2</t>
  </si>
  <si>
    <t>109-3</t>
  </si>
  <si>
    <t>109-4</t>
  </si>
  <si>
    <t>109-5</t>
  </si>
  <si>
    <t>109-6</t>
  </si>
  <si>
    <t>109-7</t>
  </si>
  <si>
    <t>109-8</t>
  </si>
  <si>
    <t>109-9</t>
  </si>
  <si>
    <t>109-10</t>
  </si>
  <si>
    <t>109-11</t>
  </si>
  <si>
    <t>109-12</t>
  </si>
  <si>
    <t>111-1</t>
    <phoneticPr fontId="1" type="noConversion"/>
  </si>
  <si>
    <t>111-2</t>
  </si>
  <si>
    <t>111-3</t>
  </si>
  <si>
    <t>111-4</t>
  </si>
  <si>
    <t>111-5</t>
  </si>
  <si>
    <t>111-6</t>
  </si>
  <si>
    <t>111-7</t>
  </si>
  <si>
    <t>111-8</t>
  </si>
  <si>
    <t>111-9</t>
  </si>
  <si>
    <t>111-10</t>
  </si>
  <si>
    <t>111-11</t>
  </si>
  <si>
    <t>111-12</t>
  </si>
  <si>
    <t>112-1</t>
    <phoneticPr fontId="1" type="noConversion"/>
  </si>
  <si>
    <t>112-2</t>
  </si>
  <si>
    <t>112-3</t>
  </si>
  <si>
    <t>112-4</t>
  </si>
  <si>
    <t>112-5</t>
  </si>
  <si>
    <t>112-6</t>
  </si>
  <si>
    <t>112-7</t>
  </si>
  <si>
    <t>112-8</t>
  </si>
  <si>
    <t>112-9</t>
  </si>
  <si>
    <t>112-10</t>
  </si>
  <si>
    <t>112-11</t>
  </si>
  <si>
    <t>112-12</t>
  </si>
  <si>
    <t>113-1</t>
    <phoneticPr fontId="1" type="noConversion"/>
  </si>
  <si>
    <t>113-2</t>
  </si>
  <si>
    <t>113-3</t>
  </si>
  <si>
    <t>113-4</t>
  </si>
  <si>
    <t>113-5</t>
  </si>
  <si>
    <t>113-6</t>
  </si>
  <si>
    <t>113-7</t>
  </si>
  <si>
    <t>113-8</t>
  </si>
  <si>
    <t>113-9</t>
  </si>
  <si>
    <t>113-10</t>
  </si>
  <si>
    <t>113-11</t>
  </si>
  <si>
    <t>113-12</t>
  </si>
  <si>
    <t>114-1</t>
    <phoneticPr fontId="1" type="noConversion"/>
  </si>
  <si>
    <t>114-2</t>
  </si>
  <si>
    <t>114-3</t>
  </si>
  <si>
    <t>114-4</t>
  </si>
  <si>
    <t>114-5</t>
  </si>
  <si>
    <t>114-6</t>
  </si>
  <si>
    <t>114-7</t>
  </si>
  <si>
    <t>114-8</t>
  </si>
  <si>
    <t>114-9</t>
  </si>
  <si>
    <t>114-10</t>
  </si>
  <si>
    <t>114-11</t>
  </si>
  <si>
    <t>114-12</t>
  </si>
  <si>
    <t>site</t>
    <phoneticPr fontId="1" type="noConversion"/>
  </si>
  <si>
    <t>category</t>
    <phoneticPr fontId="1" type="noConversion"/>
  </si>
  <si>
    <t>施工期起</t>
    <phoneticPr fontId="1" type="noConversion"/>
  </si>
  <si>
    <t>施工期迄</t>
    <phoneticPr fontId="1" type="noConversion"/>
  </si>
  <si>
    <t>適應期起</t>
    <phoneticPr fontId="1" type="noConversion"/>
  </si>
  <si>
    <t>適應期迄</t>
    <phoneticPr fontId="1" type="noConversion"/>
  </si>
  <si>
    <t>treated_start</t>
    <phoneticPr fontId="1" type="noConversion"/>
  </si>
  <si>
    <t>112-03</t>
    <phoneticPr fontId="1" type="noConversion"/>
  </si>
  <si>
    <t>112-05</t>
    <phoneticPr fontId="1" type="noConversion"/>
  </si>
  <si>
    <t>112-06</t>
    <phoneticPr fontId="1" type="noConversion"/>
  </si>
  <si>
    <t>111-12</t>
    <phoneticPr fontId="1" type="noConversion"/>
  </si>
  <si>
    <t>112-01</t>
    <phoneticPr fontId="1" type="noConversion"/>
  </si>
  <si>
    <t>112-02</t>
    <phoneticPr fontId="1" type="noConversion"/>
  </si>
  <si>
    <t>112-08</t>
    <phoneticPr fontId="1" type="noConversion"/>
  </si>
  <si>
    <t>113-12</t>
    <phoneticPr fontId="1" type="noConversion"/>
  </si>
  <si>
    <t>114-03</t>
    <phoneticPr fontId="1" type="noConversion"/>
  </si>
  <si>
    <t>114-04</t>
    <phoneticPr fontId="1" type="noConversion"/>
  </si>
  <si>
    <t>114-01</t>
    <phoneticPr fontId="1" type="noConversion"/>
  </si>
  <si>
    <t>114-02</t>
    <phoneticPr fontId="1" type="noConversion"/>
  </si>
  <si>
    <t>113-04</t>
    <phoneticPr fontId="1" type="noConversion"/>
  </si>
  <si>
    <t>113-03</t>
    <phoneticPr fontId="1" type="noConversion"/>
  </si>
  <si>
    <t>113-02</t>
    <phoneticPr fontId="1" type="noConversion"/>
  </si>
  <si>
    <t>113-05</t>
    <phoneticPr fontId="1" type="noConversion"/>
  </si>
  <si>
    <t>113-11</t>
    <phoneticPr fontId="1" type="noConversion"/>
  </si>
  <si>
    <t>114-05</t>
    <phoneticPr fontId="1" type="noConversion"/>
  </si>
  <si>
    <t>組別</t>
    <phoneticPr fontId="1" type="noConversion"/>
  </si>
  <si>
    <t>實驗組</t>
    <phoneticPr fontId="1" type="noConversion"/>
  </si>
  <si>
    <t>1. 潮州燒冷冰</t>
    <phoneticPr fontId="1" type="noConversion"/>
  </si>
  <si>
    <t>2. 歸仁圓環</t>
    <phoneticPr fontId="1" type="noConversion"/>
  </si>
  <si>
    <t>3. 中興新村圓環</t>
    <phoneticPr fontId="1" type="noConversion"/>
  </si>
  <si>
    <t>4. 三多商圈圓環</t>
    <phoneticPr fontId="1" type="noConversion"/>
  </si>
  <si>
    <t>5. 芒果圓環</t>
    <phoneticPr fontId="1" type="noConversion"/>
  </si>
  <si>
    <t>6. 高雄前鎮瑞福路崗山南街路口圓環</t>
    <phoneticPr fontId="1" type="noConversion"/>
  </si>
  <si>
    <t>7. 彰化大村圓環</t>
    <phoneticPr fontId="1" type="noConversion"/>
  </si>
  <si>
    <t>半年</t>
    <phoneticPr fontId="1" type="noConversion"/>
  </si>
  <si>
    <t>施工期</t>
  </si>
  <si>
    <t>113年11月1日至12月改建為標線型圓環</t>
    <phoneticPr fontId="1" type="noConversion"/>
  </si>
  <si>
    <t>110-1</t>
    <phoneticPr fontId="1" type="noConversion"/>
  </si>
  <si>
    <t>110-2</t>
    <phoneticPr fontId="1" type="noConversion"/>
  </si>
  <si>
    <t>110-3</t>
    <phoneticPr fontId="1" type="noConversion"/>
  </si>
  <si>
    <t>110-4</t>
    <phoneticPr fontId="1" type="noConversion"/>
  </si>
  <si>
    <t>110-5</t>
    <phoneticPr fontId="1" type="noConversion"/>
  </si>
  <si>
    <t>110-6</t>
    <phoneticPr fontId="1" type="noConversion"/>
  </si>
  <si>
    <t>110-7</t>
    <phoneticPr fontId="1" type="noConversion"/>
  </si>
  <si>
    <t>110-8</t>
    <phoneticPr fontId="1" type="noConversion"/>
  </si>
  <si>
    <t>110-9</t>
    <phoneticPr fontId="1" type="noConversion"/>
  </si>
  <si>
    <t>110-10</t>
    <phoneticPr fontId="1" type="noConversion"/>
  </si>
  <si>
    <t>110-11</t>
    <phoneticPr fontId="1" type="noConversion"/>
  </si>
  <si>
    <t>110-12</t>
    <phoneticPr fontId="1" type="noConversion"/>
  </si>
  <si>
    <t>20.5m</t>
    <phoneticPr fontId="1" type="noConversion"/>
  </si>
  <si>
    <t>35.5m</t>
    <phoneticPr fontId="1" type="noConversion"/>
  </si>
  <si>
    <t>114年5月底改建為標線型圓環</t>
    <phoneticPr fontId="1" type="noConversion"/>
  </si>
  <si>
    <t>23m</t>
    <phoneticPr fontId="1" type="noConversion"/>
  </si>
  <si>
    <t>38m</t>
    <phoneticPr fontId="1" type="noConversion"/>
  </si>
  <si>
    <t>內埔圓環</t>
    <phoneticPr fontId="1" type="noConversion"/>
  </si>
  <si>
    <t>pair_id</t>
    <phoneticPr fontId="1" type="noConversion"/>
  </si>
  <si>
    <t>31.5m</t>
    <phoneticPr fontId="1" type="noConversion"/>
  </si>
  <si>
    <t>46.5m</t>
    <phoneticPr fontId="1" type="noConversion"/>
  </si>
  <si>
    <t>25m</t>
    <phoneticPr fontId="1" type="noConversion"/>
  </si>
  <si>
    <t>40m</t>
    <phoneticPr fontId="1" type="noConversion"/>
  </si>
  <si>
    <t>114年6/25至7/2完成標線工程</t>
    <phoneticPr fontId="1" type="noConversion"/>
  </si>
  <si>
    <t>麻豆圓環</t>
    <phoneticPr fontId="1" type="noConversion"/>
  </si>
  <si>
    <t>20m</t>
    <phoneticPr fontId="1" type="noConversion"/>
  </si>
  <si>
    <t>35m</t>
    <phoneticPr fontId="1" type="noConversion"/>
  </si>
  <si>
    <t>無顯著treatment</t>
    <phoneticPr fontId="1" type="noConversion"/>
  </si>
  <si>
    <t>南投市中心圓環</t>
    <phoneticPr fontId="1" type="noConversion"/>
  </si>
  <si>
    <t>草屯圓環</t>
    <phoneticPr fontId="1" type="noConversion"/>
  </si>
  <si>
    <t>24m</t>
    <phoneticPr fontId="1" type="noConversion"/>
  </si>
  <si>
    <t>39m</t>
    <phoneticPr fontId="1" type="noConversion"/>
  </si>
  <si>
    <t>埔里圓環</t>
    <phoneticPr fontId="1" type="noConversion"/>
  </si>
  <si>
    <t>27m</t>
    <phoneticPr fontId="1" type="noConversion"/>
  </si>
  <si>
    <t>42m</t>
    <phoneticPr fontId="1" type="noConversion"/>
  </si>
  <si>
    <t>高雄控制組一</t>
    <phoneticPr fontId="1" type="noConversion"/>
  </si>
  <si>
    <t>高雄控制組二</t>
    <phoneticPr fontId="1" type="noConversion"/>
  </si>
  <si>
    <t>湯德章圓環</t>
    <phoneticPr fontId="1" type="noConversion"/>
  </si>
  <si>
    <t>54m</t>
    <phoneticPr fontId="1" type="noConversion"/>
  </si>
  <si>
    <t>74m</t>
    <phoneticPr fontId="1" type="noConversion"/>
  </si>
  <si>
    <t>高雄控制組三</t>
    <phoneticPr fontId="1" type="noConversion"/>
  </si>
  <si>
    <t>高雄控制組四</t>
    <phoneticPr fontId="1" type="noConversion"/>
  </si>
  <si>
    <t>高雄控制組五</t>
    <phoneticPr fontId="1" type="noConversion"/>
  </si>
  <si>
    <t>高雄控制組六</t>
    <phoneticPr fontId="1" type="noConversion"/>
  </si>
  <si>
    <t>高雄控制組七</t>
    <phoneticPr fontId="1" type="noConversion"/>
  </si>
  <si>
    <t>高雄控制組八</t>
    <phoneticPr fontId="1" type="noConversion"/>
  </si>
  <si>
    <t>高雄控制組九</t>
    <phoneticPr fontId="1" type="noConversion"/>
  </si>
  <si>
    <t>高雄控制組十</t>
    <phoneticPr fontId="1" type="noConversion"/>
  </si>
  <si>
    <t>高雄控制組十一</t>
    <phoneticPr fontId="1" type="noConversion"/>
  </si>
  <si>
    <t>大昌一路和大裕路三岔路口</t>
    <phoneticPr fontId="1" type="noConversion"/>
  </si>
  <si>
    <t>文衡路和文東街三岔路口</t>
    <phoneticPr fontId="1" type="noConversion"/>
  </si>
  <si>
    <t>三民路三岔路口</t>
    <phoneticPr fontId="1" type="noConversion"/>
  </si>
  <si>
    <t>正修路、濱山街和公園路三岔路口</t>
    <phoneticPr fontId="1" type="noConversion"/>
  </si>
  <si>
    <t>林森三路和一德路三岔路口</t>
    <phoneticPr fontId="1" type="noConversion"/>
  </si>
  <si>
    <t>嘉義噴水圓環</t>
    <phoneticPr fontId="1" type="noConversion"/>
  </si>
  <si>
    <t>嘉義東門圓環</t>
    <phoneticPr fontId="1" type="noConversion"/>
  </si>
  <si>
    <t>22m</t>
    <phoneticPr fontId="1" type="noConversion"/>
  </si>
  <si>
    <t>37m</t>
    <phoneticPr fontId="1" type="noConversion"/>
  </si>
  <si>
    <t>25.5m</t>
    <phoneticPr fontId="1" type="noConversion"/>
  </si>
  <si>
    <t>40.5m</t>
    <phoneticPr fontId="1" type="noConversion"/>
  </si>
  <si>
    <t>mean</t>
    <phoneticPr fontId="1" type="noConversion"/>
  </si>
  <si>
    <t>standard_error</t>
    <phoneticPr fontId="1" type="noConversion"/>
  </si>
  <si>
    <t>var</t>
    <phoneticPr fontId="1" type="noConversion"/>
  </si>
  <si>
    <t>var_mean_ratio</t>
    <phoneticPr fontId="1" type="noConversion"/>
  </si>
  <si>
    <t>IRR</t>
    <phoneticPr fontId="1" type="noConversion"/>
  </si>
  <si>
    <t>estimate</t>
    <phoneticPr fontId="1" type="noConversion"/>
  </si>
  <si>
    <t>is_treated</t>
    <phoneticPr fontId="1" type="noConversion"/>
  </si>
  <si>
    <t>z-value</t>
    <phoneticPr fontId="1" type="noConversion"/>
  </si>
  <si>
    <t>p-value</t>
    <phoneticPr fontId="1" type="noConversion"/>
  </si>
  <si>
    <t>raw</t>
    <phoneticPr fontId="1" type="noConversion"/>
  </si>
  <si>
    <t>robust</t>
    <phoneticPr fontId="1" type="noConversion"/>
  </si>
  <si>
    <t>poisson_05_Y_MC_involved</t>
    <phoneticPr fontId="1" type="noConversion"/>
  </si>
  <si>
    <t>poisson_04_Y_record</t>
    <phoneticPr fontId="1" type="noConversion"/>
  </si>
  <si>
    <t>poisson_03_Y_total</t>
    <phoneticPr fontId="1" type="noConversion"/>
  </si>
  <si>
    <t>MC_MC</t>
    <phoneticPr fontId="1" type="noConversion"/>
  </si>
  <si>
    <t>MC_PC</t>
    <phoneticPr fontId="1" type="noConversion"/>
  </si>
  <si>
    <t>PC_PC</t>
    <phoneticPr fontId="1" type="noConversion"/>
  </si>
  <si>
    <t>Deviance dispersion = 1.091</t>
    <phoneticPr fontId="1" type="noConversion"/>
  </si>
  <si>
    <t>McFadden = 0.265</t>
    <phoneticPr fontId="1" type="noConversion"/>
  </si>
  <si>
    <t>std_error</t>
    <phoneticPr fontId="1" type="noConversion"/>
  </si>
  <si>
    <t>robust_error</t>
    <phoneticPr fontId="1" type="noConversion"/>
  </si>
  <si>
    <t>Pearson dispersion  = 1.25</t>
    <phoneticPr fontId="1" type="noConversion"/>
  </si>
  <si>
    <t>McFadden = 0.266</t>
    <phoneticPr fontId="1" type="noConversion"/>
  </si>
  <si>
    <t>Deviance dispersion = 1.173</t>
    <phoneticPr fontId="1" type="noConversion"/>
  </si>
  <si>
    <t>Pearson dispersion  = 1.285</t>
    <phoneticPr fontId="1" type="noConversion"/>
  </si>
  <si>
    <t>McFadden = 0.2657</t>
    <phoneticPr fontId="1" type="noConversion"/>
  </si>
  <si>
    <t>Pearson dispersion  = 1.257</t>
    <phoneticPr fontId="1" type="noConversion"/>
  </si>
  <si>
    <t>112-07</t>
    <phoneticPr fontId="1" type="noConversion"/>
  </si>
  <si>
    <t>112-04</t>
    <phoneticPr fontId="1" type="noConversion"/>
  </si>
  <si>
    <t>111-11</t>
    <phoneticPr fontId="1" type="noConversion"/>
  </si>
  <si>
    <t>113-10</t>
    <phoneticPr fontId="1" type="noConversion"/>
  </si>
  <si>
    <t>114-12</t>
    <phoneticPr fontId="1" type="noConversion"/>
  </si>
  <si>
    <t>新營圓環</t>
    <phoneticPr fontId="1" type="noConversion"/>
  </si>
  <si>
    <t>roundabout</t>
    <phoneticPr fontId="1" type="noConversion"/>
  </si>
  <si>
    <t>施工汙染</t>
    <phoneticPr fontId="1" type="noConversion"/>
  </si>
  <si>
    <t>光春圓環</t>
    <phoneticPr fontId="1" type="noConversion"/>
  </si>
  <si>
    <t>恆春圓環</t>
    <phoneticPr fontId="1" type="noConversion"/>
  </si>
  <si>
    <t>萬巒圓環</t>
    <phoneticPr fontId="1" type="noConversion"/>
  </si>
  <si>
    <t>宏毅圓環</t>
    <phoneticPr fontId="1" type="noConversion"/>
  </si>
  <si>
    <t>中央噴水池圓環</t>
    <phoneticPr fontId="1" type="noConversion"/>
  </si>
  <si>
    <t>北港圓環</t>
    <phoneticPr fontId="1" type="noConversion"/>
  </si>
  <si>
    <t>大坑圓環</t>
    <phoneticPr fontId="1" type="noConversion"/>
  </si>
  <si>
    <t>光復新村圓環</t>
    <phoneticPr fontId="1" type="noConversion"/>
  </si>
  <si>
    <t>屏東</t>
    <phoneticPr fontId="1" type="noConversion"/>
  </si>
  <si>
    <t>高雄</t>
    <phoneticPr fontId="1" type="noConversion"/>
  </si>
  <si>
    <t>臺南</t>
    <phoneticPr fontId="1" type="noConversion"/>
  </si>
  <si>
    <t>嘉義</t>
    <phoneticPr fontId="1" type="noConversion"/>
  </si>
  <si>
    <t>台中</t>
    <phoneticPr fontId="1" type="noConversion"/>
  </si>
  <si>
    <t>南投</t>
    <phoneticPr fontId="1" type="noConversion"/>
  </si>
  <si>
    <t>雲林</t>
    <phoneticPr fontId="1" type="noConversion"/>
  </si>
  <si>
    <t>工項</t>
    <phoneticPr fontId="1" type="noConversion"/>
  </si>
  <si>
    <t>114.02~114.04</t>
    <phoneticPr fontId="1" type="noConversion"/>
  </si>
  <si>
    <t>中央障礙物拆除，改建為標線型圓環</t>
    <phoneticPr fontId="1" type="noConversion"/>
  </si>
  <si>
    <t>無</t>
    <phoneticPr fontId="1" type="noConversion"/>
  </si>
  <si>
    <t>工期</t>
    <phoneticPr fontId="1" type="noConversion"/>
  </si>
  <si>
    <t>111.08~111.10</t>
    <phoneticPr fontId="1" type="noConversion"/>
  </si>
  <si>
    <t>排水工程</t>
    <phoneticPr fontId="1" type="noConversion"/>
  </si>
  <si>
    <t>中央島視線與環境改善工程</t>
  </si>
  <si>
    <t>中</t>
    <phoneticPr fontId="1" type="noConversion"/>
  </si>
  <si>
    <t>低</t>
    <phoneticPr fontId="1" type="noConversion"/>
  </si>
  <si>
    <t>高</t>
    <phoneticPr fontId="1" type="noConversion"/>
  </si>
  <si>
    <t>114.11~114.12</t>
    <phoneticPr fontId="1" type="noConversion"/>
  </si>
  <si>
    <t>標線改造，螺旋型圓環</t>
    <phoneticPr fontId="1" type="noConversion"/>
  </si>
  <si>
    <t>持續有小型優化</t>
    <phoneticPr fontId="1" type="noConversion"/>
  </si>
  <si>
    <t>115~</t>
    <phoneticPr fontId="1" type="noConversion"/>
  </si>
  <si>
    <t>115.04~115.09</t>
    <phoneticPr fontId="1" type="noConversion"/>
  </si>
  <si>
    <t>朴子圓環</t>
    <phoneticPr fontId="1" type="noConversion"/>
  </si>
  <si>
    <t>虎尾圓環</t>
    <phoneticPr fontId="1" type="noConversion"/>
  </si>
  <si>
    <t>斗六圓環</t>
    <phoneticPr fontId="1" type="noConversion"/>
  </si>
  <si>
    <t>土庫圓環</t>
    <phoneticPr fontId="1" type="noConversion"/>
  </si>
  <si>
    <t>114.10~</t>
    <phoneticPr fontId="1" type="noConversion"/>
  </si>
  <si>
    <t>紀念碑重塑</t>
    <phoneticPr fontId="1" type="noConversion"/>
  </si>
  <si>
    <t>110.08~111</t>
    <phoneticPr fontId="1" type="noConversion"/>
  </si>
  <si>
    <t>圓環改善工程</t>
    <phoneticPr fontId="1" type="noConversion"/>
  </si>
  <si>
    <t>圓環停車場施工</t>
    <phoneticPr fontId="1" type="noConversion"/>
  </si>
  <si>
    <t>周遭有路面工程</t>
    <phoneticPr fontId="1" type="noConversion"/>
  </si>
  <si>
    <t>26.5m</t>
    <phoneticPr fontId="1" type="noConversion"/>
  </si>
  <si>
    <t>41.5m</t>
    <phoneticPr fontId="1" type="noConversion"/>
  </si>
  <si>
    <t>22.5m</t>
    <phoneticPr fontId="1" type="noConversion"/>
  </si>
  <si>
    <t>37.5m</t>
    <phoneticPr fontId="1" type="noConversion"/>
  </si>
  <si>
    <t>圓環</t>
    <phoneticPr fontId="1" type="noConversion"/>
  </si>
  <si>
    <t>路口類型</t>
    <phoneticPr fontId="1" type="noConversion"/>
  </si>
  <si>
    <t>縣市</t>
    <phoneticPr fontId="1" type="noConversion"/>
  </si>
  <si>
    <t>114年11月改建為螺旋形圓環</t>
    <phoneticPr fontId="1" type="noConversion"/>
  </si>
  <si>
    <t>年</t>
    <phoneticPr fontId="1" type="noConversion"/>
  </si>
  <si>
    <t>avg</t>
    <phoneticPr fontId="1" type="noConversion"/>
  </si>
  <si>
    <t>光春圓環</t>
  </si>
  <si>
    <t>內埔圓環</t>
  </si>
  <si>
    <t>恆春圓環</t>
  </si>
  <si>
    <t>宏毅圓環</t>
  </si>
  <si>
    <t>新營圓環</t>
  </si>
  <si>
    <t>湯德章圓環</t>
  </si>
  <si>
    <t>潮州燒冷冰</t>
  </si>
  <si>
    <t>control</t>
  </si>
  <si>
    <t>quarter</t>
  </si>
  <si>
    <t>year</t>
  </si>
  <si>
    <t>month</t>
  </si>
  <si>
    <t>slope_diff</t>
  </si>
  <si>
    <t>treated</t>
  </si>
  <si>
    <t>scale</t>
  </si>
  <si>
    <t>slope_control</t>
  </si>
  <si>
    <t>slope_treated</t>
  </si>
  <si>
    <t>standardized_slope_diff</t>
  </si>
  <si>
    <t>slope_direction</t>
  </si>
  <si>
    <t>p_value</t>
  </si>
  <si>
    <t>opposite_direction</t>
  </si>
  <si>
    <t>marginal</t>
  </si>
  <si>
    <t>same_direction</t>
  </si>
  <si>
    <t>acceptable</t>
  </si>
  <si>
    <t>pre_mean_treated</t>
  </si>
  <si>
    <t>pre_mean_control</t>
  </si>
  <si>
    <t>standardized_slope_control</t>
  </si>
  <si>
    <t>standardized_slope_treated</t>
  </si>
  <si>
    <t>歸仁圓環</t>
  </si>
  <si>
    <t>嘉義噴水圓環</t>
  </si>
  <si>
    <t>嘉義東門圓環</t>
  </si>
  <si>
    <t>朴子圓環</t>
  </si>
  <si>
    <t>中興新村圓環</t>
  </si>
  <si>
    <t>北港圓環</t>
  </si>
  <si>
    <t>南投市中心圓環</t>
  </si>
  <si>
    <t>土庫圓環</t>
  </si>
  <si>
    <t>埔里圓環</t>
  </si>
  <si>
    <t>大坑圓環</t>
  </si>
  <si>
    <t>草屯圓環</t>
  </si>
  <si>
    <t>虎尾圓環</t>
  </si>
  <si>
    <t>大村圓環</t>
  </si>
  <si>
    <t>perfect</t>
  </si>
  <si>
    <t>good</t>
  </si>
  <si>
    <t>exclude</t>
  </si>
  <si>
    <t>高雄控制組一</t>
  </si>
  <si>
    <t>高雄控制組二</t>
  </si>
  <si>
    <t>高雄控制組三</t>
  </si>
  <si>
    <t>高雄控制組四</t>
  </si>
  <si>
    <t>高雄控制組五</t>
  </si>
  <si>
    <t>高雄控制組七</t>
  </si>
  <si>
    <t>高雄控制組六</t>
  </si>
  <si>
    <t>高雄控制組八</t>
  </si>
  <si>
    <t>高雄控制組九</t>
  </si>
  <si>
    <t>高雄控制組十</t>
  </si>
  <si>
    <t>高雄控制組十一</t>
  </si>
  <si>
    <t>岡山圓環</t>
  </si>
  <si>
    <t>三岔路口</t>
    <phoneticPr fontId="1" type="noConversion"/>
  </si>
  <si>
    <t>三多商圈圓環</t>
  </si>
  <si>
    <t>麻豆圓環</t>
  </si>
  <si>
    <t>芒果圓環</t>
  </si>
  <si>
    <t>高雄市</t>
    <phoneticPr fontId="1" type="noConversion"/>
  </si>
  <si>
    <t>複雜路口</t>
    <phoneticPr fontId="1" type="noConversion"/>
  </si>
  <si>
    <t>Poisson Regression Result with Robust Standard Errors</t>
  </si>
  <si>
    <t>model</t>
  </si>
  <si>
    <t>outcome</t>
  </si>
  <si>
    <t>term</t>
  </si>
  <si>
    <t>coef</t>
  </si>
  <si>
    <t>robust_se</t>
  </si>
  <si>
    <t>z_value</t>
  </si>
  <si>
    <t>robust_p_value</t>
  </si>
  <si>
    <t>IRR</t>
  </si>
  <si>
    <t>IRR_95CI_low</t>
  </si>
  <si>
    <t>IRR_95CI_high</t>
  </si>
  <si>
    <t>IRR_95CI</t>
  </si>
  <si>
    <t>percent_change</t>
  </si>
  <si>
    <t>percent_change_low</t>
  </si>
  <si>
    <t>percent_change_high</t>
  </si>
  <si>
    <t>deviance_dispersion</t>
  </si>
  <si>
    <t>pearson_dispersion</t>
  </si>
  <si>
    <t>McFadden_R2</t>
  </si>
  <si>
    <t>AIC</t>
  </si>
  <si>
    <t>BIC</t>
  </si>
  <si>
    <t>n_obs</t>
  </si>
  <si>
    <t>is_treated</t>
  </si>
  <si>
    <t>類別</t>
    <phoneticPr fontId="1" type="noConversion"/>
  </si>
  <si>
    <t>primary motorcycle-related crashes</t>
    <phoneticPr fontId="1" type="noConversion"/>
  </si>
  <si>
    <t>motorcycle-involved crashes</t>
    <phoneticPr fontId="1" type="noConversion"/>
  </si>
  <si>
    <t>primary four-or-more-wheeled motor vehicle-related crashes</t>
    <phoneticPr fontId="1" type="noConversion"/>
  </si>
  <si>
    <t>four-or-more-wheeled motor vehicle-involved crashes</t>
  </si>
  <si>
    <t>潮州燒冷冰圓環</t>
    <phoneticPr fontId="1" type="noConversion"/>
  </si>
  <si>
    <t>total crashes</t>
    <phoneticPr fontId="1" type="noConversion"/>
  </si>
  <si>
    <t>primary motorcycle-motorcycle crashes</t>
    <phoneticPr fontId="1" type="noConversion"/>
  </si>
  <si>
    <t>four-or-more-wheeled motor vehicle-involved crashes</t>
    <phoneticPr fontId="1" type="noConversion"/>
  </si>
  <si>
    <t>Control</t>
    <phoneticPr fontId="1" type="noConversion"/>
  </si>
  <si>
    <t>Experiment</t>
    <phoneticPr fontId="1" type="noConversion"/>
  </si>
  <si>
    <t>2 pairs</t>
    <phoneticPr fontId="1" type="noConversion"/>
  </si>
  <si>
    <t>高雄控制組十二</t>
  </si>
  <si>
    <t>高雄控制組十二</t>
    <phoneticPr fontId="1" type="noConversion"/>
  </si>
  <si>
    <t>臺南市</t>
    <phoneticPr fontId="1" type="noConversion"/>
  </si>
  <si>
    <t>臺南控制組十二</t>
  </si>
  <si>
    <t>臺南控制組十二</t>
    <phoneticPr fontId="1" type="noConversion"/>
  </si>
  <si>
    <t>臺南控制組十三</t>
  </si>
  <si>
    <t>臺南控制組十三</t>
    <phoneticPr fontId="1" type="noConversion"/>
  </si>
  <si>
    <t>臺南控制組十四</t>
  </si>
  <si>
    <t>臺南控制組十四</t>
    <phoneticPr fontId="1" type="noConversion"/>
  </si>
  <si>
    <t>臺南控制組十五</t>
  </si>
  <si>
    <t>臺南控制組十五</t>
    <phoneticPr fontId="1" type="noConversion"/>
  </si>
  <si>
    <t>臺南控制組十六</t>
  </si>
  <si>
    <t>臺南控制組十六</t>
    <phoneticPr fontId="1" type="noConversion"/>
  </si>
  <si>
    <t>臺南控制組十七</t>
  </si>
  <si>
    <t>臺南控制組十七</t>
    <phoneticPr fontId="1" type="noConversion"/>
  </si>
  <si>
    <t>臺南控制組二十</t>
  </si>
  <si>
    <t>臺南控制組二十</t>
    <phoneticPr fontId="1" type="noConversion"/>
  </si>
  <si>
    <t>臺南控制組十九</t>
  </si>
  <si>
    <t>臺南控制組十九</t>
    <phoneticPr fontId="1" type="noConversion"/>
  </si>
  <si>
    <t>臺南控制組十八</t>
  </si>
  <si>
    <t>臺南控制組十八</t>
    <phoneticPr fontId="1" type="noConversion"/>
  </si>
  <si>
    <t>臺南控制組二一</t>
  </si>
  <si>
    <t>臺南控制組二一</t>
    <phoneticPr fontId="1" type="noConversion"/>
  </si>
  <si>
    <t>平行趨勢檢定結果</t>
  </si>
  <si>
    <t>slope_scores</t>
  </si>
  <si>
    <t>p_scores</t>
  </si>
  <si>
    <t>total_scores</t>
  </si>
  <si>
    <t>aggregate</t>
  </si>
  <si>
    <t>Rank</t>
  </si>
  <si>
    <t>2,3</t>
  </si>
  <si>
    <t>fail</t>
  </si>
  <si>
    <t>1,2</t>
  </si>
  <si>
    <t>1 pair</t>
    <phoneticPr fontId="1" type="noConversion"/>
  </si>
  <si>
    <t>Weighted_Poisson_FE_robust</t>
  </si>
  <si>
    <t>Y_total</t>
  </si>
  <si>
    <t>0.718 (0.5592, 0.922)</t>
  </si>
  <si>
    <t>0.7439 (0.6005, 0.9216)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</si>
</sst>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_);[Red]\(0.000\)"/>
    <numFmt numFmtId="177" formatCode="0.000"/>
  </numFmts>
  <fonts count="16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theme="1"/>
      <name val="Arial Unicode MS"/>
      <family val="2"/>
      <charset val="136"/>
    </font>
    <font>
      <sz val="11"/>
      <color theme="1"/>
      <name val="Microsoft JhengHei UI"/>
      <family val="2"/>
    </font>
    <font>
      <sz val="11"/>
      <color theme="1"/>
      <name val="Microsoft JhengHei UI"/>
      <family val="2"/>
      <charset val="136"/>
    </font>
    <font>
      <sz val="11"/>
      <color theme="1" tint="0.499984740745262"/>
      <name val="Microsoft JhengHei UI"/>
      <family val="2"/>
      <charset val="136"/>
    </font>
    <font>
      <b/>
      <sz val="11"/>
      <color theme="1"/>
      <name val="SimSun"/>
    </font>
    <font>
      <sz val="11"/>
      <color theme="1"/>
      <name val="SimSun"/>
    </font>
    <font>
      <sz val="11"/>
      <color theme="1"/>
      <name val="SimSun"/>
    </font>
    <font>
      <sz val="11"/>
      <color theme="1"/>
      <name val="Noto Sans TC Medium"/>
      <family val="2"/>
      <charset val="136"/>
    </font>
    <font>
      <b/>
      <sz val="11"/>
      <color theme="1"/>
      <name val="Noto Sans TC Medium"/>
      <family val="2"/>
      <charset val="136"/>
    </font>
    <font>
      <sz val="12"/>
      <color theme="1"/>
      <name val="STZhongsong"/>
    </font>
    <font>
      <sz val="11"/>
      <color theme="1"/>
      <name val="新細明體"/>
      <family val="1"/>
      <charset val="136"/>
    </font>
    <font>
      <sz val="11"/>
      <color theme="1"/>
      <name val="SimSun"/>
    </font>
    <font>
      <b/>
      <sz val="11"/>
      <color theme="1"/>
      <name val="新細明體"/>
      <family val="1"/>
      <charset val="136"/>
    </font>
    <font>
      <b/>
      <sz val="11"/>
      <color theme="1"/>
      <name val="SimSun"/>
    </font>
  </fonts>
  <fills count="1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DDFBED"/>
        <bgColor indexed="64"/>
      </patternFill>
    </fill>
    <fill>
      <patternFill patternType="solid">
        <fgColor rgb="FFE4FCF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</fills>
  <borders count="12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/>
      <top style="thick">
        <color indexed="64"/>
      </top>
      <bottom style="medium">
        <color indexed="64"/>
      </bottom>
      <diagonal/>
    </border>
    <border>
      <left/>
      <right/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ck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/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/>
      <bottom style="medium">
        <color indexed="64"/>
      </bottom>
      <diagonal/>
    </border>
    <border>
      <left style="medium">
        <color indexed="64"/>
      </left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 style="thick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ck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ck">
        <color indexed="64"/>
      </right>
      <top style="medium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ck">
        <color indexed="64"/>
      </bottom>
      <diagonal/>
    </border>
    <border>
      <left/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/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/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/>
      <top style="thick">
        <color indexed="64"/>
      </top>
      <bottom/>
      <diagonal/>
    </border>
    <border>
      <left style="thin">
        <color indexed="64"/>
      </left>
      <right/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37">
    <xf numFmtId="0" fontId="0" fillId="0" borderId="0" xfId="0"/>
    <xf numFmtId="0" fontId="2" fillId="0" borderId="9" xfId="0" applyFont="1" applyBorder="1"/>
    <xf numFmtId="0" fontId="2" fillId="0" borderId="0" xfId="0" applyFont="1" applyBorder="1"/>
    <xf numFmtId="0" fontId="2" fillId="0" borderId="8" xfId="0" applyFont="1" applyBorder="1"/>
    <xf numFmtId="0" fontId="2" fillId="0" borderId="0" xfId="0" applyFont="1" applyBorder="1" applyAlignment="1">
      <alignment horizontal="right"/>
    </xf>
    <xf numFmtId="0" fontId="2" fillId="0" borderId="2" xfId="0" applyFont="1" applyBorder="1"/>
    <xf numFmtId="0" fontId="2" fillId="2" borderId="36" xfId="0" applyFont="1" applyFill="1" applyBorder="1"/>
    <xf numFmtId="0" fontId="2" fillId="2" borderId="37" xfId="0" applyFont="1" applyFill="1" applyBorder="1"/>
    <xf numFmtId="0" fontId="2" fillId="2" borderId="38" xfId="0" applyFont="1" applyFill="1" applyBorder="1"/>
    <xf numFmtId="0" fontId="2" fillId="8" borderId="0" xfId="0" applyFont="1" applyFill="1" applyBorder="1" applyAlignment="1">
      <alignment horizontal="right" vertical="center"/>
    </xf>
    <xf numFmtId="0" fontId="2" fillId="8" borderId="0" xfId="0" applyFont="1" applyFill="1" applyBorder="1" applyAlignment="1">
      <alignment horizontal="right"/>
    </xf>
    <xf numFmtId="0" fontId="2" fillId="2" borderId="5" xfId="0" applyFont="1" applyFill="1" applyBorder="1" applyAlignment="1">
      <alignment horizontal="center"/>
    </xf>
    <xf numFmtId="0" fontId="2" fillId="2" borderId="15" xfId="0" applyFont="1" applyFill="1" applyBorder="1"/>
    <xf numFmtId="0" fontId="2" fillId="8" borderId="44" xfId="0" applyFont="1" applyFill="1" applyBorder="1" applyAlignment="1">
      <alignment horizontal="right" vertical="center"/>
    </xf>
    <xf numFmtId="0" fontId="2" fillId="8" borderId="39" xfId="0" applyFont="1" applyFill="1" applyBorder="1" applyAlignment="1">
      <alignment horizontal="right" vertical="center"/>
    </xf>
    <xf numFmtId="0" fontId="2" fillId="8" borderId="44" xfId="0" applyFont="1" applyFill="1" applyBorder="1" applyAlignment="1">
      <alignment horizontal="right"/>
    </xf>
    <xf numFmtId="0" fontId="2" fillId="8" borderId="39" xfId="0" applyFont="1" applyFill="1" applyBorder="1" applyAlignment="1">
      <alignment horizontal="right"/>
    </xf>
    <xf numFmtId="0" fontId="2" fillId="8" borderId="45" xfId="0" applyFont="1" applyFill="1" applyBorder="1" applyAlignment="1">
      <alignment horizontal="right"/>
    </xf>
    <xf numFmtId="0" fontId="2" fillId="8" borderId="51" xfId="0" applyFont="1" applyFill="1" applyBorder="1" applyAlignment="1">
      <alignment horizontal="right" vertical="center"/>
    </xf>
    <xf numFmtId="0" fontId="2" fillId="8" borderId="19" xfId="0" applyFont="1" applyFill="1" applyBorder="1" applyAlignment="1">
      <alignment horizontal="right" vertical="center"/>
    </xf>
    <xf numFmtId="0" fontId="2" fillId="2" borderId="5" xfId="0" applyFont="1" applyFill="1" applyBorder="1" applyAlignment="1"/>
    <xf numFmtId="0" fontId="2" fillId="7" borderId="44" xfId="0" applyFont="1" applyFill="1" applyBorder="1" applyAlignment="1">
      <alignment horizontal="right" vertical="center"/>
    </xf>
    <xf numFmtId="0" fontId="2" fillId="7" borderId="39" xfId="0" applyFont="1" applyFill="1" applyBorder="1" applyAlignment="1">
      <alignment horizontal="right" vertical="center"/>
    </xf>
    <xf numFmtId="0" fontId="2" fillId="7" borderId="44" xfId="0" applyFont="1" applyFill="1" applyBorder="1" applyAlignment="1">
      <alignment horizontal="right"/>
    </xf>
    <xf numFmtId="0" fontId="2" fillId="7" borderId="39" xfId="0" applyFont="1" applyFill="1" applyBorder="1" applyAlignment="1">
      <alignment horizontal="right"/>
    </xf>
    <xf numFmtId="0" fontId="2" fillId="7" borderId="45" xfId="0" applyFont="1" applyFill="1" applyBorder="1" applyAlignment="1">
      <alignment horizontal="right"/>
    </xf>
    <xf numFmtId="0" fontId="2" fillId="7" borderId="44" xfId="0" applyFont="1" applyFill="1" applyBorder="1" applyAlignment="1">
      <alignment vertical="center"/>
    </xf>
    <xf numFmtId="0" fontId="2" fillId="7" borderId="39" xfId="0" applyFont="1" applyFill="1" applyBorder="1" applyAlignment="1">
      <alignment vertical="center"/>
    </xf>
    <xf numFmtId="0" fontId="2" fillId="7" borderId="45" xfId="0" applyFont="1" applyFill="1" applyBorder="1" applyAlignment="1">
      <alignment vertical="center"/>
    </xf>
    <xf numFmtId="0" fontId="2" fillId="7" borderId="45" xfId="0" applyFont="1" applyFill="1" applyBorder="1" applyAlignment="1">
      <alignment horizontal="right" vertical="center"/>
    </xf>
    <xf numFmtId="0" fontId="2" fillId="8" borderId="52" xfId="0" applyFont="1" applyFill="1" applyBorder="1" applyAlignment="1">
      <alignment horizontal="right" vertical="center"/>
    </xf>
    <xf numFmtId="0" fontId="2" fillId="7" borderId="52" xfId="0" applyFont="1" applyFill="1" applyBorder="1" applyAlignment="1">
      <alignment horizontal="right" vertical="center"/>
    </xf>
    <xf numFmtId="0" fontId="2" fillId="7" borderId="46" xfId="0" applyFont="1" applyFill="1" applyBorder="1" applyAlignment="1">
      <alignment horizontal="right"/>
    </xf>
    <xf numFmtId="0" fontId="2" fillId="7" borderId="52" xfId="0" applyFont="1" applyFill="1" applyBorder="1" applyAlignment="1">
      <alignment vertical="center"/>
    </xf>
    <xf numFmtId="0" fontId="2" fillId="7" borderId="46" xfId="0" applyFont="1" applyFill="1" applyBorder="1" applyAlignment="1">
      <alignment vertical="center"/>
    </xf>
    <xf numFmtId="0" fontId="2" fillId="8" borderId="50" xfId="0" applyFont="1" applyFill="1" applyBorder="1" applyAlignment="1">
      <alignment horizontal="right" vertical="center"/>
    </xf>
    <xf numFmtId="0" fontId="2" fillId="8" borderId="31" xfId="0" applyFont="1" applyFill="1" applyBorder="1" applyAlignment="1">
      <alignment horizontal="right"/>
    </xf>
    <xf numFmtId="0" fontId="2" fillId="7" borderId="55" xfId="0" applyFont="1" applyFill="1" applyBorder="1" applyAlignment="1">
      <alignment horizontal="center" vertical="center"/>
    </xf>
    <xf numFmtId="0" fontId="2" fillId="7" borderId="57" xfId="0" applyFont="1" applyFill="1" applyBorder="1" applyAlignment="1">
      <alignment vertical="center"/>
    </xf>
    <xf numFmtId="0" fontId="2" fillId="7" borderId="58" xfId="0" applyFont="1" applyFill="1" applyBorder="1" applyAlignment="1">
      <alignment vertical="center"/>
    </xf>
    <xf numFmtId="0" fontId="2" fillId="7" borderId="59" xfId="0" applyFont="1" applyFill="1" applyBorder="1" applyAlignment="1">
      <alignment vertical="center"/>
    </xf>
    <xf numFmtId="0" fontId="2" fillId="7" borderId="48" xfId="0" applyFont="1" applyFill="1" applyBorder="1" applyAlignment="1">
      <alignment vertical="center"/>
    </xf>
    <xf numFmtId="0" fontId="2" fillId="0" borderId="62" xfId="0" applyFont="1" applyBorder="1"/>
    <xf numFmtId="0" fontId="2" fillId="0" borderId="47" xfId="0" applyFont="1" applyBorder="1" applyAlignment="1">
      <alignment horizontal="center" vertical="center"/>
    </xf>
    <xf numFmtId="0" fontId="2" fillId="4" borderId="36" xfId="0" applyFont="1" applyFill="1" applyBorder="1"/>
    <xf numFmtId="0" fontId="2" fillId="4" borderId="37" xfId="0" applyFont="1" applyFill="1" applyBorder="1"/>
    <xf numFmtId="0" fontId="2" fillId="4" borderId="38" xfId="0" applyFont="1" applyFill="1" applyBorder="1"/>
    <xf numFmtId="0" fontId="2" fillId="0" borderId="1" xfId="0" applyFont="1" applyBorder="1" applyAlignment="1">
      <alignment horizontal="right" vertical="center"/>
    </xf>
    <xf numFmtId="0" fontId="2" fillId="0" borderId="2" xfId="0" applyFont="1" applyBorder="1" applyAlignment="1">
      <alignment horizontal="right" vertical="center"/>
    </xf>
    <xf numFmtId="0" fontId="2" fillId="0" borderId="2" xfId="0" applyFont="1" applyBorder="1" applyAlignment="1">
      <alignment horizontal="right"/>
    </xf>
    <xf numFmtId="0" fontId="2" fillId="0" borderId="66" xfId="0" applyFont="1" applyBorder="1"/>
    <xf numFmtId="0" fontId="2" fillId="0" borderId="69" xfId="0" applyFont="1" applyBorder="1" applyAlignment="1">
      <alignment horizontal="center" vertical="center"/>
    </xf>
    <xf numFmtId="0" fontId="2" fillId="0" borderId="32" xfId="0" applyFont="1" applyBorder="1"/>
    <xf numFmtId="0" fontId="2" fillId="7" borderId="6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7" borderId="71" xfId="0" applyFont="1" applyFill="1" applyBorder="1" applyAlignment="1">
      <alignment vertical="center"/>
    </xf>
    <xf numFmtId="0" fontId="2" fillId="7" borderId="53" xfId="0" applyFont="1" applyFill="1" applyBorder="1" applyAlignment="1">
      <alignment vertical="center"/>
    </xf>
    <xf numFmtId="0" fontId="2" fillId="7" borderId="51" xfId="0" applyFont="1" applyFill="1" applyBorder="1" applyAlignment="1">
      <alignment vertical="center"/>
    </xf>
    <xf numFmtId="0" fontId="2" fillId="7" borderId="19" xfId="0" applyFont="1" applyFill="1" applyBorder="1" applyAlignment="1">
      <alignment vertical="center"/>
    </xf>
    <xf numFmtId="0" fontId="2" fillId="7" borderId="50" xfId="0" applyFont="1" applyFill="1" applyBorder="1" applyAlignment="1">
      <alignment vertical="center"/>
    </xf>
    <xf numFmtId="0" fontId="2" fillId="7" borderId="54" xfId="0" applyFont="1" applyFill="1" applyBorder="1" applyAlignment="1">
      <alignment vertical="center"/>
    </xf>
    <xf numFmtId="0" fontId="2" fillId="8" borderId="45" xfId="0" applyFont="1" applyFill="1" applyBorder="1" applyAlignment="1">
      <alignment vertical="center"/>
    </xf>
    <xf numFmtId="0" fontId="2" fillId="8" borderId="44" xfId="0" applyFont="1" applyFill="1" applyBorder="1" applyAlignment="1">
      <alignment vertical="center"/>
    </xf>
    <xf numFmtId="0" fontId="2" fillId="0" borderId="70" xfId="0" applyFont="1" applyBorder="1" applyAlignment="1">
      <alignment horizontal="right"/>
    </xf>
    <xf numFmtId="0" fontId="2" fillId="0" borderId="4" xfId="0" applyFont="1" applyBorder="1" applyAlignment="1">
      <alignment horizontal="right" vertical="center"/>
    </xf>
    <xf numFmtId="0" fontId="2" fillId="0" borderId="0" xfId="0" applyFont="1" applyBorder="1" applyAlignment="1">
      <alignment horizontal="right" vertical="center"/>
    </xf>
    <xf numFmtId="0" fontId="2" fillId="0" borderId="76" xfId="0" applyFont="1" applyBorder="1" applyAlignment="1">
      <alignment horizontal="right" vertical="center"/>
    </xf>
    <xf numFmtId="0" fontId="2" fillId="0" borderId="49" xfId="0" applyFont="1" applyBorder="1" applyAlignment="1">
      <alignment horizontal="right" vertical="center"/>
    </xf>
    <xf numFmtId="0" fontId="2" fillId="0" borderId="49" xfId="0" applyFont="1" applyFill="1" applyBorder="1" applyAlignment="1">
      <alignment horizontal="right" vertical="center"/>
    </xf>
    <xf numFmtId="0" fontId="2" fillId="0" borderId="49" xfId="0" applyFont="1" applyFill="1" applyBorder="1" applyAlignment="1">
      <alignment horizontal="right"/>
    </xf>
    <xf numFmtId="0" fontId="2" fillId="0" borderId="49" xfId="0" applyFont="1" applyBorder="1"/>
    <xf numFmtId="0" fontId="2" fillId="0" borderId="77" xfId="0" applyFont="1" applyBorder="1"/>
    <xf numFmtId="0" fontId="2" fillId="0" borderId="77" xfId="0" applyFont="1" applyFill="1" applyBorder="1" applyAlignment="1">
      <alignment horizontal="right"/>
    </xf>
    <xf numFmtId="0" fontId="2" fillId="0" borderId="61" xfId="0" applyFont="1" applyBorder="1" applyAlignment="1">
      <alignment horizontal="center" vertical="center"/>
    </xf>
    <xf numFmtId="0" fontId="2" fillId="2" borderId="5" xfId="0" applyFont="1" applyFill="1" applyBorder="1" applyAlignment="1">
      <alignment vertical="center"/>
    </xf>
    <xf numFmtId="0" fontId="2" fillId="5" borderId="13" xfId="0" applyFont="1" applyFill="1" applyBorder="1" applyAlignment="1">
      <alignment vertical="center"/>
    </xf>
    <xf numFmtId="0" fontId="2" fillId="6" borderId="13" xfId="0" applyFont="1" applyFill="1" applyBorder="1" applyAlignment="1">
      <alignment vertical="center"/>
    </xf>
    <xf numFmtId="0" fontId="2" fillId="0" borderId="54" xfId="0" applyFont="1" applyBorder="1" applyAlignment="1">
      <alignment horizontal="center" vertical="center"/>
    </xf>
    <xf numFmtId="0" fontId="2" fillId="0" borderId="87" xfId="0" applyFont="1" applyBorder="1" applyAlignment="1">
      <alignment horizontal="center" vertical="center"/>
    </xf>
    <xf numFmtId="0" fontId="2" fillId="0" borderId="49" xfId="0" applyFont="1" applyBorder="1" applyAlignment="1">
      <alignment horizontal="right"/>
    </xf>
    <xf numFmtId="0" fontId="2" fillId="0" borderId="25" xfId="0" applyFont="1" applyBorder="1" applyAlignment="1">
      <alignment horizontal="center" vertical="center"/>
    </xf>
    <xf numFmtId="0" fontId="2" fillId="0" borderId="4" xfId="0" applyFont="1" applyBorder="1"/>
    <xf numFmtId="0" fontId="2" fillId="0" borderId="7" xfId="0" applyFont="1" applyBorder="1"/>
    <xf numFmtId="0" fontId="2" fillId="0" borderId="4" xfId="0" applyFont="1" applyFill="1" applyBorder="1" applyAlignment="1">
      <alignment horizontal="right" vertical="center"/>
    </xf>
    <xf numFmtId="0" fontId="2" fillId="0" borderId="0" xfId="0" applyFont="1" applyFill="1" applyBorder="1" applyAlignment="1">
      <alignment horizontal="right" vertical="center"/>
    </xf>
    <xf numFmtId="0" fontId="2" fillId="0" borderId="66" xfId="0" applyFont="1" applyBorder="1" applyAlignment="1">
      <alignment horizontal="right" vertical="center"/>
    </xf>
    <xf numFmtId="0" fontId="2" fillId="2" borderId="55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right"/>
    </xf>
    <xf numFmtId="0" fontId="2" fillId="0" borderId="10" xfId="0" applyFont="1" applyBorder="1" applyAlignment="1">
      <alignment horizontal="right" vertical="center"/>
    </xf>
    <xf numFmtId="0" fontId="2" fillId="0" borderId="12" xfId="0" applyFont="1" applyBorder="1" applyAlignment="1">
      <alignment horizontal="right" vertical="center"/>
    </xf>
    <xf numFmtId="0" fontId="2" fillId="0" borderId="12" xfId="0" applyFont="1" applyBorder="1" applyAlignment="1">
      <alignment horizontal="right"/>
    </xf>
    <xf numFmtId="0" fontId="2" fillId="0" borderId="26" xfId="0" applyFont="1" applyBorder="1" applyAlignment="1">
      <alignment horizontal="right"/>
    </xf>
    <xf numFmtId="0" fontId="2" fillId="0" borderId="66" xfId="0" applyFont="1" applyBorder="1" applyAlignment="1">
      <alignment horizontal="right"/>
    </xf>
    <xf numFmtId="0" fontId="2" fillId="9" borderId="35" xfId="0" applyFont="1" applyFill="1" applyBorder="1"/>
    <xf numFmtId="176" fontId="2" fillId="9" borderId="35" xfId="0" applyNumberFormat="1" applyFont="1" applyFill="1" applyBorder="1"/>
    <xf numFmtId="176" fontId="2" fillId="9" borderId="35" xfId="0" applyNumberFormat="1" applyFont="1" applyFill="1" applyBorder="1" applyAlignment="1">
      <alignment vertical="center"/>
    </xf>
    <xf numFmtId="176" fontId="2" fillId="0" borderId="35" xfId="0" applyNumberFormat="1" applyFont="1" applyBorder="1"/>
    <xf numFmtId="176" fontId="2" fillId="9" borderId="90" xfId="0" applyNumberFormat="1" applyFont="1" applyFill="1" applyBorder="1"/>
    <xf numFmtId="176" fontId="2" fillId="0" borderId="90" xfId="0" applyNumberFormat="1" applyFont="1" applyBorder="1"/>
    <xf numFmtId="176" fontId="2" fillId="9" borderId="89" xfId="0" applyNumberFormat="1" applyFont="1" applyFill="1" applyBorder="1"/>
    <xf numFmtId="176" fontId="2" fillId="0" borderId="89" xfId="0" applyNumberFormat="1" applyFont="1" applyBorder="1"/>
    <xf numFmtId="0" fontId="2" fillId="0" borderId="0" xfId="0" applyFont="1"/>
    <xf numFmtId="0" fontId="2" fillId="0" borderId="35" xfId="0" applyFont="1" applyBorder="1"/>
    <xf numFmtId="0" fontId="2" fillId="0" borderId="34" xfId="0" applyFont="1" applyBorder="1" applyAlignment="1">
      <alignment vertical="center"/>
    </xf>
    <xf numFmtId="0" fontId="2" fillId="0" borderId="33" xfId="0" applyFont="1" applyBorder="1" applyAlignment="1">
      <alignment vertical="center"/>
    </xf>
    <xf numFmtId="0" fontId="2" fillId="0" borderId="12" xfId="0" applyFont="1" applyBorder="1" applyAlignment="1">
      <alignment vertical="center"/>
    </xf>
    <xf numFmtId="0" fontId="2" fillId="0" borderId="34" xfId="0" applyFont="1" applyFill="1" applyBorder="1" applyAlignment="1">
      <alignment vertical="center"/>
    </xf>
    <xf numFmtId="0" fontId="2" fillId="0" borderId="12" xfId="0" applyFont="1" applyFill="1" applyBorder="1" applyAlignment="1">
      <alignment vertical="center"/>
    </xf>
    <xf numFmtId="0" fontId="2" fillId="0" borderId="68" xfId="0" applyFont="1" applyFill="1" applyBorder="1" applyAlignment="1">
      <alignment vertical="center"/>
    </xf>
    <xf numFmtId="0" fontId="2" fillId="0" borderId="60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41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0" fontId="2" fillId="0" borderId="3" xfId="0" applyFont="1" applyBorder="1"/>
    <xf numFmtId="0" fontId="2" fillId="0" borderId="1" xfId="0" applyFont="1" applyBorder="1"/>
    <xf numFmtId="0" fontId="2" fillId="0" borderId="4" xfId="0" applyFont="1" applyBorder="1" applyAlignment="1">
      <alignment horizontal="right"/>
    </xf>
    <xf numFmtId="0" fontId="2" fillId="0" borderId="31" xfId="0" applyFont="1" applyBorder="1" applyAlignment="1">
      <alignment horizontal="right"/>
    </xf>
    <xf numFmtId="0" fontId="2" fillId="0" borderId="31" xfId="0" applyFont="1" applyBorder="1"/>
    <xf numFmtId="0" fontId="2" fillId="0" borderId="76" xfId="0" applyFont="1" applyBorder="1"/>
    <xf numFmtId="0" fontId="2" fillId="0" borderId="73" xfId="0" applyFont="1" applyBorder="1"/>
    <xf numFmtId="0" fontId="2" fillId="0" borderId="10" xfId="0" applyFont="1" applyBorder="1" applyAlignment="1">
      <alignment horizontal="right"/>
    </xf>
    <xf numFmtId="0" fontId="2" fillId="0" borderId="11" xfId="0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2" fillId="0" borderId="3" xfId="0" applyFont="1" applyBorder="1" applyAlignment="1">
      <alignment horizontal="right"/>
    </xf>
    <xf numFmtId="0" fontId="2" fillId="0" borderId="76" xfId="0" applyFont="1" applyFill="1" applyBorder="1" applyAlignment="1">
      <alignment horizontal="right" vertical="center"/>
    </xf>
    <xf numFmtId="0" fontId="2" fillId="0" borderId="73" xfId="0" applyFont="1" applyFill="1" applyBorder="1" applyAlignment="1">
      <alignment horizontal="right" vertical="center"/>
    </xf>
    <xf numFmtId="0" fontId="2" fillId="0" borderId="31" xfId="0" applyFont="1" applyBorder="1" applyAlignment="1">
      <alignment horizontal="right" vertical="center"/>
    </xf>
    <xf numFmtId="0" fontId="2" fillId="0" borderId="76" xfId="0" applyFont="1" applyBorder="1" applyAlignment="1">
      <alignment horizontal="right"/>
    </xf>
    <xf numFmtId="0" fontId="2" fillId="0" borderId="60" xfId="0" applyFont="1" applyFill="1" applyBorder="1" applyAlignment="1">
      <alignment vertical="center"/>
    </xf>
    <xf numFmtId="0" fontId="2" fillId="0" borderId="49" xfId="0" applyFont="1" applyFill="1" applyBorder="1" applyAlignment="1">
      <alignment vertical="center"/>
    </xf>
    <xf numFmtId="0" fontId="2" fillId="0" borderId="41" xfId="0" applyFont="1" applyFill="1" applyBorder="1" applyAlignment="1">
      <alignment vertical="center"/>
    </xf>
    <xf numFmtId="0" fontId="2" fillId="0" borderId="0" xfId="0" applyFont="1" applyBorder="1" applyAlignment="1">
      <alignment vertical="center"/>
    </xf>
    <xf numFmtId="0" fontId="2" fillId="0" borderId="14" xfId="0" applyFont="1" applyBorder="1" applyAlignment="1">
      <alignment vertical="center"/>
    </xf>
    <xf numFmtId="0" fontId="2" fillId="0" borderId="42" xfId="0" applyFont="1" applyFill="1" applyBorder="1" applyAlignment="1">
      <alignment vertical="center"/>
    </xf>
    <xf numFmtId="0" fontId="2" fillId="0" borderId="20" xfId="0" applyFont="1" applyFill="1" applyBorder="1" applyAlignment="1">
      <alignment vertical="center"/>
    </xf>
    <xf numFmtId="0" fontId="2" fillId="8" borderId="76" xfId="0" applyFont="1" applyFill="1" applyBorder="1" applyAlignment="1">
      <alignment horizontal="right" vertical="center"/>
    </xf>
    <xf numFmtId="0" fontId="2" fillId="8" borderId="49" xfId="0" applyFont="1" applyFill="1" applyBorder="1" applyAlignment="1">
      <alignment horizontal="right" vertical="center"/>
    </xf>
    <xf numFmtId="0" fontId="2" fillId="8" borderId="41" xfId="0" applyFont="1" applyFill="1" applyBorder="1" applyAlignment="1">
      <alignment horizontal="right" vertical="center"/>
    </xf>
    <xf numFmtId="0" fontId="2" fillId="8" borderId="49" xfId="0" applyFont="1" applyFill="1" applyBorder="1" applyAlignment="1">
      <alignment horizontal="right"/>
    </xf>
    <xf numFmtId="0" fontId="2" fillId="8" borderId="41" xfId="0" applyFont="1" applyFill="1" applyBorder="1" applyAlignment="1">
      <alignment horizontal="right"/>
    </xf>
    <xf numFmtId="0" fontId="2" fillId="8" borderId="60" xfId="0" applyFont="1" applyFill="1" applyBorder="1" applyAlignment="1">
      <alignment horizontal="right"/>
    </xf>
    <xf numFmtId="0" fontId="2" fillId="8" borderId="2" xfId="0" applyFont="1" applyFill="1" applyBorder="1" applyAlignment="1">
      <alignment horizontal="right" vertical="center"/>
    </xf>
    <xf numFmtId="0" fontId="2" fillId="5" borderId="56" xfId="0" applyFont="1" applyFill="1" applyBorder="1" applyAlignment="1">
      <alignment vertical="center"/>
    </xf>
    <xf numFmtId="0" fontId="2" fillId="6" borderId="56" xfId="0" applyFont="1" applyFill="1" applyBorder="1" applyAlignment="1">
      <alignment vertical="center"/>
    </xf>
    <xf numFmtId="0" fontId="2" fillId="8" borderId="2" xfId="0" applyFont="1" applyFill="1" applyBorder="1" applyAlignment="1">
      <alignment horizontal="right"/>
    </xf>
    <xf numFmtId="0" fontId="2" fillId="8" borderId="3" xfId="0" applyFont="1" applyFill="1" applyBorder="1" applyAlignment="1">
      <alignment horizontal="right"/>
    </xf>
    <xf numFmtId="0" fontId="2" fillId="2" borderId="6" xfId="0" applyFont="1" applyFill="1" applyBorder="1" applyAlignment="1">
      <alignment vertical="center"/>
    </xf>
    <xf numFmtId="0" fontId="2" fillId="8" borderId="4" xfId="0" applyFont="1" applyFill="1" applyBorder="1" applyAlignment="1">
      <alignment horizontal="center" vertical="center"/>
    </xf>
    <xf numFmtId="0" fontId="2" fillId="8" borderId="9" xfId="0" applyFont="1" applyFill="1" applyBorder="1" applyAlignment="1">
      <alignment horizontal="right" vertical="center"/>
    </xf>
    <xf numFmtId="0" fontId="2" fillId="8" borderId="72" xfId="0" applyFont="1" applyFill="1" applyBorder="1" applyAlignment="1">
      <alignment horizontal="right" vertical="center"/>
    </xf>
    <xf numFmtId="0" fontId="2" fillId="8" borderId="79" xfId="0" applyFont="1" applyFill="1" applyBorder="1" applyAlignment="1">
      <alignment horizontal="right" vertical="center"/>
    </xf>
    <xf numFmtId="0" fontId="2" fillId="8" borderId="72" xfId="0" applyFont="1" applyFill="1" applyBorder="1" applyAlignment="1">
      <alignment horizontal="right"/>
    </xf>
    <xf numFmtId="0" fontId="2" fillId="8" borderId="79" xfId="0" applyFont="1" applyFill="1" applyBorder="1" applyAlignment="1">
      <alignment horizontal="right"/>
    </xf>
    <xf numFmtId="0" fontId="2" fillId="8" borderId="74" xfId="0" applyFont="1" applyFill="1" applyBorder="1" applyAlignment="1">
      <alignment horizontal="right"/>
    </xf>
    <xf numFmtId="0" fontId="2" fillId="8" borderId="14" xfId="0" applyFont="1" applyFill="1" applyBorder="1" applyAlignment="1">
      <alignment horizontal="right" vertical="center"/>
    </xf>
    <xf numFmtId="0" fontId="2" fillId="8" borderId="56" xfId="0" applyFont="1" applyFill="1" applyBorder="1" applyAlignment="1">
      <alignment horizontal="right" vertical="center"/>
    </xf>
    <xf numFmtId="0" fontId="2" fillId="8" borderId="15" xfId="0" applyFont="1" applyFill="1" applyBorder="1" applyAlignment="1">
      <alignment horizontal="right" vertical="center"/>
    </xf>
    <xf numFmtId="0" fontId="2" fillId="5" borderId="34" xfId="0" applyFont="1" applyFill="1" applyBorder="1" applyAlignment="1">
      <alignment vertical="center"/>
    </xf>
    <xf numFmtId="0" fontId="2" fillId="6" borderId="34" xfId="0" applyFont="1" applyFill="1" applyBorder="1" applyAlignment="1">
      <alignment vertical="center"/>
    </xf>
    <xf numFmtId="176" fontId="2" fillId="10" borderId="90" xfId="0" applyNumberFormat="1" applyFont="1" applyFill="1" applyBorder="1"/>
    <xf numFmtId="0" fontId="2" fillId="7" borderId="5" xfId="0" applyFont="1" applyFill="1" applyBorder="1" applyAlignment="1">
      <alignment horizontal="center" vertical="center"/>
    </xf>
    <xf numFmtId="0" fontId="0" fillId="0" borderId="0" xfId="0" applyFill="1"/>
    <xf numFmtId="0" fontId="2" fillId="9" borderId="90" xfId="0" applyFont="1" applyFill="1" applyBorder="1"/>
    <xf numFmtId="0" fontId="2" fillId="0" borderId="6" xfId="0" applyFont="1" applyBorder="1" applyAlignment="1">
      <alignment horizontal="center" vertical="center"/>
    </xf>
    <xf numFmtId="0" fontId="2" fillId="0" borderId="62" xfId="0" applyFont="1" applyBorder="1" applyAlignment="1">
      <alignment horizontal="center" vertical="center"/>
    </xf>
    <xf numFmtId="0" fontId="4" fillId="0" borderId="35" xfId="0" applyFont="1" applyBorder="1"/>
    <xf numFmtId="0" fontId="4" fillId="0" borderId="35" xfId="0" applyFont="1" applyBorder="1" applyAlignment="1">
      <alignment horizontal="left" vertical="top"/>
    </xf>
    <xf numFmtId="0" fontId="4" fillId="0" borderId="35" xfId="0" applyFont="1" applyBorder="1" applyAlignment="1">
      <alignment horizontal="center"/>
    </xf>
    <xf numFmtId="0" fontId="2" fillId="0" borderId="31" xfId="0" applyFont="1" applyBorder="1" applyAlignment="1">
      <alignment horizontal="center" vertical="center"/>
    </xf>
    <xf numFmtId="0" fontId="2" fillId="0" borderId="73" xfId="0" applyFont="1" applyBorder="1" applyAlignment="1">
      <alignment horizontal="center" vertical="center"/>
    </xf>
    <xf numFmtId="0" fontId="4" fillId="11" borderId="35" xfId="0" applyFont="1" applyFill="1" applyBorder="1"/>
    <xf numFmtId="0" fontId="2" fillId="0" borderId="27" xfId="0" applyFont="1" applyFill="1" applyBorder="1" applyAlignment="1">
      <alignment vertical="center"/>
    </xf>
    <xf numFmtId="0" fontId="2" fillId="4" borderId="15" xfId="0" applyFont="1" applyFill="1" applyBorder="1"/>
    <xf numFmtId="0" fontId="2" fillId="4" borderId="94" xfId="0" applyFont="1" applyFill="1" applyBorder="1"/>
    <xf numFmtId="0" fontId="2" fillId="0" borderId="75" xfId="0" applyFont="1" applyBorder="1" applyAlignment="1">
      <alignment horizontal="center" vertical="center"/>
    </xf>
    <xf numFmtId="0" fontId="2" fillId="0" borderId="97" xfId="0" applyFont="1" applyBorder="1"/>
    <xf numFmtId="0" fontId="2" fillId="0" borderId="96" xfId="0" applyFont="1" applyBorder="1" applyAlignment="1">
      <alignment horizontal="center" vertical="center"/>
    </xf>
    <xf numFmtId="0" fontId="2" fillId="0" borderId="100" xfId="0" applyFont="1" applyBorder="1" applyAlignment="1">
      <alignment horizontal="right" vertical="center"/>
    </xf>
    <xf numFmtId="0" fontId="2" fillId="0" borderId="101" xfId="0" applyFont="1" applyBorder="1" applyAlignment="1">
      <alignment horizontal="right" vertical="center"/>
    </xf>
    <xf numFmtId="0" fontId="2" fillId="0" borderId="100" xfId="0" applyFont="1" applyFill="1" applyBorder="1" applyAlignment="1">
      <alignment horizontal="right" vertical="center"/>
    </xf>
    <xf numFmtId="0" fontId="2" fillId="0" borderId="101" xfId="0" applyFont="1" applyFill="1" applyBorder="1" applyAlignment="1">
      <alignment horizontal="right" vertical="center"/>
    </xf>
    <xf numFmtId="0" fontId="2" fillId="0" borderId="96" xfId="0" applyFont="1" applyFill="1" applyBorder="1" applyAlignment="1">
      <alignment horizontal="right" vertical="center"/>
    </xf>
    <xf numFmtId="0" fontId="2" fillId="0" borderId="100" xfId="0" applyFont="1" applyBorder="1" applyAlignment="1">
      <alignment vertical="center"/>
    </xf>
    <xf numFmtId="0" fontId="2" fillId="0" borderId="101" xfId="0" applyFont="1" applyBorder="1" applyAlignment="1">
      <alignment vertical="center"/>
    </xf>
    <xf numFmtId="0" fontId="2" fillId="0" borderId="102" xfId="0" applyFont="1" applyBorder="1" applyAlignment="1">
      <alignment vertical="center"/>
    </xf>
    <xf numFmtId="0" fontId="2" fillId="0" borderId="105" xfId="0" applyFont="1" applyBorder="1" applyAlignment="1">
      <alignment vertical="center"/>
    </xf>
    <xf numFmtId="0" fontId="2" fillId="0" borderId="96" xfId="0" applyFont="1" applyBorder="1" applyAlignment="1">
      <alignment vertical="center"/>
    </xf>
    <xf numFmtId="0" fontId="2" fillId="0" borderId="101" xfId="0" applyFont="1" applyFill="1" applyBorder="1" applyAlignment="1">
      <alignment horizontal="right"/>
    </xf>
    <xf numFmtId="0" fontId="2" fillId="0" borderId="106" xfId="0" applyFont="1" applyFill="1" applyBorder="1" applyAlignment="1">
      <alignment horizontal="right"/>
    </xf>
    <xf numFmtId="0" fontId="2" fillId="2" borderId="108" xfId="0" applyFont="1" applyFill="1" applyBorder="1" applyAlignment="1">
      <alignment horizontal="center"/>
    </xf>
    <xf numFmtId="0" fontId="2" fillId="2" borderId="108" xfId="0" applyFont="1" applyFill="1" applyBorder="1" applyAlignment="1">
      <alignment horizontal="center" vertical="center"/>
    </xf>
    <xf numFmtId="0" fontId="2" fillId="2" borderId="109" xfId="0" applyFont="1" applyFill="1" applyBorder="1" applyAlignment="1">
      <alignment horizontal="center" vertical="center"/>
    </xf>
    <xf numFmtId="0" fontId="2" fillId="2" borderId="93" xfId="0" applyFont="1" applyFill="1" applyBorder="1" applyAlignment="1">
      <alignment horizontal="center" vertical="center"/>
    </xf>
    <xf numFmtId="0" fontId="2" fillId="0" borderId="3" xfId="0" applyFont="1" applyFill="1" applyBorder="1" applyAlignment="1">
      <alignment horizontal="right" vertical="center"/>
    </xf>
    <xf numFmtId="177" fontId="2" fillId="0" borderId="101" xfId="0" applyNumberFormat="1" applyFont="1" applyBorder="1" applyAlignment="1">
      <alignment horizontal="center" vertical="center"/>
    </xf>
    <xf numFmtId="177" fontId="2" fillId="0" borderId="12" xfId="0" applyNumberFormat="1" applyFont="1" applyBorder="1" applyAlignment="1">
      <alignment horizontal="center" vertical="center"/>
    </xf>
    <xf numFmtId="177" fontId="2" fillId="0" borderId="0" xfId="0" applyNumberFormat="1" applyFont="1" applyBorder="1" applyAlignment="1">
      <alignment horizontal="center" vertical="center"/>
    </xf>
    <xf numFmtId="177" fontId="2" fillId="0" borderId="58" xfId="0" applyNumberFormat="1" applyFont="1" applyBorder="1" applyAlignment="1">
      <alignment horizontal="center" vertical="center"/>
    </xf>
    <xf numFmtId="177" fontId="2" fillId="0" borderId="2" xfId="0" applyNumberFormat="1" applyFont="1" applyBorder="1" applyAlignment="1">
      <alignment horizontal="center" vertical="center"/>
    </xf>
    <xf numFmtId="177" fontId="2" fillId="0" borderId="84" xfId="0" applyNumberFormat="1" applyFont="1" applyBorder="1" applyAlignment="1">
      <alignment horizontal="center" vertical="center"/>
    </xf>
    <xf numFmtId="177" fontId="2" fillId="0" borderId="72" xfId="0" applyNumberFormat="1" applyFont="1" applyBorder="1" applyAlignment="1">
      <alignment horizontal="center" vertical="center"/>
    </xf>
    <xf numFmtId="177" fontId="2" fillId="0" borderId="5" xfId="0" applyNumberFormat="1" applyFont="1" applyBorder="1" applyAlignment="1">
      <alignment horizontal="center" vertical="center"/>
    </xf>
    <xf numFmtId="177" fontId="2" fillId="0" borderId="7" xfId="0" applyNumberFormat="1" applyFont="1" applyBorder="1" applyAlignment="1">
      <alignment horizontal="center" vertical="center"/>
    </xf>
    <xf numFmtId="0" fontId="5" fillId="0" borderId="35" xfId="0" applyFont="1" applyBorder="1"/>
    <xf numFmtId="0" fontId="5" fillId="0" borderId="35" xfId="0" applyFont="1" applyBorder="1" applyAlignment="1">
      <alignment horizontal="left" vertical="top"/>
    </xf>
    <xf numFmtId="0" fontId="2" fillId="8" borderId="73" xfId="0" applyFont="1" applyFill="1" applyBorder="1" applyAlignment="1">
      <alignment horizontal="right"/>
    </xf>
    <xf numFmtId="0" fontId="2" fillId="8" borderId="16" xfId="0" applyFont="1" applyFill="1" applyBorder="1" applyAlignment="1">
      <alignment horizontal="right" vertical="center"/>
    </xf>
    <xf numFmtId="0" fontId="2" fillId="8" borderId="17" xfId="0" applyFont="1" applyFill="1" applyBorder="1" applyAlignment="1">
      <alignment horizontal="right" vertical="center"/>
    </xf>
    <xf numFmtId="0" fontId="2" fillId="8" borderId="111" xfId="0" applyFont="1" applyFill="1" applyBorder="1" applyAlignment="1">
      <alignment horizontal="right" vertical="center"/>
    </xf>
    <xf numFmtId="0" fontId="2" fillId="8" borderId="17" xfId="0" applyFont="1" applyFill="1" applyBorder="1" applyAlignment="1">
      <alignment horizontal="right"/>
    </xf>
    <xf numFmtId="0" fontId="2" fillId="8" borderId="111" xfId="0" applyFont="1" applyFill="1" applyBorder="1" applyAlignment="1">
      <alignment horizontal="right"/>
    </xf>
    <xf numFmtId="0" fontId="2" fillId="8" borderId="112" xfId="0" applyFont="1" applyFill="1" applyBorder="1" applyAlignment="1">
      <alignment horizontal="right"/>
    </xf>
    <xf numFmtId="0" fontId="2" fillId="8" borderId="18" xfId="0" applyFont="1" applyFill="1" applyBorder="1" applyAlignment="1">
      <alignment horizontal="right"/>
    </xf>
    <xf numFmtId="0" fontId="0" fillId="0" borderId="0" xfId="0"/>
    <xf numFmtId="0" fontId="7" fillId="0" borderId="35" xfId="0" applyFont="1" applyBorder="1" applyAlignment="1">
      <alignment horizontal="left" vertical="center" wrapText="1"/>
    </xf>
    <xf numFmtId="0" fontId="7" fillId="0" borderId="35" xfId="0" applyFont="1" applyBorder="1" applyAlignment="1">
      <alignment horizontal="right" vertical="center" wrapText="1"/>
    </xf>
    <xf numFmtId="0" fontId="7" fillId="0" borderId="89" xfId="0" applyFont="1" applyBorder="1" applyAlignment="1">
      <alignment horizontal="left" vertical="center" wrapText="1"/>
    </xf>
    <xf numFmtId="0" fontId="7" fillId="0" borderId="40" xfId="0" applyFont="1" applyBorder="1" applyAlignment="1">
      <alignment horizontal="left" vertical="center" wrapText="1"/>
    </xf>
    <xf numFmtId="0" fontId="8" fillId="0" borderId="35" xfId="0" applyFont="1" applyBorder="1" applyAlignment="1">
      <alignment horizontal="left" vertical="center" wrapText="1"/>
    </xf>
    <xf numFmtId="0" fontId="8" fillId="0" borderId="35" xfId="0" applyFont="1" applyBorder="1" applyAlignment="1">
      <alignment horizontal="right" vertical="center" wrapText="1"/>
    </xf>
    <xf numFmtId="0" fontId="8" fillId="0" borderId="40" xfId="0" applyFont="1" applyBorder="1" applyAlignment="1">
      <alignment horizontal="left" vertical="center" wrapText="1"/>
    </xf>
    <xf numFmtId="0" fontId="8" fillId="0" borderId="40" xfId="0" applyFont="1" applyBorder="1" applyAlignment="1">
      <alignment horizontal="right" vertical="center" wrapText="1"/>
    </xf>
    <xf numFmtId="0" fontId="8" fillId="0" borderId="89" xfId="0" applyFont="1" applyBorder="1" applyAlignment="1">
      <alignment horizontal="left" vertical="center" wrapText="1"/>
    </xf>
    <xf numFmtId="0" fontId="8" fillId="0" borderId="89" xfId="0" applyFont="1" applyBorder="1" applyAlignment="1">
      <alignment horizontal="right" vertical="center" wrapText="1"/>
    </xf>
    <xf numFmtId="0" fontId="7" fillId="0" borderId="40" xfId="0" applyFont="1" applyBorder="1" applyAlignment="1">
      <alignment horizontal="right" vertical="center" wrapText="1"/>
    </xf>
    <xf numFmtId="0" fontId="7" fillId="0" borderId="89" xfId="0" applyFont="1" applyBorder="1" applyAlignment="1">
      <alignment horizontal="right" vertical="center" wrapText="1"/>
    </xf>
    <xf numFmtId="0" fontId="2" fillId="0" borderId="76" xfId="0" applyFont="1" applyBorder="1" applyAlignment="1">
      <alignment vertical="center"/>
    </xf>
    <xf numFmtId="0" fontId="2" fillId="0" borderId="33" xfId="0" applyFont="1" applyFill="1" applyBorder="1" applyAlignment="1">
      <alignment vertical="center"/>
    </xf>
    <xf numFmtId="0" fontId="2" fillId="0" borderId="100" xfId="0" applyFont="1" applyBorder="1"/>
    <xf numFmtId="0" fontId="2" fillId="0" borderId="101" xfId="0" applyFont="1" applyBorder="1"/>
    <xf numFmtId="0" fontId="2" fillId="0" borderId="96" xfId="0" applyFont="1" applyBorder="1"/>
    <xf numFmtId="0" fontId="2" fillId="0" borderId="77" xfId="0" applyFont="1" applyBorder="1" applyAlignment="1">
      <alignment horizontal="right" vertical="center"/>
    </xf>
    <xf numFmtId="0" fontId="0" fillId="0" borderId="0" xfId="0"/>
    <xf numFmtId="0" fontId="9" fillId="0" borderId="35" xfId="0" applyFont="1" applyBorder="1" applyAlignment="1">
      <alignment horizontal="left" vertical="center" wrapText="1"/>
    </xf>
    <xf numFmtId="11" fontId="9" fillId="0" borderId="35" xfId="0" applyNumberFormat="1" applyFont="1" applyBorder="1" applyAlignment="1">
      <alignment horizontal="left" vertical="center" wrapText="1"/>
    </xf>
    <xf numFmtId="0" fontId="10" fillId="0" borderId="90" xfId="0" applyFont="1" applyBorder="1" applyAlignment="1">
      <alignment horizontal="left" vertical="center" wrapText="1"/>
    </xf>
    <xf numFmtId="0" fontId="10" fillId="13" borderId="90" xfId="0" applyFont="1" applyFill="1" applyBorder="1" applyAlignment="1">
      <alignment horizontal="left" vertical="center" wrapText="1"/>
    </xf>
    <xf numFmtId="0" fontId="9" fillId="13" borderId="35" xfId="0" applyFont="1" applyFill="1" applyBorder="1" applyAlignment="1">
      <alignment horizontal="left" vertical="center" wrapText="1"/>
    </xf>
    <xf numFmtId="0" fontId="2" fillId="8" borderId="5" xfId="0" applyFont="1" applyFill="1" applyBorder="1" applyAlignment="1">
      <alignment horizontal="center" vertical="center"/>
    </xf>
    <xf numFmtId="0" fontId="2" fillId="8" borderId="112" xfId="0" applyFont="1" applyFill="1" applyBorder="1" applyAlignment="1">
      <alignment vertical="center"/>
    </xf>
    <xf numFmtId="0" fontId="2" fillId="8" borderId="17" xfId="0" applyFont="1" applyFill="1" applyBorder="1" applyAlignment="1">
      <alignment vertical="center"/>
    </xf>
    <xf numFmtId="0" fontId="2" fillId="8" borderId="112" xfId="0" applyFont="1" applyFill="1" applyBorder="1" applyAlignment="1">
      <alignment horizontal="right" vertical="center"/>
    </xf>
    <xf numFmtId="0" fontId="2" fillId="14" borderId="5" xfId="0" applyFont="1" applyFill="1" applyBorder="1" applyAlignment="1">
      <alignment horizontal="center" vertical="center"/>
    </xf>
    <xf numFmtId="0" fontId="2" fillId="14" borderId="55" xfId="0" applyFont="1" applyFill="1" applyBorder="1" applyAlignment="1">
      <alignment horizontal="center" vertical="center"/>
    </xf>
    <xf numFmtId="0" fontId="2" fillId="14" borderId="71" xfId="0" applyFont="1" applyFill="1" applyBorder="1" applyAlignment="1">
      <alignment vertical="center"/>
    </xf>
    <xf numFmtId="0" fontId="2" fillId="14" borderId="58" xfId="0" applyFont="1" applyFill="1" applyBorder="1" applyAlignment="1">
      <alignment vertical="center"/>
    </xf>
    <xf numFmtId="0" fontId="2" fillId="14" borderId="59" xfId="0" applyFont="1" applyFill="1" applyBorder="1" applyAlignment="1">
      <alignment vertical="center"/>
    </xf>
    <xf numFmtId="0" fontId="2" fillId="14" borderId="57" xfId="0" applyFont="1" applyFill="1" applyBorder="1" applyAlignment="1">
      <alignment vertical="center"/>
    </xf>
    <xf numFmtId="0" fontId="2" fillId="14" borderId="48" xfId="0" applyFont="1" applyFill="1" applyBorder="1" applyAlignment="1">
      <alignment vertical="center"/>
    </xf>
    <xf numFmtId="0" fontId="2" fillId="14" borderId="76" xfId="0" applyFont="1" applyFill="1" applyBorder="1" applyAlignment="1">
      <alignment horizontal="right" vertical="center"/>
    </xf>
    <xf numFmtId="0" fontId="2" fillId="14" borderId="49" xfId="0" applyFont="1" applyFill="1" applyBorder="1" applyAlignment="1">
      <alignment horizontal="right" vertical="center"/>
    </xf>
    <xf numFmtId="0" fontId="2" fillId="14" borderId="41" xfId="0" applyFont="1" applyFill="1" applyBorder="1" applyAlignment="1">
      <alignment horizontal="right" vertical="center"/>
    </xf>
    <xf numFmtId="0" fontId="2" fillId="14" borderId="49" xfId="0" applyFont="1" applyFill="1" applyBorder="1" applyAlignment="1">
      <alignment horizontal="right"/>
    </xf>
    <xf numFmtId="0" fontId="2" fillId="14" borderId="41" xfId="0" applyFont="1" applyFill="1" applyBorder="1" applyAlignment="1">
      <alignment horizontal="right"/>
    </xf>
    <xf numFmtId="0" fontId="2" fillId="14" borderId="60" xfId="0" applyFont="1" applyFill="1" applyBorder="1" applyAlignment="1">
      <alignment horizontal="right"/>
    </xf>
    <xf numFmtId="0" fontId="2" fillId="14" borderId="60" xfId="0" applyFont="1" applyFill="1" applyBorder="1" applyAlignment="1">
      <alignment horizontal="right" vertical="center"/>
    </xf>
    <xf numFmtId="0" fontId="2" fillId="14" borderId="73" xfId="0" applyFont="1" applyFill="1" applyBorder="1" applyAlignment="1">
      <alignment horizontal="right" vertical="center"/>
    </xf>
    <xf numFmtId="0" fontId="2" fillId="14" borderId="71" xfId="0" applyFont="1" applyFill="1" applyBorder="1" applyAlignment="1">
      <alignment horizontal="right" vertical="center"/>
    </xf>
    <xf numFmtId="0" fontId="2" fillId="14" borderId="58" xfId="0" applyFont="1" applyFill="1" applyBorder="1" applyAlignment="1">
      <alignment horizontal="right" vertical="center"/>
    </xf>
    <xf numFmtId="0" fontId="2" fillId="14" borderId="59" xfId="0" applyFont="1" applyFill="1" applyBorder="1" applyAlignment="1">
      <alignment horizontal="right" vertical="center"/>
    </xf>
    <xf numFmtId="0" fontId="2" fillId="14" borderId="58" xfId="0" applyFont="1" applyFill="1" applyBorder="1" applyAlignment="1">
      <alignment horizontal="right"/>
    </xf>
    <xf numFmtId="0" fontId="2" fillId="14" borderId="59" xfId="0" applyFont="1" applyFill="1" applyBorder="1" applyAlignment="1">
      <alignment horizontal="right"/>
    </xf>
    <xf numFmtId="0" fontId="2" fillId="14" borderId="57" xfId="0" applyFont="1" applyFill="1" applyBorder="1" applyAlignment="1">
      <alignment horizontal="right"/>
    </xf>
    <xf numFmtId="0" fontId="2" fillId="14" borderId="57" xfId="0" applyFont="1" applyFill="1" applyBorder="1" applyAlignment="1">
      <alignment horizontal="right" vertical="center"/>
    </xf>
    <xf numFmtId="0" fontId="2" fillId="14" borderId="48" xfId="0" applyFont="1" applyFill="1" applyBorder="1" applyAlignment="1">
      <alignment horizontal="right" vertical="center"/>
    </xf>
    <xf numFmtId="0" fontId="2" fillId="14" borderId="73" xfId="0" applyFont="1" applyFill="1" applyBorder="1" applyAlignment="1">
      <alignment horizontal="right"/>
    </xf>
    <xf numFmtId="0" fontId="2" fillId="14" borderId="48" xfId="0" applyFont="1" applyFill="1" applyBorder="1" applyAlignment="1">
      <alignment horizontal="right"/>
    </xf>
    <xf numFmtId="0" fontId="2" fillId="14" borderId="12" xfId="0" applyFont="1" applyFill="1" applyBorder="1" applyAlignment="1">
      <alignment vertical="center"/>
    </xf>
    <xf numFmtId="0" fontId="2" fillId="14" borderId="34" xfId="0" applyFont="1" applyFill="1" applyBorder="1" applyAlignment="1">
      <alignment vertical="center"/>
    </xf>
    <xf numFmtId="0" fontId="2" fillId="14" borderId="33" xfId="0" applyFont="1" applyFill="1" applyBorder="1" applyAlignment="1">
      <alignment vertical="center"/>
    </xf>
    <xf numFmtId="0" fontId="2" fillId="14" borderId="11" xfId="0" applyFont="1" applyFill="1" applyBorder="1" applyAlignment="1">
      <alignment vertical="center"/>
    </xf>
    <xf numFmtId="0" fontId="2" fillId="14" borderId="76" xfId="0" applyFont="1" applyFill="1" applyBorder="1" applyAlignment="1">
      <alignment vertical="center"/>
    </xf>
    <xf numFmtId="0" fontId="2" fillId="14" borderId="49" xfId="0" applyFont="1" applyFill="1" applyBorder="1" applyAlignment="1">
      <alignment vertical="center"/>
    </xf>
    <xf numFmtId="0" fontId="2" fillId="14" borderId="60" xfId="0" applyFont="1" applyFill="1" applyBorder="1" applyAlignment="1">
      <alignment vertical="center"/>
    </xf>
    <xf numFmtId="0" fontId="2" fillId="14" borderId="41" xfId="0" applyFont="1" applyFill="1" applyBorder="1" applyAlignment="1">
      <alignment vertical="center"/>
    </xf>
    <xf numFmtId="0" fontId="2" fillId="14" borderId="73" xfId="0" applyFont="1" applyFill="1" applyBorder="1" applyAlignment="1">
      <alignment vertical="center"/>
    </xf>
    <xf numFmtId="0" fontId="2" fillId="14" borderId="10" xfId="0" applyFont="1" applyFill="1" applyBorder="1" applyAlignment="1">
      <alignment vertical="center"/>
    </xf>
    <xf numFmtId="0" fontId="2" fillId="8" borderId="18" xfId="0" applyFont="1" applyFill="1" applyBorder="1" applyAlignment="1">
      <alignment horizontal="right" vertical="center"/>
    </xf>
    <xf numFmtId="0" fontId="2" fillId="2" borderId="7" xfId="0" applyFont="1" applyFill="1" applyBorder="1" applyAlignment="1">
      <alignment vertical="center"/>
    </xf>
    <xf numFmtId="0" fontId="2" fillId="15" borderId="5" xfId="0" applyFont="1" applyFill="1" applyBorder="1" applyAlignment="1">
      <alignment horizontal="center" vertical="center"/>
    </xf>
    <xf numFmtId="0" fontId="2" fillId="15" borderId="76" xfId="0" applyFont="1" applyFill="1" applyBorder="1" applyAlignment="1">
      <alignment horizontal="right" vertical="center"/>
    </xf>
    <xf numFmtId="0" fontId="2" fillId="15" borderId="71" xfId="0" applyFont="1" applyFill="1" applyBorder="1" applyAlignment="1">
      <alignment horizontal="right" vertical="center"/>
    </xf>
    <xf numFmtId="0" fontId="2" fillId="15" borderId="76" xfId="0" applyFont="1" applyFill="1" applyBorder="1" applyAlignment="1">
      <alignment vertical="center"/>
    </xf>
    <xf numFmtId="0" fontId="2" fillId="15" borderId="71" xfId="0" applyFont="1" applyFill="1" applyBorder="1" applyAlignment="1">
      <alignment vertical="center"/>
    </xf>
    <xf numFmtId="0" fontId="2" fillId="15" borderId="10" xfId="0" applyFont="1" applyFill="1" applyBorder="1" applyAlignment="1">
      <alignment vertical="center"/>
    </xf>
    <xf numFmtId="0" fontId="2" fillId="15" borderId="49" xfId="0" applyFont="1" applyFill="1" applyBorder="1" applyAlignment="1">
      <alignment horizontal="right" vertical="center"/>
    </xf>
    <xf numFmtId="0" fontId="2" fillId="15" borderId="41" xfId="0" applyFont="1" applyFill="1" applyBorder="1" applyAlignment="1">
      <alignment horizontal="right" vertical="center"/>
    </xf>
    <xf numFmtId="0" fontId="2" fillId="15" borderId="49" xfId="0" applyFont="1" applyFill="1" applyBorder="1" applyAlignment="1">
      <alignment horizontal="right"/>
    </xf>
    <xf numFmtId="0" fontId="2" fillId="15" borderId="41" xfId="0" applyFont="1" applyFill="1" applyBorder="1" applyAlignment="1">
      <alignment horizontal="right"/>
    </xf>
    <xf numFmtId="0" fontId="2" fillId="15" borderId="60" xfId="0" applyFont="1" applyFill="1" applyBorder="1" applyAlignment="1">
      <alignment horizontal="right"/>
    </xf>
    <xf numFmtId="0" fontId="2" fillId="15" borderId="60" xfId="0" applyFont="1" applyFill="1" applyBorder="1" applyAlignment="1">
      <alignment horizontal="right" vertical="center"/>
    </xf>
    <xf numFmtId="0" fontId="2" fillId="15" borderId="73" xfId="0" applyFont="1" applyFill="1" applyBorder="1" applyAlignment="1">
      <alignment horizontal="right" vertical="center"/>
    </xf>
    <xf numFmtId="0" fontId="2" fillId="15" borderId="73" xfId="0" applyFont="1" applyFill="1" applyBorder="1" applyAlignment="1">
      <alignment horizontal="right"/>
    </xf>
    <xf numFmtId="0" fontId="0" fillId="15" borderId="0" xfId="0" applyFill="1"/>
    <xf numFmtId="0" fontId="2" fillId="15" borderId="58" xfId="0" applyFont="1" applyFill="1" applyBorder="1" applyAlignment="1">
      <alignment horizontal="right" vertical="center"/>
    </xf>
    <xf numFmtId="0" fontId="2" fillId="15" borderId="59" xfId="0" applyFont="1" applyFill="1" applyBorder="1" applyAlignment="1">
      <alignment horizontal="right" vertical="center"/>
    </xf>
    <xf numFmtId="0" fontId="2" fillId="15" borderId="58" xfId="0" applyFont="1" applyFill="1" applyBorder="1" applyAlignment="1">
      <alignment horizontal="right"/>
    </xf>
    <xf numFmtId="0" fontId="2" fillId="15" borderId="59" xfId="0" applyFont="1" applyFill="1" applyBorder="1" applyAlignment="1">
      <alignment horizontal="right"/>
    </xf>
    <xf numFmtId="0" fontId="2" fillId="15" borderId="57" xfId="0" applyFont="1" applyFill="1" applyBorder="1" applyAlignment="1">
      <alignment horizontal="right"/>
    </xf>
    <xf numFmtId="0" fontId="2" fillId="15" borderId="57" xfId="0" applyFont="1" applyFill="1" applyBorder="1" applyAlignment="1">
      <alignment horizontal="right" vertical="center"/>
    </xf>
    <xf numFmtId="0" fontId="2" fillId="15" borderId="48" xfId="0" applyFont="1" applyFill="1" applyBorder="1" applyAlignment="1">
      <alignment horizontal="right" vertical="center"/>
    </xf>
    <xf numFmtId="0" fontId="2" fillId="15" borderId="48" xfId="0" applyFont="1" applyFill="1" applyBorder="1" applyAlignment="1">
      <alignment horizontal="right"/>
    </xf>
    <xf numFmtId="0" fontId="2" fillId="15" borderId="49" xfId="0" applyFont="1" applyFill="1" applyBorder="1" applyAlignment="1">
      <alignment vertical="center"/>
    </xf>
    <xf numFmtId="0" fontId="2" fillId="15" borderId="41" xfId="0" applyFont="1" applyFill="1" applyBorder="1" applyAlignment="1">
      <alignment vertical="center"/>
    </xf>
    <xf numFmtId="0" fontId="2" fillId="15" borderId="60" xfId="0" applyFont="1" applyFill="1" applyBorder="1" applyAlignment="1">
      <alignment vertical="center"/>
    </xf>
    <xf numFmtId="0" fontId="2" fillId="15" borderId="73" xfId="0" applyFont="1" applyFill="1" applyBorder="1" applyAlignment="1">
      <alignment vertical="center"/>
    </xf>
    <xf numFmtId="0" fontId="2" fillId="15" borderId="58" xfId="0" applyFont="1" applyFill="1" applyBorder="1" applyAlignment="1">
      <alignment vertical="center"/>
    </xf>
    <xf numFmtId="0" fontId="2" fillId="15" borderId="59" xfId="0" applyFont="1" applyFill="1" applyBorder="1" applyAlignment="1">
      <alignment vertical="center"/>
    </xf>
    <xf numFmtId="0" fontId="2" fillId="15" borderId="57" xfId="0" applyFont="1" applyFill="1" applyBorder="1" applyAlignment="1">
      <alignment vertical="center"/>
    </xf>
    <xf numFmtId="0" fontId="2" fillId="15" borderId="48" xfId="0" applyFont="1" applyFill="1" applyBorder="1" applyAlignment="1">
      <alignment vertical="center"/>
    </xf>
    <xf numFmtId="0" fontId="2" fillId="15" borderId="12" xfId="0" applyFont="1" applyFill="1" applyBorder="1" applyAlignment="1">
      <alignment vertical="center"/>
    </xf>
    <xf numFmtId="0" fontId="2" fillId="15" borderId="33" xfId="0" applyFont="1" applyFill="1" applyBorder="1" applyAlignment="1">
      <alignment vertical="center"/>
    </xf>
    <xf numFmtId="0" fontId="2" fillId="15" borderId="34" xfId="0" applyFont="1" applyFill="1" applyBorder="1" applyAlignment="1">
      <alignment vertical="center"/>
    </xf>
    <xf numFmtId="0" fontId="2" fillId="15" borderId="11" xfId="0" applyFont="1" applyFill="1" applyBorder="1" applyAlignment="1">
      <alignment vertical="center"/>
    </xf>
    <xf numFmtId="0" fontId="2" fillId="15" borderId="55" xfId="0" applyFont="1" applyFill="1" applyBorder="1" applyAlignment="1">
      <alignment horizontal="center" vertical="center"/>
    </xf>
    <xf numFmtId="0" fontId="11" fillId="0" borderId="0" xfId="0" applyFont="1" applyAlignment="1">
      <alignment horizontal="left" vertical="center" indent="5"/>
    </xf>
    <xf numFmtId="0" fontId="2" fillId="0" borderId="35" xfId="0" applyFont="1" applyFill="1" applyBorder="1"/>
    <xf numFmtId="0" fontId="2" fillId="0" borderId="35" xfId="0" applyFont="1" applyFill="1" applyBorder="1" applyAlignment="1">
      <alignment vertical="center"/>
    </xf>
    <xf numFmtId="0" fontId="13" fillId="0" borderId="35" xfId="0" applyFont="1" applyBorder="1" applyAlignment="1">
      <alignment horizontal="right" vertical="center" wrapText="1"/>
    </xf>
    <xf numFmtId="0" fontId="12" fillId="0" borderId="35" xfId="0" applyFont="1" applyBorder="1" applyAlignment="1">
      <alignment horizontal="right" vertical="center" wrapText="1"/>
    </xf>
    <xf numFmtId="0" fontId="13" fillId="0" borderId="40" xfId="0" applyFont="1" applyBorder="1" applyAlignment="1">
      <alignment horizontal="right" vertical="center" wrapText="1"/>
    </xf>
    <xf numFmtId="0" fontId="13" fillId="0" borderId="89" xfId="0" applyFont="1" applyBorder="1" applyAlignment="1">
      <alignment horizontal="right" vertical="center" wrapText="1"/>
    </xf>
    <xf numFmtId="0" fontId="2" fillId="16" borderId="5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/>
    </xf>
    <xf numFmtId="0" fontId="2" fillId="0" borderId="16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9" fillId="0" borderId="114" xfId="0" applyFont="1" applyFill="1" applyBorder="1" applyAlignment="1">
      <alignment horizontal="center" vertical="center"/>
    </xf>
    <xf numFmtId="0" fontId="9" fillId="0" borderId="115" xfId="0" applyFont="1" applyFill="1" applyBorder="1"/>
    <xf numFmtId="0" fontId="9" fillId="0" borderId="116" xfId="0" applyFont="1" applyFill="1" applyBorder="1"/>
    <xf numFmtId="0" fontId="3" fillId="0" borderId="110" xfId="0" applyFont="1" applyBorder="1" applyAlignment="1">
      <alignment horizontal="center" vertical="center"/>
    </xf>
    <xf numFmtId="0" fontId="3" fillId="0" borderId="90" xfId="0" applyFont="1" applyBorder="1" applyAlignment="1">
      <alignment horizontal="center" vertical="center"/>
    </xf>
    <xf numFmtId="0" fontId="3" fillId="0" borderId="35" xfId="0" applyFont="1" applyBorder="1" applyAlignment="1">
      <alignment horizontal="center" vertical="center"/>
    </xf>
    <xf numFmtId="0" fontId="13" fillId="0" borderId="118" xfId="0" applyFont="1" applyFill="1" applyBorder="1" applyAlignment="1">
      <alignment horizontal="center" vertical="center" wrapText="1"/>
    </xf>
    <xf numFmtId="0" fontId="2" fillId="5" borderId="5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/>
    </xf>
    <xf numFmtId="0" fontId="2" fillId="6" borderId="31" xfId="0" applyFont="1" applyFill="1" applyBorder="1" applyAlignment="1">
      <alignment horizontal="center" vertical="center"/>
    </xf>
    <xf numFmtId="0" fontId="2" fillId="6" borderId="10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0" fontId="2" fillId="5" borderId="31" xfId="0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1" xfId="0" applyFont="1" applyBorder="1" applyAlignment="1">
      <alignment horizontal="center" vertical="center"/>
    </xf>
    <xf numFmtId="0" fontId="2" fillId="0" borderId="58" xfId="0" applyFont="1" applyBorder="1" applyAlignment="1">
      <alignment horizontal="center" vertical="center"/>
    </xf>
    <xf numFmtId="0" fontId="2" fillId="0" borderId="48" xfId="0" applyFont="1" applyBorder="1" applyAlignment="1">
      <alignment horizontal="center" vertical="center"/>
    </xf>
    <xf numFmtId="0" fontId="2" fillId="0" borderId="56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66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78" xfId="0" applyFont="1" applyBorder="1" applyAlignment="1">
      <alignment horizontal="center" vertical="center"/>
    </xf>
    <xf numFmtId="0" fontId="2" fillId="6" borderId="56" xfId="0" applyFont="1" applyFill="1" applyBorder="1" applyAlignment="1">
      <alignment horizontal="center" vertical="center"/>
    </xf>
    <xf numFmtId="0" fontId="2" fillId="6" borderId="15" xfId="0" applyFont="1" applyFill="1" applyBorder="1" applyAlignment="1">
      <alignment horizontal="center" vertical="center"/>
    </xf>
    <xf numFmtId="0" fontId="2" fillId="6" borderId="68" xfId="0" applyFont="1" applyFill="1" applyBorder="1" applyAlignment="1">
      <alignment horizontal="center" vertical="center"/>
    </xf>
    <xf numFmtId="0" fontId="2" fillId="6" borderId="29" xfId="0" applyFont="1" applyFill="1" applyBorder="1" applyAlignment="1">
      <alignment horizontal="center" vertical="center"/>
    </xf>
    <xf numFmtId="0" fontId="2" fillId="5" borderId="56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4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58" xfId="0" applyFont="1" applyBorder="1" applyAlignment="1">
      <alignment horizontal="center"/>
    </xf>
    <xf numFmtId="0" fontId="2" fillId="0" borderId="78" xfId="0" applyFont="1" applyBorder="1" applyAlignment="1">
      <alignment horizontal="center"/>
    </xf>
    <xf numFmtId="0" fontId="2" fillId="5" borderId="13" xfId="0" applyFont="1" applyFill="1" applyBorder="1" applyAlignment="1">
      <alignment horizontal="center" vertical="center"/>
    </xf>
    <xf numFmtId="0" fontId="2" fillId="5" borderId="0" xfId="0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horizontal="center" vertical="center"/>
    </xf>
    <xf numFmtId="0" fontId="2" fillId="6" borderId="14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70" xfId="0" applyFont="1" applyBorder="1" applyAlignment="1">
      <alignment horizontal="center" vertical="center"/>
    </xf>
    <xf numFmtId="0" fontId="2" fillId="6" borderId="34" xfId="0" applyFont="1" applyFill="1" applyBorder="1" applyAlignment="1">
      <alignment horizontal="center" vertical="center"/>
    </xf>
    <xf numFmtId="0" fontId="2" fillId="6" borderId="33" xfId="0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5" borderId="37" xfId="0" applyFont="1" applyFill="1" applyBorder="1" applyAlignment="1">
      <alignment horizontal="center" vertical="center"/>
    </xf>
    <xf numFmtId="0" fontId="2" fillId="5" borderId="88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5" borderId="66" xfId="0" applyFont="1" applyFill="1" applyBorder="1" applyAlignment="1">
      <alignment horizontal="center" vertical="center"/>
    </xf>
    <xf numFmtId="0" fontId="2" fillId="5" borderId="26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95" xfId="0" applyFont="1" applyBorder="1" applyAlignment="1">
      <alignment horizontal="center" vertical="center"/>
    </xf>
    <xf numFmtId="0" fontId="2" fillId="0" borderId="62" xfId="0" applyFont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0" borderId="67" xfId="0" applyFont="1" applyBorder="1" applyAlignment="1">
      <alignment horizontal="center" vertical="center"/>
    </xf>
    <xf numFmtId="0" fontId="2" fillId="0" borderId="64" xfId="0" applyFont="1" applyBorder="1" applyAlignment="1">
      <alignment horizontal="center" vertical="center"/>
    </xf>
    <xf numFmtId="0" fontId="2" fillId="8" borderId="32" xfId="0" applyFont="1" applyFill="1" applyBorder="1" applyAlignment="1">
      <alignment horizontal="center" vertical="center"/>
    </xf>
    <xf numFmtId="0" fontId="2" fillId="8" borderId="92" xfId="0" applyFont="1" applyFill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10" xfId="0" applyFont="1" applyFill="1" applyBorder="1" applyAlignment="1">
      <alignment horizontal="center" vertical="center"/>
    </xf>
    <xf numFmtId="0" fontId="2" fillId="0" borderId="12" xfId="0" applyFont="1" applyFill="1" applyBorder="1" applyAlignment="1">
      <alignment horizontal="center" vertical="center"/>
    </xf>
    <xf numFmtId="0" fontId="2" fillId="0" borderId="65" xfId="0" applyFont="1" applyBorder="1" applyAlignment="1">
      <alignment horizontal="center" vertical="center"/>
    </xf>
    <xf numFmtId="0" fontId="2" fillId="5" borderId="68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2" fillId="0" borderId="83" xfId="0" applyFont="1" applyBorder="1" applyAlignment="1">
      <alignment horizontal="center"/>
    </xf>
    <xf numFmtId="0" fontId="2" fillId="0" borderId="84" xfId="0" applyFont="1" applyBorder="1" applyAlignment="1">
      <alignment horizontal="center"/>
    </xf>
    <xf numFmtId="0" fontId="2" fillId="0" borderId="63" xfId="0" applyFont="1" applyBorder="1" applyAlignment="1">
      <alignment horizontal="center"/>
    </xf>
    <xf numFmtId="0" fontId="2" fillId="0" borderId="85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8" borderId="96" xfId="0" applyFont="1" applyFill="1" applyBorder="1" applyAlignment="1">
      <alignment horizontal="center" vertical="center"/>
    </xf>
    <xf numFmtId="0" fontId="2" fillId="8" borderId="46" xfId="0" applyFont="1" applyFill="1" applyBorder="1" applyAlignment="1">
      <alignment horizontal="center" vertical="center"/>
    </xf>
    <xf numFmtId="0" fontId="2" fillId="0" borderId="98" xfId="0" applyFont="1" applyBorder="1" applyAlignment="1">
      <alignment horizontal="center" vertical="center"/>
    </xf>
    <xf numFmtId="0" fontId="2" fillId="0" borderId="99" xfId="0" applyFont="1" applyBorder="1" applyAlignment="1">
      <alignment horizontal="center" vertical="center"/>
    </xf>
    <xf numFmtId="0" fontId="0" fillId="2" borderId="81" xfId="0" applyFill="1" applyBorder="1" applyAlignment="1">
      <alignment horizontal="center"/>
    </xf>
    <xf numFmtId="0" fontId="0" fillId="2" borderId="82" xfId="0" applyFill="1" applyBorder="1" applyAlignment="1">
      <alignment horizontal="center"/>
    </xf>
    <xf numFmtId="0" fontId="0" fillId="2" borderId="86" xfId="0" applyFill="1" applyBorder="1" applyAlignment="1">
      <alignment horizontal="center"/>
    </xf>
    <xf numFmtId="0" fontId="0" fillId="2" borderId="107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26" xfId="0" applyFill="1" applyBorder="1" applyAlignment="1">
      <alignment horizontal="center"/>
    </xf>
    <xf numFmtId="0" fontId="2" fillId="3" borderId="75" xfId="0" applyFont="1" applyFill="1" applyBorder="1" applyAlignment="1">
      <alignment horizontal="center" vertical="center"/>
    </xf>
    <xf numFmtId="0" fontId="2" fillId="3" borderId="31" xfId="0" applyFont="1" applyFill="1" applyBorder="1" applyAlignment="1">
      <alignment horizontal="center" vertical="center"/>
    </xf>
    <xf numFmtId="0" fontId="2" fillId="3" borderId="21" xfId="0" applyFont="1" applyFill="1" applyBorder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2" fillId="3" borderId="23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17" xfId="0" applyFont="1" applyFill="1" applyBorder="1" applyAlignment="1">
      <alignment horizontal="center"/>
    </xf>
    <xf numFmtId="0" fontId="2" fillId="3" borderId="18" xfId="0" applyFont="1" applyFill="1" applyBorder="1" applyAlignment="1">
      <alignment horizontal="center"/>
    </xf>
    <xf numFmtId="0" fontId="2" fillId="3" borderId="24" xfId="0" applyFont="1" applyFill="1" applyBorder="1" applyAlignment="1">
      <alignment horizontal="center"/>
    </xf>
    <xf numFmtId="0" fontId="2" fillId="8" borderId="73" xfId="0" applyFont="1" applyFill="1" applyBorder="1" applyAlignment="1">
      <alignment horizontal="center" vertical="center"/>
    </xf>
    <xf numFmtId="0" fontId="2" fillId="6" borderId="104" xfId="0" applyFont="1" applyFill="1" applyBorder="1" applyAlignment="1">
      <alignment horizontal="center" vertical="center"/>
    </xf>
    <xf numFmtId="0" fontId="2" fillId="6" borderId="103" xfId="0" applyFont="1" applyFill="1" applyBorder="1" applyAlignment="1">
      <alignment horizontal="center" vertical="center"/>
    </xf>
    <xf numFmtId="0" fontId="2" fillId="5" borderId="82" xfId="0" applyFont="1" applyFill="1" applyBorder="1" applyAlignment="1">
      <alignment horizontal="center" vertical="center"/>
    </xf>
    <xf numFmtId="0" fontId="2" fillId="5" borderId="103" xfId="0" applyFont="1" applyFill="1" applyBorder="1" applyAlignment="1">
      <alignment horizontal="center" vertical="center"/>
    </xf>
    <xf numFmtId="0" fontId="2" fillId="5" borderId="33" xfId="0" applyFont="1" applyFill="1" applyBorder="1" applyAlignment="1">
      <alignment horizontal="center" vertical="center"/>
    </xf>
    <xf numFmtId="0" fontId="2" fillId="0" borderId="48" xfId="0" applyFont="1" applyBorder="1" applyAlignment="1">
      <alignment horizontal="center"/>
    </xf>
    <xf numFmtId="0" fontId="2" fillId="5" borderId="36" xfId="0" applyFont="1" applyFill="1" applyBorder="1" applyAlignment="1">
      <alignment horizontal="center" vertical="center"/>
    </xf>
    <xf numFmtId="0" fontId="2" fillId="5" borderId="91" xfId="0" applyFont="1" applyFill="1" applyBorder="1" applyAlignment="1">
      <alignment horizontal="center" vertical="center"/>
    </xf>
    <xf numFmtId="0" fontId="2" fillId="0" borderId="71" xfId="0" applyFont="1" applyBorder="1" applyAlignment="1">
      <alignment horizontal="center"/>
    </xf>
    <xf numFmtId="0" fontId="2" fillId="0" borderId="0" xfId="0" applyFont="1" applyBorder="1" applyAlignment="1">
      <alignment horizontal="center" vertical="center"/>
    </xf>
    <xf numFmtId="0" fontId="2" fillId="0" borderId="56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2" fillId="0" borderId="66" xfId="0" applyFont="1" applyFill="1" applyBorder="1" applyAlignment="1">
      <alignment horizontal="center" vertical="center"/>
    </xf>
    <xf numFmtId="0" fontId="2" fillId="0" borderId="34" xfId="0" applyFont="1" applyFill="1" applyBorder="1" applyAlignment="1">
      <alignment horizontal="center" vertical="center"/>
    </xf>
    <xf numFmtId="0" fontId="2" fillId="0" borderId="26" xfId="0" applyFont="1" applyFill="1" applyBorder="1" applyAlignment="1">
      <alignment horizontal="center" vertical="center"/>
    </xf>
    <xf numFmtId="0" fontId="2" fillId="3" borderId="9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62" xfId="0" applyFont="1" applyFill="1" applyBorder="1" applyAlignment="1">
      <alignment horizontal="center" vertical="center"/>
    </xf>
    <xf numFmtId="0" fontId="2" fillId="0" borderId="30" xfId="0" applyFont="1" applyFill="1" applyBorder="1" applyAlignment="1">
      <alignment horizontal="center" vertical="center"/>
    </xf>
    <xf numFmtId="0" fontId="2" fillId="0" borderId="61" xfId="0" applyFont="1" applyFill="1" applyBorder="1" applyAlignment="1">
      <alignment horizontal="center" vertical="center"/>
    </xf>
    <xf numFmtId="0" fontId="2" fillId="0" borderId="80" xfId="0" applyFont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2" fillId="16" borderId="6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/>
    </xf>
    <xf numFmtId="0" fontId="2" fillId="16" borderId="31" xfId="0" applyFont="1" applyFill="1" applyBorder="1" applyAlignment="1">
      <alignment horizontal="center" vertical="center"/>
    </xf>
    <xf numFmtId="0" fontId="2" fillId="16" borderId="11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center"/>
    </xf>
    <xf numFmtId="0" fontId="2" fillId="2" borderId="17" xfId="0" applyFont="1" applyFill="1" applyBorder="1" applyAlignment="1">
      <alignment horizontal="center"/>
    </xf>
    <xf numFmtId="0" fontId="2" fillId="2" borderId="18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13" fillId="0" borderId="90" xfId="0" applyFont="1" applyBorder="1" applyAlignment="1">
      <alignment horizontal="right" vertical="center" wrapText="1"/>
    </xf>
    <xf numFmtId="0" fontId="13" fillId="0" borderId="38" xfId="0" applyFont="1" applyFill="1" applyBorder="1" applyAlignment="1">
      <alignment horizontal="center" vertical="center" wrapText="1"/>
    </xf>
    <xf numFmtId="0" fontId="13" fillId="0" borderId="119" xfId="0" applyFont="1" applyFill="1" applyBorder="1" applyAlignment="1">
      <alignment horizontal="center" vertical="center" wrapText="1"/>
    </xf>
    <xf numFmtId="0" fontId="13" fillId="0" borderId="120" xfId="0" applyFont="1" applyFill="1" applyBorder="1" applyAlignment="1">
      <alignment horizontal="center" vertical="center" wrapText="1"/>
    </xf>
    <xf numFmtId="0" fontId="7" fillId="0" borderId="37" xfId="0" applyFont="1" applyBorder="1" applyAlignment="1">
      <alignment horizontal="center" vertical="center" wrapText="1"/>
    </xf>
    <xf numFmtId="0" fontId="7" fillId="0" borderId="121" xfId="0" applyFont="1" applyBorder="1" applyAlignment="1">
      <alignment horizontal="center" vertical="center" wrapText="1"/>
    </xf>
    <xf numFmtId="0" fontId="7" fillId="0" borderId="90" xfId="0" applyFont="1" applyBorder="1" applyAlignment="1">
      <alignment horizontal="center" vertical="center" wrapText="1"/>
    </xf>
    <xf numFmtId="0" fontId="7" fillId="0" borderId="110" xfId="0" applyFont="1" applyBorder="1" applyAlignment="1">
      <alignment horizontal="center" vertical="center" wrapText="1"/>
    </xf>
    <xf numFmtId="0" fontId="13" fillId="0" borderId="122" xfId="0" applyFont="1" applyFill="1" applyBorder="1" applyAlignment="1">
      <alignment horizontal="center" vertical="center" wrapText="1"/>
    </xf>
    <xf numFmtId="0" fontId="13" fillId="0" borderId="110" xfId="0" applyFont="1" applyFill="1" applyBorder="1" applyAlignment="1">
      <alignment horizontal="center" vertical="center" wrapText="1"/>
    </xf>
    <xf numFmtId="0" fontId="13" fillId="0" borderId="121" xfId="0" applyFont="1" applyFill="1" applyBorder="1" applyAlignment="1">
      <alignment horizontal="center" vertical="center" wrapText="1"/>
    </xf>
    <xf numFmtId="0" fontId="13" fillId="0" borderId="90" xfId="0" applyFont="1" applyFill="1" applyBorder="1" applyAlignment="1">
      <alignment horizontal="center" vertical="center" wrapText="1"/>
    </xf>
    <xf numFmtId="0" fontId="7" fillId="13" borderId="110" xfId="0" applyFont="1" applyFill="1" applyBorder="1" applyAlignment="1">
      <alignment horizontal="center" vertical="center" wrapText="1"/>
    </xf>
    <xf numFmtId="0" fontId="7" fillId="13" borderId="35" xfId="0" applyFont="1" applyFill="1" applyBorder="1" applyAlignment="1">
      <alignment horizontal="left" vertical="center" wrapText="1"/>
    </xf>
    <xf numFmtId="0" fontId="7" fillId="13" borderId="35" xfId="0" applyFont="1" applyFill="1" applyBorder="1" applyAlignment="1">
      <alignment horizontal="right" vertical="center" wrapText="1"/>
    </xf>
    <xf numFmtId="0" fontId="13" fillId="13" borderId="35" xfId="0" applyFont="1" applyFill="1" applyBorder="1" applyAlignment="1">
      <alignment horizontal="right" vertical="center" wrapText="1"/>
    </xf>
    <xf numFmtId="0" fontId="13" fillId="13" borderId="110" xfId="0" applyFont="1" applyFill="1" applyBorder="1" applyAlignment="1">
      <alignment horizontal="center" vertical="center" wrapText="1"/>
    </xf>
    <xf numFmtId="0" fontId="7" fillId="13" borderId="121" xfId="0" applyFont="1" applyFill="1" applyBorder="1" applyAlignment="1">
      <alignment horizontal="center" vertical="center" wrapText="1"/>
    </xf>
    <xf numFmtId="0" fontId="13" fillId="13" borderId="121" xfId="0" applyFont="1" applyFill="1" applyBorder="1" applyAlignment="1">
      <alignment horizontal="center" vertical="center" wrapText="1"/>
    </xf>
    <xf numFmtId="0" fontId="7" fillId="13" borderId="90" xfId="0" applyFont="1" applyFill="1" applyBorder="1" applyAlignment="1">
      <alignment horizontal="center" vertical="center" wrapText="1"/>
    </xf>
    <xf numFmtId="0" fontId="13" fillId="13" borderId="90" xfId="0" applyFont="1" applyFill="1" applyBorder="1" applyAlignment="1">
      <alignment horizontal="center" vertical="center" wrapText="1"/>
    </xf>
    <xf numFmtId="0" fontId="8" fillId="13" borderId="35" xfId="0" applyFont="1" applyFill="1" applyBorder="1" applyAlignment="1">
      <alignment horizontal="left" vertical="center" wrapText="1"/>
    </xf>
    <xf numFmtId="0" fontId="8" fillId="13" borderId="35" xfId="0" applyFont="1" applyFill="1" applyBorder="1" applyAlignment="1">
      <alignment horizontal="right" vertical="center" wrapText="1"/>
    </xf>
    <xf numFmtId="0" fontId="7" fillId="13" borderId="37" xfId="0" applyFont="1" applyFill="1" applyBorder="1" applyAlignment="1">
      <alignment horizontal="center" vertical="center" wrapText="1"/>
    </xf>
    <xf numFmtId="0" fontId="7" fillId="13" borderId="40" xfId="0" applyFont="1" applyFill="1" applyBorder="1" applyAlignment="1">
      <alignment horizontal="left" vertical="center" wrapText="1"/>
    </xf>
    <xf numFmtId="0" fontId="7" fillId="13" borderId="40" xfId="0" applyFont="1" applyFill="1" applyBorder="1" applyAlignment="1">
      <alignment horizontal="right" vertical="center" wrapText="1"/>
    </xf>
    <xf numFmtId="0" fontId="13" fillId="13" borderId="40" xfId="0" applyFont="1" applyFill="1" applyBorder="1" applyAlignment="1">
      <alignment horizontal="right" vertical="center" wrapText="1"/>
    </xf>
    <xf numFmtId="0" fontId="13" fillId="13" borderId="37" xfId="0" applyFont="1" applyFill="1" applyBorder="1" applyAlignment="1">
      <alignment horizontal="center" vertical="center" wrapText="1"/>
    </xf>
    <xf numFmtId="0" fontId="13" fillId="13" borderId="38" xfId="0" applyFont="1" applyFill="1" applyBorder="1" applyAlignment="1">
      <alignment horizontal="center" vertical="center" wrapText="1"/>
    </xf>
    <xf numFmtId="0" fontId="13" fillId="13" borderId="119" xfId="0" applyFont="1" applyFill="1" applyBorder="1" applyAlignment="1">
      <alignment horizontal="center" vertical="center" wrapText="1"/>
    </xf>
    <xf numFmtId="0" fontId="13" fillId="13" borderId="122" xfId="0" applyFont="1" applyFill="1" applyBorder="1" applyAlignment="1">
      <alignment horizontal="center" vertical="center" wrapText="1"/>
    </xf>
    <xf numFmtId="0" fontId="13" fillId="13" borderId="118" xfId="0" applyFont="1" applyFill="1" applyBorder="1" applyAlignment="1">
      <alignment horizontal="center" vertical="center" wrapText="1"/>
    </xf>
    <xf numFmtId="0" fontId="7" fillId="0" borderId="88" xfId="0" applyFont="1" applyBorder="1" applyAlignment="1">
      <alignment horizontal="center" vertical="center" wrapText="1"/>
    </xf>
    <xf numFmtId="0" fontId="13" fillId="0" borderId="88" xfId="0" applyFont="1" applyFill="1" applyBorder="1" applyAlignment="1">
      <alignment horizontal="center" vertical="center" wrapText="1"/>
    </xf>
    <xf numFmtId="0" fontId="13" fillId="0" borderId="37" xfId="0" applyFont="1" applyFill="1" applyBorder="1" applyAlignment="1">
      <alignment horizontal="center" vertical="center" wrapText="1"/>
    </xf>
    <xf numFmtId="0" fontId="8" fillId="13" borderId="40" xfId="0" applyFont="1" applyFill="1" applyBorder="1" applyAlignment="1">
      <alignment horizontal="left" vertical="center" wrapText="1"/>
    </xf>
    <xf numFmtId="0" fontId="8" fillId="13" borderId="40" xfId="0" applyFont="1" applyFill="1" applyBorder="1" applyAlignment="1">
      <alignment horizontal="right" vertical="center" wrapText="1"/>
    </xf>
    <xf numFmtId="0" fontId="7" fillId="13" borderId="88" xfId="0" applyFont="1" applyFill="1" applyBorder="1" applyAlignment="1">
      <alignment horizontal="center" vertical="center" wrapText="1"/>
    </xf>
    <xf numFmtId="0" fontId="8" fillId="13" borderId="89" xfId="0" applyFont="1" applyFill="1" applyBorder="1" applyAlignment="1">
      <alignment horizontal="left" vertical="center" wrapText="1"/>
    </xf>
    <xf numFmtId="0" fontId="8" fillId="13" borderId="89" xfId="0" applyFont="1" applyFill="1" applyBorder="1" applyAlignment="1">
      <alignment horizontal="right" vertical="center" wrapText="1"/>
    </xf>
    <xf numFmtId="0" fontId="13" fillId="13" borderId="89" xfId="0" applyFont="1" applyFill="1" applyBorder="1" applyAlignment="1">
      <alignment horizontal="right" vertical="center" wrapText="1"/>
    </xf>
    <xf numFmtId="0" fontId="13" fillId="13" borderId="88" xfId="0" applyFont="1" applyFill="1" applyBorder="1" applyAlignment="1">
      <alignment horizontal="center" vertical="center" wrapText="1"/>
    </xf>
    <xf numFmtId="0" fontId="13" fillId="13" borderId="120" xfId="0" applyFont="1" applyFill="1" applyBorder="1" applyAlignment="1">
      <alignment horizontal="center" vertical="center" wrapText="1"/>
    </xf>
    <xf numFmtId="0" fontId="7" fillId="12" borderId="36" xfId="0" applyFont="1" applyFill="1" applyBorder="1" applyAlignment="1">
      <alignment horizontal="center" vertical="center" wrapText="1"/>
    </xf>
    <xf numFmtId="0" fontId="7" fillId="12" borderId="117" xfId="0" applyFont="1" applyFill="1" applyBorder="1" applyAlignment="1">
      <alignment horizontal="center" vertical="center" wrapText="1"/>
    </xf>
    <xf numFmtId="0" fontId="7" fillId="12" borderId="91" xfId="0" applyFont="1" applyFill="1" applyBorder="1" applyAlignment="1">
      <alignment horizontal="center" vertical="center" wrapText="1"/>
    </xf>
    <xf numFmtId="0" fontId="7" fillId="12" borderId="42" xfId="0" applyFont="1" applyFill="1" applyBorder="1" applyAlignment="1">
      <alignment horizontal="center" vertical="center" wrapText="1"/>
    </xf>
    <xf numFmtId="0" fontId="7" fillId="12" borderId="43" xfId="0" applyFont="1" applyFill="1" applyBorder="1" applyAlignment="1">
      <alignment horizontal="center" vertical="center" wrapText="1"/>
    </xf>
    <xf numFmtId="0" fontId="7" fillId="12" borderId="113" xfId="0" applyFont="1" applyFill="1" applyBorder="1" applyAlignment="1">
      <alignment horizontal="center" vertical="center" wrapText="1"/>
    </xf>
    <xf numFmtId="0" fontId="8" fillId="12" borderId="36" xfId="0" applyFont="1" applyFill="1" applyBorder="1" applyAlignment="1">
      <alignment horizontal="center" vertical="center" wrapText="1"/>
    </xf>
    <xf numFmtId="0" fontId="8" fillId="12" borderId="117" xfId="0" applyFont="1" applyFill="1" applyBorder="1" applyAlignment="1">
      <alignment horizontal="center" vertical="center" wrapText="1"/>
    </xf>
    <xf numFmtId="0" fontId="8" fillId="12" borderId="91" xfId="0" applyFont="1" applyFill="1" applyBorder="1" applyAlignment="1">
      <alignment horizontal="center" vertical="center" wrapText="1"/>
    </xf>
    <xf numFmtId="0" fontId="6" fillId="12" borderId="121" xfId="0" applyFont="1" applyFill="1" applyBorder="1" applyAlignment="1">
      <alignment horizontal="left" vertical="center" wrapText="1"/>
    </xf>
    <xf numFmtId="0" fontId="6" fillId="12" borderId="121" xfId="0" applyFont="1" applyFill="1" applyBorder="1" applyAlignment="1">
      <alignment horizontal="right" vertical="center" wrapText="1"/>
    </xf>
    <xf numFmtId="0" fontId="15" fillId="12" borderId="121" xfId="0" applyFont="1" applyFill="1" applyBorder="1" applyAlignment="1">
      <alignment horizontal="left" vertical="center" wrapText="1"/>
    </xf>
    <xf numFmtId="0" fontId="14" fillId="12" borderId="121" xfId="0" applyFont="1" applyFill="1" applyBorder="1" applyAlignment="1">
      <alignment horizontal="left" vertical="center" wrapText="1"/>
    </xf>
    <xf numFmtId="0" fontId="6" fillId="12" borderId="16" xfId="0" applyFont="1" applyFill="1" applyBorder="1" applyAlignment="1">
      <alignment horizontal="center" vertical="center" wrapText="1"/>
    </xf>
    <xf numFmtId="0" fontId="6" fillId="12" borderId="17" xfId="0" applyFont="1" applyFill="1" applyBorder="1" applyAlignment="1">
      <alignment horizontal="center" vertical="center" wrapText="1"/>
    </xf>
    <xf numFmtId="0" fontId="6" fillId="12" borderId="18" xfId="0" applyFont="1" applyFill="1" applyBorder="1" applyAlignment="1">
      <alignment horizontal="center" vertical="center" wrapText="1"/>
    </xf>
    <xf numFmtId="0" fontId="13" fillId="17" borderId="35" xfId="0" applyFont="1" applyFill="1" applyBorder="1" applyAlignment="1">
      <alignment horizontal="right" vertical="center" wrapText="1"/>
    </xf>
    <xf numFmtId="0" fontId="13" fillId="0" borderId="35" xfId="0" applyFont="1" applyFill="1" applyBorder="1" applyAlignment="1">
      <alignment horizontal="right" vertical="center" wrapText="1"/>
    </xf>
    <xf numFmtId="0" fontId="2" fillId="16" borderId="5" xfId="0" applyFont="1" applyFill="1" applyBorder="1" applyAlignment="1">
      <alignment vertical="center"/>
    </xf>
    <xf numFmtId="0" fontId="2" fillId="16" borderId="6" xfId="0" applyFont="1" applyFill="1" applyBorder="1" applyAlignment="1">
      <alignment vertical="center"/>
    </xf>
    <xf numFmtId="0" fontId="2" fillId="16" borderId="7" xfId="0" applyFont="1" applyFill="1" applyBorder="1" applyAlignme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colors>
    <mruColors>
      <color rgb="FFFFFFFF"/>
      <color rgb="FF6EFAF7"/>
      <color rgb="FFD2FAF8"/>
      <color rgb="FFA7CEE3"/>
      <color rgb="FFD0F5FC"/>
      <color rgb="FFE4FCF1"/>
      <color rgb="FFDDFB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63DEB-58FB-4FF8-B310-604D585DC809}">
  <dimension ref="B1:O49"/>
  <sheetViews>
    <sheetView topLeftCell="A31" zoomScale="79" workbookViewId="0">
      <selection activeCell="C65" sqref="C65"/>
    </sheetView>
  </sheetViews>
  <sheetFormatPr defaultRowHeight="14.5" x14ac:dyDescent="0.3"/>
  <cols>
    <col min="2" max="2" width="17.3984375" bestFit="1" customWidth="1"/>
    <col min="4" max="4" width="15.8984375" bestFit="1" customWidth="1"/>
    <col min="6" max="6" width="16.59765625" bestFit="1" customWidth="1"/>
    <col min="8" max="8" width="30.8984375" bestFit="1" customWidth="1"/>
    <col min="9" max="9" width="8.796875" customWidth="1"/>
    <col min="10" max="10" width="10.796875" bestFit="1" customWidth="1"/>
    <col min="13" max="13" width="13.796875" bestFit="1" customWidth="1"/>
  </cols>
  <sheetData>
    <row r="1" spans="2:15" ht="15" thickBot="1" x14ac:dyDescent="0.35"/>
    <row r="2" spans="2:15" ht="17" thickBot="1" x14ac:dyDescent="0.5">
      <c r="B2" s="325" t="s">
        <v>241</v>
      </c>
      <c r="C2" s="326"/>
      <c r="D2" s="326"/>
      <c r="E2" s="326"/>
      <c r="F2" s="326"/>
      <c r="G2" s="326"/>
      <c r="H2" s="326"/>
      <c r="I2" s="326"/>
      <c r="J2" s="326"/>
      <c r="K2" s="326"/>
      <c r="L2" s="326"/>
      <c r="M2" s="326"/>
      <c r="N2" s="326"/>
      <c r="O2" s="327"/>
    </row>
    <row r="3" spans="2:15" ht="16.5" x14ac:dyDescent="0.45">
      <c r="B3" s="94"/>
      <c r="C3" s="94" t="s">
        <v>228</v>
      </c>
      <c r="D3" s="94" t="s">
        <v>229</v>
      </c>
      <c r="E3" s="94" t="s">
        <v>230</v>
      </c>
      <c r="F3" s="94" t="s">
        <v>231</v>
      </c>
      <c r="G3" s="162"/>
      <c r="H3" s="162"/>
      <c r="I3" s="162"/>
      <c r="J3" s="93" t="s">
        <v>237</v>
      </c>
      <c r="K3" s="93" t="s">
        <v>233</v>
      </c>
      <c r="L3" s="93" t="s">
        <v>232</v>
      </c>
      <c r="M3" s="93" t="s">
        <v>247</v>
      </c>
      <c r="N3" s="93" t="s">
        <v>235</v>
      </c>
      <c r="O3" s="93" t="s">
        <v>236</v>
      </c>
    </row>
    <row r="4" spans="2:15" ht="16.5" x14ac:dyDescent="0.45">
      <c r="B4" s="94" t="s">
        <v>3</v>
      </c>
      <c r="C4" s="96">
        <v>2.2210000000000001</v>
      </c>
      <c r="D4" s="96">
        <v>0.17599999999999999</v>
      </c>
      <c r="E4" s="96">
        <v>2.1150000000000002</v>
      </c>
      <c r="F4" s="96">
        <f>E4/C4</f>
        <v>0.95227375056280961</v>
      </c>
      <c r="H4" s="101" t="s">
        <v>251</v>
      </c>
      <c r="J4" s="93" t="s">
        <v>234</v>
      </c>
      <c r="K4" s="102">
        <v>-0.23899999999999999</v>
      </c>
      <c r="L4" s="102">
        <v>0.78739999999999999</v>
      </c>
      <c r="M4" s="102">
        <v>0.13089999999999999</v>
      </c>
      <c r="N4" s="102">
        <v>-1.8262</v>
      </c>
      <c r="O4" s="102">
        <v>6.7799999999999999E-2</v>
      </c>
    </row>
    <row r="5" spans="2:15" ht="16.5" x14ac:dyDescent="0.45">
      <c r="B5" s="94" t="s">
        <v>4</v>
      </c>
      <c r="C5" s="96">
        <v>2.4180000000000001</v>
      </c>
      <c r="D5" s="96">
        <v>0.17799999999999999</v>
      </c>
      <c r="E5" s="96">
        <v>2.1259999999999999</v>
      </c>
      <c r="F5" s="96">
        <f t="shared" ref="F5:F15" si="0">E5/C5</f>
        <v>0.87923904052936297</v>
      </c>
      <c r="H5" s="101" t="s">
        <v>252</v>
      </c>
      <c r="J5" s="93" t="s">
        <v>238</v>
      </c>
      <c r="K5" s="93" t="s">
        <v>233</v>
      </c>
      <c r="L5" s="93" t="s">
        <v>232</v>
      </c>
      <c r="M5" s="93" t="s">
        <v>247</v>
      </c>
      <c r="N5" s="93" t="s">
        <v>235</v>
      </c>
      <c r="O5" s="93" t="s">
        <v>236</v>
      </c>
    </row>
    <row r="6" spans="2:15" ht="16.5" x14ac:dyDescent="0.45">
      <c r="B6" s="94" t="s">
        <v>34</v>
      </c>
      <c r="C6" s="96">
        <v>1.353</v>
      </c>
      <c r="D6" s="96">
        <v>0.16500000000000001</v>
      </c>
      <c r="E6" s="96">
        <v>0.17</v>
      </c>
      <c r="F6" s="96">
        <f t="shared" si="0"/>
        <v>0.12564671101256469</v>
      </c>
      <c r="H6" s="101" t="s">
        <v>253</v>
      </c>
      <c r="J6" s="93" t="s">
        <v>234</v>
      </c>
      <c r="K6" s="102">
        <v>-0.23899999999999999</v>
      </c>
      <c r="L6" s="102">
        <v>0.78739999999999999</v>
      </c>
      <c r="M6" s="102">
        <v>0.13200000000000001</v>
      </c>
      <c r="N6" s="102">
        <v>-1.8106</v>
      </c>
      <c r="O6" s="102">
        <v>7.0199999999999999E-2</v>
      </c>
    </row>
    <row r="7" spans="2:15" ht="16.5" x14ac:dyDescent="0.45">
      <c r="B7" s="94" t="s">
        <v>35</v>
      </c>
      <c r="C7" s="96">
        <v>0.221</v>
      </c>
      <c r="D7" s="96">
        <v>0.05</v>
      </c>
      <c r="E7" s="96">
        <v>0.20399999999999999</v>
      </c>
      <c r="F7" s="96">
        <f t="shared" si="0"/>
        <v>0.92307692307692302</v>
      </c>
    </row>
    <row r="8" spans="2:15" ht="16.5" x14ac:dyDescent="0.45">
      <c r="B8" s="94" t="s">
        <v>31</v>
      </c>
      <c r="C8" s="96">
        <v>0.35799999999999998</v>
      </c>
      <c r="D8" s="96">
        <v>6.3E-2</v>
      </c>
      <c r="E8" s="96">
        <v>0.26400000000000001</v>
      </c>
      <c r="F8" s="96">
        <f t="shared" si="0"/>
        <v>0.73743016759776547</v>
      </c>
    </row>
    <row r="9" spans="2:15" ht="16.5" x14ac:dyDescent="0.45">
      <c r="B9" s="94" t="s">
        <v>70</v>
      </c>
      <c r="C9" s="96">
        <v>0.32800000000000001</v>
      </c>
      <c r="D9" s="96">
        <v>6.9000000000000006E-2</v>
      </c>
      <c r="E9" s="96">
        <v>0.315</v>
      </c>
      <c r="F9" s="96">
        <f t="shared" si="0"/>
        <v>0.96036585365853655</v>
      </c>
    </row>
    <row r="10" spans="2:15" ht="17" thickBot="1" x14ac:dyDescent="0.5">
      <c r="B10" s="99" t="s">
        <v>67</v>
      </c>
      <c r="C10" s="100">
        <v>0.16400000000000001</v>
      </c>
      <c r="D10" s="100">
        <v>0.05</v>
      </c>
      <c r="E10" s="100">
        <v>0.17</v>
      </c>
      <c r="F10" s="100">
        <f t="shared" si="0"/>
        <v>1.0365853658536586</v>
      </c>
    </row>
    <row r="11" spans="2:15" ht="16.5" x14ac:dyDescent="0.45">
      <c r="B11" s="97" t="s">
        <v>185</v>
      </c>
      <c r="C11" s="98">
        <v>2.1389999999999998</v>
      </c>
      <c r="D11" s="98">
        <v>0.16600000000000001</v>
      </c>
      <c r="E11" s="98">
        <v>3.9529999999999998</v>
      </c>
      <c r="F11" s="160">
        <f t="shared" si="0"/>
        <v>1.8480598410472184</v>
      </c>
    </row>
    <row r="12" spans="2:15" ht="16.5" x14ac:dyDescent="0.45">
      <c r="B12" s="94" t="s">
        <v>196</v>
      </c>
      <c r="C12" s="96">
        <v>0.25</v>
      </c>
      <c r="D12" s="96">
        <v>4.3999999999999997E-2</v>
      </c>
      <c r="E12" s="96">
        <v>0.27300000000000002</v>
      </c>
      <c r="F12" s="96">
        <f t="shared" si="0"/>
        <v>1.0920000000000001</v>
      </c>
    </row>
    <row r="13" spans="2:15" ht="16.5" x14ac:dyDescent="0.45">
      <c r="B13" s="95" t="s">
        <v>210</v>
      </c>
      <c r="C13" s="96">
        <v>0.125</v>
      </c>
      <c r="D13" s="96">
        <v>3.9E-2</v>
      </c>
      <c r="E13" s="96">
        <v>0.111</v>
      </c>
      <c r="F13" s="96">
        <f t="shared" si="0"/>
        <v>0.88800000000000001</v>
      </c>
    </row>
    <row r="14" spans="2:15" ht="16.5" x14ac:dyDescent="0.45">
      <c r="B14" s="94" t="s">
        <v>192</v>
      </c>
      <c r="C14" s="96">
        <v>1</v>
      </c>
      <c r="D14" s="96">
        <v>0.13700000000000001</v>
      </c>
      <c r="E14" s="96">
        <v>1.3520000000000001</v>
      </c>
      <c r="F14" s="96">
        <f t="shared" si="0"/>
        <v>1.3520000000000001</v>
      </c>
    </row>
    <row r="15" spans="2:15" ht="16.5" x14ac:dyDescent="0.45">
      <c r="B15" s="95" t="s">
        <v>204</v>
      </c>
      <c r="C15" s="96">
        <v>0.153</v>
      </c>
      <c r="D15" s="96">
        <v>4.2999999999999997E-2</v>
      </c>
      <c r="E15" s="96">
        <v>0.13100000000000001</v>
      </c>
      <c r="F15" s="96">
        <f t="shared" si="0"/>
        <v>0.85620915032679745</v>
      </c>
    </row>
    <row r="18" spans="2:15" ht="15" thickBot="1" x14ac:dyDescent="0.35"/>
    <row r="19" spans="2:15" ht="17" thickBot="1" x14ac:dyDescent="0.5">
      <c r="B19" s="325" t="s">
        <v>240</v>
      </c>
      <c r="C19" s="326"/>
      <c r="D19" s="326"/>
      <c r="E19" s="326"/>
      <c r="F19" s="326"/>
      <c r="G19" s="326"/>
      <c r="H19" s="326"/>
      <c r="I19" s="326"/>
      <c r="J19" s="326"/>
      <c r="K19" s="326"/>
      <c r="L19" s="326"/>
      <c r="M19" s="326"/>
      <c r="N19" s="326"/>
      <c r="O19" s="327"/>
    </row>
    <row r="20" spans="2:15" ht="16.5" x14ac:dyDescent="0.45">
      <c r="B20" s="94"/>
      <c r="C20" s="94" t="s">
        <v>228</v>
      </c>
      <c r="D20" s="94" t="s">
        <v>229</v>
      </c>
      <c r="E20" s="94" t="s">
        <v>230</v>
      </c>
      <c r="F20" s="94" t="s">
        <v>231</v>
      </c>
      <c r="G20" s="162"/>
      <c r="H20" s="162"/>
      <c r="I20" s="162"/>
      <c r="J20" s="93" t="s">
        <v>237</v>
      </c>
      <c r="K20" s="93" t="s">
        <v>233</v>
      </c>
      <c r="L20" s="93" t="s">
        <v>232</v>
      </c>
      <c r="M20" s="93" t="s">
        <v>247</v>
      </c>
      <c r="N20" s="93" t="s">
        <v>235</v>
      </c>
      <c r="O20" s="93" t="s">
        <v>236</v>
      </c>
    </row>
    <row r="21" spans="2:15" ht="16.5" x14ac:dyDescent="0.45">
      <c r="B21" s="94" t="s">
        <v>3</v>
      </c>
      <c r="C21" s="96">
        <v>1.8380000000000001</v>
      </c>
      <c r="D21" s="96">
        <v>0.16200000000000001</v>
      </c>
      <c r="E21" s="96">
        <v>1.7789999999999999</v>
      </c>
      <c r="F21" s="96">
        <f>E21/C21</f>
        <v>0.96789989118607178</v>
      </c>
      <c r="H21" s="101" t="s">
        <v>245</v>
      </c>
      <c r="J21" s="93" t="s">
        <v>234</v>
      </c>
      <c r="K21" s="102">
        <v>-0.30270000000000002</v>
      </c>
      <c r="L21" s="102">
        <v>0.73880000000000001</v>
      </c>
      <c r="M21" s="102">
        <v>0.1449</v>
      </c>
      <c r="N21" s="102">
        <v>-2.089</v>
      </c>
      <c r="O21" s="102">
        <v>3.6700000000000003E-2</v>
      </c>
    </row>
    <row r="22" spans="2:15" ht="16.5" x14ac:dyDescent="0.45">
      <c r="B22" s="94" t="s">
        <v>4</v>
      </c>
      <c r="C22" s="96">
        <v>2.2090000000000001</v>
      </c>
      <c r="D22" s="96">
        <v>0.17899999999999999</v>
      </c>
      <c r="E22" s="96">
        <v>2.137</v>
      </c>
      <c r="F22" s="96">
        <f t="shared" ref="F22:F32" si="1">E22/C22</f>
        <v>0.96740606609325486</v>
      </c>
      <c r="H22" s="101" t="s">
        <v>249</v>
      </c>
      <c r="J22" s="93" t="s">
        <v>238</v>
      </c>
      <c r="K22" s="93" t="s">
        <v>233</v>
      </c>
      <c r="L22" s="93" t="s">
        <v>232</v>
      </c>
      <c r="M22" s="93" t="s">
        <v>248</v>
      </c>
      <c r="N22" s="93" t="s">
        <v>235</v>
      </c>
      <c r="O22" s="93" t="s">
        <v>236</v>
      </c>
    </row>
    <row r="23" spans="2:15" ht="16.5" x14ac:dyDescent="0.45">
      <c r="B23" s="94" t="s">
        <v>34</v>
      </c>
      <c r="C23" s="96">
        <v>1.1910000000000001</v>
      </c>
      <c r="D23" s="96">
        <v>0.15</v>
      </c>
      <c r="E23" s="96">
        <v>1.53</v>
      </c>
      <c r="F23" s="96">
        <f t="shared" si="1"/>
        <v>1.2846347607052897</v>
      </c>
      <c r="H23" s="101" t="s">
        <v>250</v>
      </c>
      <c r="J23" s="93" t="s">
        <v>234</v>
      </c>
      <c r="K23" s="102">
        <v>-0.30270000000000002</v>
      </c>
      <c r="L23" s="102">
        <v>0.73880000000000001</v>
      </c>
      <c r="M23" s="102">
        <v>0.14910000000000001</v>
      </c>
      <c r="N23" s="102">
        <v>-2.0305</v>
      </c>
      <c r="O23" s="102">
        <v>4.2299999999999997E-2</v>
      </c>
    </row>
    <row r="24" spans="2:15" ht="16.5" x14ac:dyDescent="0.45">
      <c r="B24" s="94" t="s">
        <v>35</v>
      </c>
      <c r="C24" s="96">
        <v>0.17599999999999999</v>
      </c>
      <c r="D24" s="96">
        <v>4.7E-2</v>
      </c>
      <c r="E24" s="96">
        <v>0.14699999999999999</v>
      </c>
      <c r="F24" s="96">
        <f t="shared" si="1"/>
        <v>0.83522727272727271</v>
      </c>
    </row>
    <row r="25" spans="2:15" ht="16.5" x14ac:dyDescent="0.45">
      <c r="B25" s="94" t="s">
        <v>31</v>
      </c>
      <c r="C25" s="96">
        <v>0.26900000000000002</v>
      </c>
      <c r="D25" s="96">
        <v>5.8999999999999997E-2</v>
      </c>
      <c r="E25" s="96">
        <v>0.23</v>
      </c>
      <c r="F25" s="96">
        <f t="shared" si="1"/>
        <v>0.85501858736059477</v>
      </c>
    </row>
    <row r="26" spans="2:15" ht="16.5" x14ac:dyDescent="0.45">
      <c r="B26" s="94" t="s">
        <v>70</v>
      </c>
      <c r="C26" s="96">
        <v>0.254</v>
      </c>
      <c r="D26" s="96">
        <v>6.0999999999999999E-2</v>
      </c>
      <c r="E26" s="96">
        <v>0.253</v>
      </c>
      <c r="F26" s="96">
        <f t="shared" si="1"/>
        <v>0.99606299212598426</v>
      </c>
    </row>
    <row r="27" spans="2:15" ht="17" thickBot="1" x14ac:dyDescent="0.5">
      <c r="B27" s="99" t="s">
        <v>67</v>
      </c>
      <c r="C27" s="100">
        <v>0.13400000000000001</v>
      </c>
      <c r="D27" s="100">
        <v>4.7E-2</v>
      </c>
      <c r="E27" s="100">
        <v>0.14799999999999999</v>
      </c>
      <c r="F27" s="96">
        <f t="shared" si="1"/>
        <v>1.1044776119402984</v>
      </c>
    </row>
    <row r="28" spans="2:15" ht="16.5" x14ac:dyDescent="0.45">
      <c r="B28" s="97" t="s">
        <v>185</v>
      </c>
      <c r="C28" s="98">
        <v>0.81899999999999995</v>
      </c>
      <c r="D28" s="98">
        <v>0.107</v>
      </c>
      <c r="E28" s="98">
        <v>0.90900000000000003</v>
      </c>
      <c r="F28" s="96">
        <f t="shared" si="1"/>
        <v>1.1098901098901099</v>
      </c>
    </row>
    <row r="29" spans="2:15" ht="16.5" x14ac:dyDescent="0.45">
      <c r="B29" s="94" t="s">
        <v>196</v>
      </c>
      <c r="C29" s="96">
        <v>0.16700000000000001</v>
      </c>
      <c r="D29" s="96">
        <v>4.8000000000000001E-2</v>
      </c>
      <c r="E29" s="96">
        <v>0.16900000000000001</v>
      </c>
      <c r="F29" s="96">
        <f t="shared" si="1"/>
        <v>1.0119760479041917</v>
      </c>
    </row>
    <row r="30" spans="2:15" ht="16.5" x14ac:dyDescent="0.45">
      <c r="B30" s="95" t="s">
        <v>210</v>
      </c>
      <c r="C30" s="96">
        <v>9.7000000000000003E-2</v>
      </c>
      <c r="D30" s="96">
        <v>3.5000000000000003E-2</v>
      </c>
      <c r="E30" s="96">
        <v>8.8999999999999996E-2</v>
      </c>
      <c r="F30" s="96">
        <f t="shared" si="1"/>
        <v>0.91752577319587625</v>
      </c>
    </row>
    <row r="31" spans="2:15" ht="16.5" x14ac:dyDescent="0.45">
      <c r="B31" s="94" t="s">
        <v>192</v>
      </c>
      <c r="C31" s="96">
        <v>0.93100000000000005</v>
      </c>
      <c r="D31" s="96">
        <v>0.13200000000000001</v>
      </c>
      <c r="E31" s="96">
        <v>1.2490000000000001</v>
      </c>
      <c r="F31" s="96">
        <f t="shared" si="1"/>
        <v>1.3415682062298604</v>
      </c>
    </row>
    <row r="32" spans="2:15" ht="16.5" x14ac:dyDescent="0.45">
      <c r="B32" s="95" t="s">
        <v>204</v>
      </c>
      <c r="C32" s="96">
        <v>0.125</v>
      </c>
      <c r="D32" s="96">
        <v>3.9E-2</v>
      </c>
      <c r="E32" s="96">
        <v>0.111</v>
      </c>
      <c r="F32" s="96">
        <f t="shared" si="1"/>
        <v>0.88800000000000001</v>
      </c>
    </row>
    <row r="35" spans="2:15" ht="15" thickBot="1" x14ac:dyDescent="0.35"/>
    <row r="36" spans="2:15" ht="17" thickBot="1" x14ac:dyDescent="0.5">
      <c r="B36" s="325" t="s">
        <v>239</v>
      </c>
      <c r="C36" s="326"/>
      <c r="D36" s="326"/>
      <c r="E36" s="326"/>
      <c r="F36" s="326"/>
      <c r="G36" s="326"/>
      <c r="H36" s="326"/>
      <c r="I36" s="326"/>
      <c r="J36" s="326"/>
      <c r="K36" s="326"/>
      <c r="L36" s="326"/>
      <c r="M36" s="326"/>
      <c r="N36" s="326"/>
      <c r="O36" s="327"/>
    </row>
    <row r="37" spans="2:15" ht="16.5" x14ac:dyDescent="0.45">
      <c r="B37" s="97"/>
      <c r="C37" s="97" t="s">
        <v>228</v>
      </c>
      <c r="D37" s="97" t="s">
        <v>229</v>
      </c>
      <c r="E37" s="97" t="s">
        <v>230</v>
      </c>
      <c r="F37" s="97" t="s">
        <v>231</v>
      </c>
      <c r="G37" s="162"/>
      <c r="H37" s="101" t="s">
        <v>245</v>
      </c>
      <c r="I37" s="162"/>
      <c r="J37" s="163" t="s">
        <v>237</v>
      </c>
      <c r="K37" s="163" t="s">
        <v>233</v>
      </c>
      <c r="L37" s="163" t="s">
        <v>232</v>
      </c>
      <c r="M37" s="163" t="s">
        <v>247</v>
      </c>
      <c r="N37" s="163" t="s">
        <v>235</v>
      </c>
      <c r="O37" s="163" t="s">
        <v>236</v>
      </c>
    </row>
    <row r="38" spans="2:15" ht="16.5" x14ac:dyDescent="0.45">
      <c r="B38" s="94" t="s">
        <v>3</v>
      </c>
      <c r="C38" s="96">
        <v>1.794</v>
      </c>
      <c r="D38" s="96">
        <v>0.16300000000000001</v>
      </c>
      <c r="E38" s="96">
        <v>1.8080000000000001</v>
      </c>
      <c r="F38" s="96">
        <f>E38/C38</f>
        <v>1.0078037904124861</v>
      </c>
      <c r="H38" s="101" t="s">
        <v>254</v>
      </c>
      <c r="J38" s="93" t="s">
        <v>234</v>
      </c>
      <c r="K38" s="102">
        <v>-0.28120000000000001</v>
      </c>
      <c r="L38" s="102">
        <v>0.75490000000000002</v>
      </c>
      <c r="M38" s="102">
        <v>0.14630000000000001</v>
      </c>
      <c r="N38" s="102">
        <v>-1.9219999999999999</v>
      </c>
      <c r="O38" s="102">
        <v>5.4600000000000003E-2</v>
      </c>
    </row>
    <row r="39" spans="2:15" ht="16.5" x14ac:dyDescent="0.45">
      <c r="B39" s="94" t="s">
        <v>4</v>
      </c>
      <c r="C39" s="96">
        <v>2.1640000000000001</v>
      </c>
      <c r="D39" s="96">
        <v>0.17599999999999999</v>
      </c>
      <c r="E39" s="96">
        <v>2.0790000000000002</v>
      </c>
      <c r="F39" s="96">
        <f t="shared" ref="F39:F49" si="2">E39/C39</f>
        <v>0.96072088724584104</v>
      </c>
      <c r="H39" s="101" t="s">
        <v>246</v>
      </c>
      <c r="J39" s="93" t="s">
        <v>238</v>
      </c>
      <c r="K39" s="93" t="s">
        <v>233</v>
      </c>
      <c r="L39" s="93" t="s">
        <v>232</v>
      </c>
      <c r="M39" s="93" t="s">
        <v>248</v>
      </c>
      <c r="N39" s="93" t="s">
        <v>235</v>
      </c>
      <c r="O39" s="93" t="s">
        <v>236</v>
      </c>
    </row>
    <row r="40" spans="2:15" ht="16.5" x14ac:dyDescent="0.45">
      <c r="B40" s="94" t="s">
        <v>34</v>
      </c>
      <c r="C40" s="96">
        <v>1.147</v>
      </c>
      <c r="D40" s="96">
        <v>0.13900000000000001</v>
      </c>
      <c r="E40" s="96">
        <v>1.321</v>
      </c>
      <c r="F40" s="96">
        <f t="shared" si="2"/>
        <v>1.151700087183958</v>
      </c>
      <c r="J40" s="93" t="s">
        <v>234</v>
      </c>
      <c r="K40" s="102">
        <v>-0.28120000000000001</v>
      </c>
      <c r="L40" s="102">
        <v>0.75490000000000002</v>
      </c>
      <c r="M40" s="102">
        <v>0.151</v>
      </c>
      <c r="N40" s="102">
        <v>-1.8617999999999999</v>
      </c>
      <c r="O40" s="102">
        <v>6.2600000000000003E-2</v>
      </c>
    </row>
    <row r="41" spans="2:15" ht="16.5" x14ac:dyDescent="0.45">
      <c r="B41" s="94" t="s">
        <v>35</v>
      </c>
      <c r="C41" s="96">
        <v>0.17599999999999999</v>
      </c>
      <c r="D41" s="96">
        <v>4.7E-2</v>
      </c>
      <c r="E41" s="96">
        <v>0.14699999999999999</v>
      </c>
      <c r="F41" s="96">
        <f t="shared" si="2"/>
        <v>0.83522727272727271</v>
      </c>
    </row>
    <row r="42" spans="2:15" ht="16.5" x14ac:dyDescent="0.45">
      <c r="B42" s="94" t="s">
        <v>31</v>
      </c>
      <c r="C42" s="96">
        <v>0.23899999999999999</v>
      </c>
      <c r="D42" s="96">
        <v>5.7000000000000002E-2</v>
      </c>
      <c r="E42" s="96">
        <v>0.215</v>
      </c>
      <c r="F42" s="96">
        <f t="shared" si="2"/>
        <v>0.89958158995815907</v>
      </c>
    </row>
    <row r="43" spans="2:15" ht="16.5" x14ac:dyDescent="0.45">
      <c r="B43" s="94" t="s">
        <v>70</v>
      </c>
      <c r="C43" s="96">
        <v>0.23899999999999999</v>
      </c>
      <c r="D43" s="96">
        <v>0.06</v>
      </c>
      <c r="E43" s="96">
        <v>0.245</v>
      </c>
      <c r="F43" s="96">
        <f t="shared" si="2"/>
        <v>1.0251046025104602</v>
      </c>
    </row>
    <row r="44" spans="2:15" ht="17" thickBot="1" x14ac:dyDescent="0.5">
      <c r="B44" s="99" t="s">
        <v>67</v>
      </c>
      <c r="C44" s="100">
        <v>0.13400000000000001</v>
      </c>
      <c r="D44" s="100">
        <v>4.7E-2</v>
      </c>
      <c r="E44" s="100">
        <v>0.14799999999999999</v>
      </c>
      <c r="F44" s="96">
        <f t="shared" si="2"/>
        <v>1.1044776119402984</v>
      </c>
    </row>
    <row r="45" spans="2:15" ht="16.5" x14ac:dyDescent="0.45">
      <c r="B45" s="97" t="s">
        <v>185</v>
      </c>
      <c r="C45" s="98">
        <v>0.81899999999999995</v>
      </c>
      <c r="D45" s="98">
        <v>0.107</v>
      </c>
      <c r="E45" s="98">
        <v>0.82599999999999996</v>
      </c>
      <c r="F45" s="96">
        <f t="shared" si="2"/>
        <v>1.0085470085470085</v>
      </c>
    </row>
    <row r="46" spans="2:15" ht="16.5" x14ac:dyDescent="0.45">
      <c r="B46" s="94" t="s">
        <v>196</v>
      </c>
      <c r="C46" s="96">
        <v>0.16700000000000001</v>
      </c>
      <c r="D46" s="96">
        <v>4.8000000000000001E-2</v>
      </c>
      <c r="E46" s="96">
        <v>0.16900000000000001</v>
      </c>
      <c r="F46" s="96">
        <f t="shared" si="2"/>
        <v>1.0119760479041917</v>
      </c>
    </row>
    <row r="47" spans="2:15" ht="16.5" x14ac:dyDescent="0.45">
      <c r="B47" s="95" t="s">
        <v>210</v>
      </c>
      <c r="C47" s="96">
        <v>9.7000000000000003E-2</v>
      </c>
      <c r="D47" s="96">
        <v>3.5000000000000003E-2</v>
      </c>
      <c r="E47" s="96">
        <v>8.8999999999999996E-2</v>
      </c>
      <c r="F47" s="96">
        <f t="shared" si="2"/>
        <v>0.91752577319587625</v>
      </c>
    </row>
    <row r="48" spans="2:15" ht="16.5" x14ac:dyDescent="0.45">
      <c r="B48" s="94" t="s">
        <v>192</v>
      </c>
      <c r="C48" s="96">
        <v>0.86099999999999999</v>
      </c>
      <c r="D48" s="96">
        <v>0.13300000000000001</v>
      </c>
      <c r="E48" s="96">
        <v>1.276</v>
      </c>
      <c r="F48" s="96">
        <f t="shared" si="2"/>
        <v>1.4819976771196284</v>
      </c>
    </row>
    <row r="49" spans="2:6" ht="16.5" x14ac:dyDescent="0.45">
      <c r="B49" s="95" t="s">
        <v>204</v>
      </c>
      <c r="C49" s="96">
        <v>0.125</v>
      </c>
      <c r="D49" s="96">
        <v>3.9E-2</v>
      </c>
      <c r="E49" s="96">
        <v>0.111</v>
      </c>
      <c r="F49" s="96">
        <f t="shared" si="2"/>
        <v>0.88800000000000001</v>
      </c>
    </row>
  </sheetData>
  <mergeCells count="3">
    <mergeCell ref="B36:O36"/>
    <mergeCell ref="B19:O19"/>
    <mergeCell ref="B2:O2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61D97-E687-454E-9B16-67A06AC470E7}">
  <dimension ref="B2:W6"/>
  <sheetViews>
    <sheetView zoomScale="70" zoomScaleNormal="70" workbookViewId="0">
      <selection activeCell="Q5" sqref="Q5"/>
    </sheetView>
  </sheetViews>
  <sheetFormatPr defaultRowHeight="14.5" x14ac:dyDescent="0.3"/>
  <cols>
    <col min="1" max="2" width="8.796875" style="233"/>
    <col min="3" max="3" width="32" style="233" customWidth="1"/>
    <col min="4" max="4" width="18" style="233" customWidth="1"/>
    <col min="5" max="5" width="12.09765625" style="233" customWidth="1"/>
    <col min="6" max="6" width="9.59765625" style="233" customWidth="1"/>
    <col min="7" max="7" width="11.5" style="233" customWidth="1"/>
    <col min="8" max="8" width="9.59765625" style="233" customWidth="1"/>
    <col min="9" max="9" width="19.5" style="233" customWidth="1"/>
    <col min="10" max="10" width="8.8984375" style="233" customWidth="1"/>
    <col min="11" max="11" width="16.59765625" style="233" customWidth="1"/>
    <col min="12" max="12" width="16.796875" style="233" customWidth="1"/>
    <col min="13" max="13" width="26" style="233" customWidth="1"/>
    <col min="14" max="14" width="18.8984375" style="233" customWidth="1"/>
    <col min="15" max="15" width="24.19921875" style="233" customWidth="1"/>
    <col min="16" max="16" width="25.19921875" style="233" customWidth="1"/>
    <col min="17" max="17" width="23.09765625" style="233" customWidth="1"/>
    <col min="18" max="18" width="22.69921875" style="233" customWidth="1"/>
    <col min="19" max="19" width="16" style="233" customWidth="1"/>
    <col min="20" max="21" width="10.09765625" style="233" customWidth="1"/>
    <col min="22" max="22" width="8.8984375" style="233" customWidth="1"/>
    <col min="23" max="16384" width="8.796875" style="233"/>
  </cols>
  <sheetData>
    <row r="2" spans="2:23" ht="15" thickBot="1" x14ac:dyDescent="0.35"/>
    <row r="3" spans="2:23" ht="19" thickBot="1" x14ac:dyDescent="0.6">
      <c r="C3" s="328" t="s">
        <v>375</v>
      </c>
      <c r="D3" s="329"/>
      <c r="E3" s="329"/>
      <c r="F3" s="329"/>
      <c r="G3" s="329"/>
      <c r="H3" s="329"/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30"/>
    </row>
    <row r="4" spans="2:23" ht="37" x14ac:dyDescent="0.3">
      <c r="C4" s="236" t="s">
        <v>376</v>
      </c>
      <c r="D4" s="236" t="s">
        <v>377</v>
      </c>
      <c r="E4" s="236" t="s">
        <v>378</v>
      </c>
      <c r="F4" s="236" t="s">
        <v>379</v>
      </c>
      <c r="G4" s="236" t="s">
        <v>380</v>
      </c>
      <c r="H4" s="236" t="s">
        <v>381</v>
      </c>
      <c r="I4" s="236" t="s">
        <v>382</v>
      </c>
      <c r="J4" s="236" t="s">
        <v>383</v>
      </c>
      <c r="K4" s="236" t="s">
        <v>384</v>
      </c>
      <c r="L4" s="236" t="s">
        <v>385</v>
      </c>
      <c r="M4" s="237" t="s">
        <v>386</v>
      </c>
      <c r="N4" s="236" t="s">
        <v>387</v>
      </c>
      <c r="O4" s="236" t="s">
        <v>388</v>
      </c>
      <c r="P4" s="236" t="s">
        <v>389</v>
      </c>
      <c r="Q4" s="237" t="s">
        <v>390</v>
      </c>
      <c r="R4" s="237" t="s">
        <v>391</v>
      </c>
      <c r="S4" s="237" t="s">
        <v>392</v>
      </c>
      <c r="T4" s="236" t="s">
        <v>393</v>
      </c>
      <c r="U4" s="236" t="s">
        <v>394</v>
      </c>
      <c r="V4" s="236" t="s">
        <v>395</v>
      </c>
    </row>
    <row r="5" spans="2:23" ht="37" x14ac:dyDescent="0.3">
      <c r="B5" s="234" t="s">
        <v>441</v>
      </c>
      <c r="C5" s="234" t="s">
        <v>442</v>
      </c>
      <c r="D5" s="234" t="s">
        <v>443</v>
      </c>
      <c r="E5" s="234" t="s">
        <v>396</v>
      </c>
      <c r="F5" s="234">
        <v>-0.33119999999999999</v>
      </c>
      <c r="G5" s="234">
        <v>0.12759999999999999</v>
      </c>
      <c r="H5" s="234">
        <v>-2.5964</v>
      </c>
      <c r="I5" s="235">
        <v>9.4199999999999996E-3</v>
      </c>
      <c r="J5" s="234">
        <v>0.71799999999999997</v>
      </c>
      <c r="K5" s="234">
        <v>0.55920000000000003</v>
      </c>
      <c r="L5" s="234">
        <v>0.92200000000000004</v>
      </c>
      <c r="M5" s="238" t="s">
        <v>444</v>
      </c>
      <c r="N5" s="234">
        <v>-28.2</v>
      </c>
      <c r="O5" s="234">
        <v>-44.08</v>
      </c>
      <c r="P5" s="234">
        <v>-7.8</v>
      </c>
      <c r="Q5" s="238">
        <v>0.96340000000000003</v>
      </c>
      <c r="R5" s="238">
        <v>1.0845</v>
      </c>
      <c r="S5" s="238">
        <v>0.27429999999999999</v>
      </c>
      <c r="T5" s="234">
        <v>2025.46</v>
      </c>
      <c r="U5" s="234">
        <v>2171.87</v>
      </c>
      <c r="V5" s="234">
        <v>973</v>
      </c>
    </row>
    <row r="6" spans="2:23" ht="37" x14ac:dyDescent="0.3">
      <c r="B6" s="234" t="s">
        <v>408</v>
      </c>
      <c r="C6" s="234" t="s">
        <v>442</v>
      </c>
      <c r="D6" s="234" t="s">
        <v>443</v>
      </c>
      <c r="E6" s="234" t="s">
        <v>396</v>
      </c>
      <c r="F6" s="234">
        <v>-0.29580000000000001</v>
      </c>
      <c r="G6" s="234">
        <v>0.10929999999999999</v>
      </c>
      <c r="H6" s="234">
        <v>-2.7067000000000001</v>
      </c>
      <c r="I6" s="235">
        <v>6.7949999999999998E-3</v>
      </c>
      <c r="J6" s="234">
        <v>0.74390000000000001</v>
      </c>
      <c r="K6" s="234">
        <v>0.60050000000000003</v>
      </c>
      <c r="L6" s="234">
        <v>0.92159999999999997</v>
      </c>
      <c r="M6" s="238" t="s">
        <v>445</v>
      </c>
      <c r="N6" s="234">
        <v>-25.61</v>
      </c>
      <c r="O6" s="234">
        <v>-39.950000000000003</v>
      </c>
      <c r="P6" s="234">
        <v>-7.84</v>
      </c>
      <c r="Q6" s="238">
        <v>0.65359999999999996</v>
      </c>
      <c r="R6" s="238">
        <v>0.6925</v>
      </c>
      <c r="S6" s="238">
        <v>0.35020000000000001</v>
      </c>
      <c r="T6" s="234">
        <v>2213.96</v>
      </c>
      <c r="U6" s="234">
        <v>2404.6799999999998</v>
      </c>
      <c r="V6" s="234">
        <v>1477</v>
      </c>
      <c r="W6" s="233">
        <v>973</v>
      </c>
    </row>
  </sheetData>
  <mergeCells count="1">
    <mergeCell ref="C3:V3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21094-0780-4488-986F-7D22D23992B7}">
  <dimension ref="A1:F8"/>
  <sheetViews>
    <sheetView workbookViewId="0">
      <selection activeCell="C18" sqref="C18"/>
    </sheetView>
  </sheetViews>
  <sheetFormatPr defaultRowHeight="14.5" x14ac:dyDescent="0.3"/>
  <cols>
    <col min="1" max="1" width="36.5" bestFit="1" customWidth="1"/>
    <col min="2" max="5" width="10.19921875" bestFit="1" customWidth="1"/>
    <col min="6" max="6" width="11.69921875" bestFit="1" customWidth="1"/>
  </cols>
  <sheetData>
    <row r="1" spans="1:6" x14ac:dyDescent="0.3">
      <c r="A1" t="s">
        <v>131</v>
      </c>
      <c r="B1" t="s">
        <v>133</v>
      </c>
      <c r="C1" t="s">
        <v>134</v>
      </c>
      <c r="D1" t="s">
        <v>135</v>
      </c>
      <c r="E1" t="s">
        <v>136</v>
      </c>
      <c r="F1" t="s">
        <v>137</v>
      </c>
    </row>
    <row r="2" spans="1:6" x14ac:dyDescent="0.3">
      <c r="A2" t="s">
        <v>3</v>
      </c>
      <c r="B2" t="s">
        <v>256</v>
      </c>
      <c r="C2" t="s">
        <v>139</v>
      </c>
      <c r="D2" t="s">
        <v>140</v>
      </c>
      <c r="E2" t="s">
        <v>255</v>
      </c>
      <c r="F2" t="s">
        <v>144</v>
      </c>
    </row>
    <row r="3" spans="1:6" x14ac:dyDescent="0.3">
      <c r="A3" t="s">
        <v>4</v>
      </c>
      <c r="B3" t="s">
        <v>257</v>
      </c>
      <c r="C3" t="s">
        <v>141</v>
      </c>
      <c r="D3" t="s">
        <v>142</v>
      </c>
      <c r="E3" t="s">
        <v>143</v>
      </c>
      <c r="F3" t="s">
        <v>138</v>
      </c>
    </row>
    <row r="4" spans="1:6" x14ac:dyDescent="0.3">
      <c r="A4" t="s">
        <v>34</v>
      </c>
      <c r="B4" t="s">
        <v>148</v>
      </c>
      <c r="C4" t="s">
        <v>148</v>
      </c>
      <c r="D4" t="s">
        <v>149</v>
      </c>
      <c r="E4" t="s">
        <v>146</v>
      </c>
      <c r="F4" t="s">
        <v>147</v>
      </c>
    </row>
    <row r="5" spans="1:6" x14ac:dyDescent="0.3">
      <c r="A5" t="s">
        <v>35</v>
      </c>
      <c r="B5" t="s">
        <v>152</v>
      </c>
      <c r="C5" t="s">
        <v>152</v>
      </c>
      <c r="D5" t="s">
        <v>151</v>
      </c>
      <c r="E5" t="s">
        <v>150</v>
      </c>
      <c r="F5" t="s">
        <v>153</v>
      </c>
    </row>
    <row r="6" spans="1:6" x14ac:dyDescent="0.3">
      <c r="A6" t="s">
        <v>31</v>
      </c>
      <c r="B6" t="s">
        <v>258</v>
      </c>
      <c r="C6" t="s">
        <v>154</v>
      </c>
      <c r="D6" t="s">
        <v>145</v>
      </c>
      <c r="E6" t="s">
        <v>148</v>
      </c>
      <c r="F6" t="s">
        <v>149</v>
      </c>
    </row>
    <row r="7" spans="1:6" x14ac:dyDescent="0.3">
      <c r="A7" t="s">
        <v>70</v>
      </c>
      <c r="B7" t="s">
        <v>154</v>
      </c>
      <c r="C7" t="s">
        <v>259</v>
      </c>
      <c r="D7" t="s">
        <v>148</v>
      </c>
      <c r="E7" t="s">
        <v>149</v>
      </c>
      <c r="F7" t="s">
        <v>146</v>
      </c>
    </row>
    <row r="8" spans="1:6" x14ac:dyDescent="0.3">
      <c r="A8" t="s">
        <v>67</v>
      </c>
      <c r="B8" t="s">
        <v>149</v>
      </c>
      <c r="C8" t="s">
        <v>149</v>
      </c>
      <c r="D8" t="s">
        <v>146</v>
      </c>
      <c r="E8" t="s">
        <v>147</v>
      </c>
      <c r="F8" t="s">
        <v>155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A7C20-DB89-41E3-8060-B5DD35786B1B}">
  <dimension ref="A3:F22"/>
  <sheetViews>
    <sheetView zoomScale="114" workbookViewId="0">
      <selection activeCell="D27" sqref="D27"/>
    </sheetView>
  </sheetViews>
  <sheetFormatPr defaultRowHeight="14.5" x14ac:dyDescent="0.3"/>
  <cols>
    <col min="2" max="2" width="17.3984375" bestFit="1" customWidth="1"/>
    <col min="3" max="3" width="13.796875" bestFit="1" customWidth="1"/>
    <col min="4" max="4" width="17.796875" bestFit="1" customWidth="1"/>
    <col min="5" max="5" width="38.8984375" bestFit="1" customWidth="1"/>
  </cols>
  <sheetData>
    <row r="3" spans="1:6" ht="15" x14ac:dyDescent="0.35">
      <c r="A3" s="171"/>
      <c r="B3" s="171" t="s">
        <v>261</v>
      </c>
      <c r="C3" s="171" t="s">
        <v>262</v>
      </c>
      <c r="D3" s="171" t="s">
        <v>282</v>
      </c>
      <c r="E3" s="171" t="s">
        <v>278</v>
      </c>
      <c r="F3" s="171" t="s">
        <v>228</v>
      </c>
    </row>
    <row r="4" spans="1:6" ht="15" x14ac:dyDescent="0.35">
      <c r="A4" s="333" t="s">
        <v>271</v>
      </c>
      <c r="B4" s="166" t="s">
        <v>263</v>
      </c>
      <c r="C4" s="166" t="s">
        <v>288</v>
      </c>
      <c r="D4" s="167" t="s">
        <v>279</v>
      </c>
      <c r="E4" s="166" t="s">
        <v>280</v>
      </c>
      <c r="F4" s="166">
        <v>2.1833333333333331</v>
      </c>
    </row>
    <row r="5" spans="1:6" ht="15" x14ac:dyDescent="0.35">
      <c r="A5" s="333"/>
      <c r="B5" s="166" t="s">
        <v>185</v>
      </c>
      <c r="C5" s="166" t="s">
        <v>287</v>
      </c>
      <c r="D5" s="167" t="s">
        <v>283</v>
      </c>
      <c r="E5" s="166" t="s">
        <v>284</v>
      </c>
      <c r="F5" s="166">
        <v>1.0694444444444444</v>
      </c>
    </row>
    <row r="6" spans="1:6" ht="15" x14ac:dyDescent="0.35">
      <c r="A6" s="333"/>
      <c r="B6" s="166" t="s">
        <v>264</v>
      </c>
      <c r="C6" s="166" t="s">
        <v>281</v>
      </c>
      <c r="D6" s="167" t="s">
        <v>281</v>
      </c>
      <c r="E6" s="166"/>
      <c r="F6" s="166">
        <v>1.8055555555555556</v>
      </c>
    </row>
    <row r="7" spans="1:6" ht="15" x14ac:dyDescent="0.35">
      <c r="A7" s="333"/>
      <c r="B7" s="204" t="s">
        <v>265</v>
      </c>
      <c r="C7" s="204" t="s">
        <v>286</v>
      </c>
      <c r="D7" s="205">
        <v>114.05</v>
      </c>
      <c r="E7" s="204" t="s">
        <v>285</v>
      </c>
      <c r="F7" s="204"/>
    </row>
    <row r="8" spans="1:6" ht="15" x14ac:dyDescent="0.35">
      <c r="A8" s="168" t="s">
        <v>272</v>
      </c>
      <c r="B8" s="166" t="s">
        <v>266</v>
      </c>
      <c r="C8" s="166" t="s">
        <v>281</v>
      </c>
      <c r="D8" s="167" t="s">
        <v>281</v>
      </c>
      <c r="E8" s="166"/>
      <c r="F8" s="166">
        <v>1.5277777777777777</v>
      </c>
    </row>
    <row r="9" spans="1:6" ht="15" x14ac:dyDescent="0.35">
      <c r="A9" s="333" t="s">
        <v>273</v>
      </c>
      <c r="B9" s="166" t="s">
        <v>260</v>
      </c>
      <c r="C9" s="166" t="s">
        <v>288</v>
      </c>
      <c r="D9" s="167" t="s">
        <v>289</v>
      </c>
      <c r="E9" s="166" t="s">
        <v>290</v>
      </c>
      <c r="F9" s="166">
        <v>1.3333333333333333</v>
      </c>
    </row>
    <row r="10" spans="1:6" ht="15" x14ac:dyDescent="0.35">
      <c r="A10" s="333"/>
      <c r="B10" s="166" t="s">
        <v>205</v>
      </c>
      <c r="C10" s="166" t="s">
        <v>287</v>
      </c>
      <c r="D10" s="167" t="s">
        <v>281</v>
      </c>
      <c r="E10" s="166" t="s">
        <v>291</v>
      </c>
      <c r="F10" s="166">
        <v>6.4722222222222223</v>
      </c>
    </row>
    <row r="11" spans="1:6" ht="15" x14ac:dyDescent="0.35">
      <c r="A11" s="333" t="s">
        <v>274</v>
      </c>
      <c r="B11" s="166" t="s">
        <v>267</v>
      </c>
      <c r="C11" s="166" t="s">
        <v>281</v>
      </c>
      <c r="D11" s="167" t="s">
        <v>292</v>
      </c>
      <c r="E11" s="166"/>
      <c r="F11" s="166">
        <v>1.625</v>
      </c>
    </row>
    <row r="12" spans="1:6" ht="15" x14ac:dyDescent="0.35">
      <c r="A12" s="333"/>
      <c r="B12" s="166" t="s">
        <v>223</v>
      </c>
      <c r="C12" s="166" t="s">
        <v>281</v>
      </c>
      <c r="D12" s="167" t="s">
        <v>293</v>
      </c>
      <c r="E12" s="166"/>
      <c r="F12" s="166">
        <v>0.20833333333333334</v>
      </c>
    </row>
    <row r="13" spans="1:6" ht="15" x14ac:dyDescent="0.35">
      <c r="A13" s="333"/>
      <c r="B13" s="166" t="s">
        <v>294</v>
      </c>
      <c r="C13" s="166" t="s">
        <v>281</v>
      </c>
      <c r="D13" s="167" t="s">
        <v>281</v>
      </c>
      <c r="E13" s="166"/>
      <c r="F13" s="166">
        <v>0.5</v>
      </c>
    </row>
    <row r="14" spans="1:6" ht="15" x14ac:dyDescent="0.35">
      <c r="A14" s="333" t="s">
        <v>277</v>
      </c>
      <c r="B14" s="166" t="s">
        <v>295</v>
      </c>
      <c r="C14" s="166" t="s">
        <v>287</v>
      </c>
      <c r="D14" s="167">
        <v>114</v>
      </c>
      <c r="E14" s="166" t="s">
        <v>302</v>
      </c>
      <c r="F14" s="166">
        <v>1.1666666666666667</v>
      </c>
    </row>
    <row r="15" spans="1:6" ht="15" x14ac:dyDescent="0.35">
      <c r="A15" s="333"/>
      <c r="B15" s="204" t="s">
        <v>296</v>
      </c>
      <c r="C15" s="204" t="s">
        <v>288</v>
      </c>
      <c r="D15" s="205" t="s">
        <v>300</v>
      </c>
      <c r="E15" s="204" t="s">
        <v>301</v>
      </c>
      <c r="F15" s="204"/>
    </row>
    <row r="16" spans="1:6" ht="15" x14ac:dyDescent="0.35">
      <c r="A16" s="333"/>
      <c r="B16" s="166" t="s">
        <v>297</v>
      </c>
      <c r="C16" s="166" t="s">
        <v>281</v>
      </c>
      <c r="D16" s="167" t="s">
        <v>281</v>
      </c>
      <c r="E16" s="166"/>
      <c r="F16" s="166">
        <v>0.54166666666666663</v>
      </c>
    </row>
    <row r="17" spans="1:6" ht="15" x14ac:dyDescent="0.35">
      <c r="A17" s="333"/>
      <c r="B17" s="166" t="s">
        <v>268</v>
      </c>
      <c r="C17" s="166" t="s">
        <v>288</v>
      </c>
      <c r="D17" s="167" t="s">
        <v>298</v>
      </c>
      <c r="E17" s="166" t="s">
        <v>299</v>
      </c>
      <c r="F17" s="166">
        <v>0.20833333333333334</v>
      </c>
    </row>
    <row r="18" spans="1:6" ht="15" x14ac:dyDescent="0.35">
      <c r="A18" s="333" t="s">
        <v>276</v>
      </c>
      <c r="B18" s="166" t="s">
        <v>196</v>
      </c>
      <c r="C18" s="166" t="s">
        <v>281</v>
      </c>
      <c r="D18" s="167" t="s">
        <v>281</v>
      </c>
      <c r="E18" s="166"/>
      <c r="F18" s="166">
        <v>0.25</v>
      </c>
    </row>
    <row r="19" spans="1:6" ht="15" x14ac:dyDescent="0.35">
      <c r="A19" s="333"/>
      <c r="B19" s="166" t="s">
        <v>197</v>
      </c>
      <c r="C19" s="166" t="s">
        <v>281</v>
      </c>
      <c r="D19" s="167" t="s">
        <v>281</v>
      </c>
      <c r="E19" s="166"/>
      <c r="F19" s="166">
        <v>0.77777777777777779</v>
      </c>
    </row>
    <row r="20" spans="1:6" ht="15" x14ac:dyDescent="0.35">
      <c r="A20" s="333"/>
      <c r="B20" s="166" t="s">
        <v>200</v>
      </c>
      <c r="C20" s="166" t="s">
        <v>281</v>
      </c>
      <c r="D20" s="167" t="s">
        <v>281</v>
      </c>
      <c r="E20" s="166"/>
      <c r="F20" s="166">
        <v>0.93055555555555558</v>
      </c>
    </row>
    <row r="21" spans="1:6" ht="15" x14ac:dyDescent="0.35">
      <c r="A21" s="331" t="s">
        <v>275</v>
      </c>
      <c r="B21" s="166" t="s">
        <v>269</v>
      </c>
      <c r="C21" s="166" t="s">
        <v>281</v>
      </c>
      <c r="D21" s="167" t="s">
        <v>281</v>
      </c>
      <c r="E21" s="166"/>
      <c r="F21" s="166">
        <v>0.34722222222222221</v>
      </c>
    </row>
    <row r="22" spans="1:6" ht="15" x14ac:dyDescent="0.35">
      <c r="A22" s="332"/>
      <c r="B22" s="204" t="s">
        <v>270</v>
      </c>
      <c r="C22" s="204" t="s">
        <v>287</v>
      </c>
      <c r="D22" s="205">
        <v>110</v>
      </c>
      <c r="E22" s="204" t="s">
        <v>303</v>
      </c>
      <c r="F22" s="204"/>
    </row>
  </sheetData>
  <mergeCells count="6">
    <mergeCell ref="A21:A22"/>
    <mergeCell ref="A4:A7"/>
    <mergeCell ref="A9:A10"/>
    <mergeCell ref="A11:A13"/>
    <mergeCell ref="A18:A20"/>
    <mergeCell ref="A14:A17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E3304-71F0-409E-AE73-0A2EDF11CE98}">
  <dimension ref="A1:S215"/>
  <sheetViews>
    <sheetView topLeftCell="A25" zoomScale="82" zoomScaleNormal="100" workbookViewId="0">
      <selection activeCell="H36" sqref="H36"/>
    </sheetView>
  </sheetViews>
  <sheetFormatPr defaultRowHeight="14.5" x14ac:dyDescent="0.3"/>
  <cols>
    <col min="1" max="1" width="15.19921875" customWidth="1"/>
    <col min="2" max="2" width="16.296875" customWidth="1"/>
    <col min="3" max="3" width="11.09765625" bestFit="1" customWidth="1"/>
    <col min="4" max="4" width="30.796875" bestFit="1" customWidth="1"/>
    <col min="5" max="5" width="22.09765625" customWidth="1"/>
    <col min="6" max="6" width="22.296875" bestFit="1" customWidth="1"/>
    <col min="7" max="7" width="22.19921875" customWidth="1"/>
    <col min="8" max="8" width="30.59765625" customWidth="1"/>
    <col min="9" max="9" width="35.5" customWidth="1"/>
    <col min="10" max="10" width="35.3984375" customWidth="1"/>
    <col min="11" max="11" width="31" customWidth="1"/>
    <col min="12" max="12" width="22.19921875" customWidth="1"/>
    <col min="13" max="13" width="15.8984375" customWidth="1"/>
    <col min="14" max="14" width="15.8984375" style="233" customWidth="1"/>
    <col min="15" max="15" width="10.8984375" customWidth="1"/>
    <col min="16" max="16" width="11" customWidth="1"/>
    <col min="17" max="17" width="16.5" customWidth="1"/>
    <col min="18" max="18" width="12.296875" customWidth="1"/>
    <col min="19" max="19" width="12.296875" style="233" customWidth="1"/>
  </cols>
  <sheetData>
    <row r="1" spans="1:19" ht="28.5" customHeight="1" thickBot="1" x14ac:dyDescent="0.35">
      <c r="A1" s="529" t="s">
        <v>432</v>
      </c>
      <c r="B1" s="530"/>
      <c r="C1" s="530"/>
      <c r="D1" s="530"/>
      <c r="E1" s="530"/>
      <c r="F1" s="530"/>
      <c r="G1" s="530"/>
      <c r="H1" s="530"/>
      <c r="I1" s="530"/>
      <c r="J1" s="530"/>
      <c r="K1" s="530"/>
      <c r="L1" s="530"/>
      <c r="M1" s="530"/>
      <c r="N1" s="530"/>
      <c r="O1" s="530"/>
      <c r="P1" s="530"/>
      <c r="Q1" s="530"/>
      <c r="R1" s="530"/>
      <c r="S1" s="531"/>
    </row>
    <row r="2" spans="1:19" ht="15" thickBot="1" x14ac:dyDescent="0.35">
      <c r="A2" s="525" t="s">
        <v>326</v>
      </c>
      <c r="B2" s="525" t="s">
        <v>321</v>
      </c>
      <c r="C2" s="525" t="s">
        <v>327</v>
      </c>
      <c r="D2" s="526" t="s">
        <v>337</v>
      </c>
      <c r="E2" s="526" t="s">
        <v>338</v>
      </c>
      <c r="F2" s="526" t="s">
        <v>328</v>
      </c>
      <c r="G2" s="526" t="s">
        <v>329</v>
      </c>
      <c r="H2" s="526" t="s">
        <v>325</v>
      </c>
      <c r="I2" s="526" t="s">
        <v>339</v>
      </c>
      <c r="J2" s="526" t="s">
        <v>340</v>
      </c>
      <c r="K2" s="526" t="s">
        <v>330</v>
      </c>
      <c r="L2" s="525" t="s">
        <v>331</v>
      </c>
      <c r="M2" s="527" t="s">
        <v>433</v>
      </c>
      <c r="N2" s="528" t="s">
        <v>433</v>
      </c>
      <c r="O2" s="526" t="s">
        <v>332</v>
      </c>
      <c r="P2" s="527" t="s">
        <v>434</v>
      </c>
      <c r="Q2" s="528" t="s">
        <v>435</v>
      </c>
      <c r="R2" s="528" t="s">
        <v>436</v>
      </c>
      <c r="S2" s="528" t="s">
        <v>437</v>
      </c>
    </row>
    <row r="3" spans="1:19" x14ac:dyDescent="0.3">
      <c r="A3" s="516" t="s">
        <v>320</v>
      </c>
      <c r="B3" s="496" t="s">
        <v>314</v>
      </c>
      <c r="C3" s="497" t="s">
        <v>324</v>
      </c>
      <c r="D3" s="498">
        <v>2.5385</v>
      </c>
      <c r="E3" s="498">
        <v>2.1282000000000001</v>
      </c>
      <c r="F3" s="498">
        <v>-2.5999999999999999E-3</v>
      </c>
      <c r="G3" s="498">
        <v>2.4500000000000001E-2</v>
      </c>
      <c r="H3" s="498">
        <v>2.7099999999999999E-2</v>
      </c>
      <c r="I3" s="498">
        <v>-1.1999999999999999E-3</v>
      </c>
      <c r="J3" s="498">
        <v>9.7000000000000003E-3</v>
      </c>
      <c r="K3" s="498">
        <v>1.09E-2</v>
      </c>
      <c r="L3" s="498" t="s">
        <v>333</v>
      </c>
      <c r="M3" s="499" t="s">
        <v>355</v>
      </c>
      <c r="N3" s="499">
        <v>1</v>
      </c>
      <c r="O3" s="498">
        <v>0.3584</v>
      </c>
      <c r="P3" s="499">
        <v>1</v>
      </c>
      <c r="Q3" s="499">
        <v>2</v>
      </c>
      <c r="R3" s="500">
        <v>9</v>
      </c>
      <c r="S3" s="501" t="s">
        <v>438</v>
      </c>
    </row>
    <row r="4" spans="1:19" x14ac:dyDescent="0.3">
      <c r="A4" s="517"/>
      <c r="B4" s="490"/>
      <c r="C4" s="486" t="s">
        <v>322</v>
      </c>
      <c r="D4" s="487">
        <v>2.5385</v>
      </c>
      <c r="E4" s="487">
        <v>2.1282000000000001</v>
      </c>
      <c r="F4" s="487">
        <v>-1.0999999999999999E-2</v>
      </c>
      <c r="G4" s="487">
        <v>7.5300000000000006E-2</v>
      </c>
      <c r="H4" s="487">
        <v>8.6199999999999999E-2</v>
      </c>
      <c r="I4" s="487">
        <v>-5.1000000000000004E-3</v>
      </c>
      <c r="J4" s="487">
        <v>2.9600000000000001E-2</v>
      </c>
      <c r="K4" s="487">
        <v>3.4799999999999998E-2</v>
      </c>
      <c r="L4" s="487" t="s">
        <v>333</v>
      </c>
      <c r="M4" s="488" t="s">
        <v>355</v>
      </c>
      <c r="N4" s="488">
        <v>1</v>
      </c>
      <c r="O4" s="487">
        <v>0.1885</v>
      </c>
      <c r="P4" s="488">
        <v>0</v>
      </c>
      <c r="Q4" s="488">
        <v>1</v>
      </c>
      <c r="R4" s="491"/>
      <c r="S4" s="502"/>
    </row>
    <row r="5" spans="1:19" x14ac:dyDescent="0.3">
      <c r="A5" s="517"/>
      <c r="B5" s="492"/>
      <c r="C5" s="486" t="s">
        <v>323</v>
      </c>
      <c r="D5" s="487">
        <v>2.5417000000000001</v>
      </c>
      <c r="E5" s="487">
        <v>2.3542000000000001</v>
      </c>
      <c r="F5" s="487">
        <v>0.27489999999999998</v>
      </c>
      <c r="G5" s="487">
        <v>0.24990000000000001</v>
      </c>
      <c r="H5" s="487">
        <v>-2.5000000000000001E-2</v>
      </c>
      <c r="I5" s="487">
        <v>0.1168</v>
      </c>
      <c r="J5" s="487">
        <v>9.8299999999999998E-2</v>
      </c>
      <c r="K5" s="487">
        <v>1.84E-2</v>
      </c>
      <c r="L5" s="487" t="s">
        <v>335</v>
      </c>
      <c r="M5" s="488" t="s">
        <v>354</v>
      </c>
      <c r="N5" s="488">
        <v>2</v>
      </c>
      <c r="O5" s="487">
        <v>0.92700000000000005</v>
      </c>
      <c r="P5" s="488">
        <v>4</v>
      </c>
      <c r="Q5" s="488">
        <v>6</v>
      </c>
      <c r="R5" s="493"/>
      <c r="S5" s="503"/>
    </row>
    <row r="6" spans="1:19" x14ac:dyDescent="0.3">
      <c r="A6" s="517"/>
      <c r="B6" s="485" t="s">
        <v>315</v>
      </c>
      <c r="C6" s="486" t="s">
        <v>324</v>
      </c>
      <c r="D6" s="487">
        <v>2.5385</v>
      </c>
      <c r="E6" s="487">
        <v>0.89739999999999998</v>
      </c>
      <c r="F6" s="487">
        <v>-1.01E-2</v>
      </c>
      <c r="G6" s="487">
        <v>2.4500000000000001E-2</v>
      </c>
      <c r="H6" s="487">
        <v>3.4700000000000002E-2</v>
      </c>
      <c r="I6" s="487">
        <v>-1.1299999999999999E-2</v>
      </c>
      <c r="J6" s="487">
        <v>9.7000000000000003E-3</v>
      </c>
      <c r="K6" s="487">
        <v>2.1000000000000001E-2</v>
      </c>
      <c r="L6" s="487" t="s">
        <v>333</v>
      </c>
      <c r="M6" s="488" t="s">
        <v>355</v>
      </c>
      <c r="N6" s="488">
        <v>1</v>
      </c>
      <c r="O6" s="487">
        <v>0.16159999999999999</v>
      </c>
      <c r="P6" s="488">
        <v>0</v>
      </c>
      <c r="Q6" s="488">
        <v>1</v>
      </c>
      <c r="R6" s="489">
        <v>6</v>
      </c>
      <c r="S6" s="504">
        <v>4</v>
      </c>
    </row>
    <row r="7" spans="1:19" x14ac:dyDescent="0.3">
      <c r="A7" s="517"/>
      <c r="B7" s="490" t="s">
        <v>315</v>
      </c>
      <c r="C7" s="486" t="s">
        <v>322</v>
      </c>
      <c r="D7" s="487">
        <v>2.5385</v>
      </c>
      <c r="E7" s="487">
        <v>0.89739999999999998</v>
      </c>
      <c r="F7" s="487">
        <v>-2.92E-2</v>
      </c>
      <c r="G7" s="487">
        <v>7.5300000000000006E-2</v>
      </c>
      <c r="H7" s="487">
        <v>0.1045</v>
      </c>
      <c r="I7" s="487">
        <v>-3.2599999999999997E-2</v>
      </c>
      <c r="J7" s="487">
        <v>2.9600000000000001E-2</v>
      </c>
      <c r="K7" s="487">
        <v>6.2199999999999998E-2</v>
      </c>
      <c r="L7" s="487" t="s">
        <v>333</v>
      </c>
      <c r="M7" s="488" t="s">
        <v>334</v>
      </c>
      <c r="N7" s="488">
        <v>0</v>
      </c>
      <c r="O7" s="487">
        <v>0.2011</v>
      </c>
      <c r="P7" s="488">
        <v>1</v>
      </c>
      <c r="Q7" s="488">
        <v>1</v>
      </c>
      <c r="R7" s="491"/>
      <c r="S7" s="502"/>
    </row>
    <row r="8" spans="1:19" x14ac:dyDescent="0.3">
      <c r="A8" s="517"/>
      <c r="B8" s="492" t="s">
        <v>315</v>
      </c>
      <c r="C8" s="486" t="s">
        <v>323</v>
      </c>
      <c r="D8" s="487">
        <v>2.5417000000000001</v>
      </c>
      <c r="E8" s="487">
        <v>1.0417000000000001</v>
      </c>
      <c r="F8" s="487">
        <v>0.13339999999999999</v>
      </c>
      <c r="G8" s="487">
        <v>0.24990000000000001</v>
      </c>
      <c r="H8" s="487">
        <v>0.11650000000000001</v>
      </c>
      <c r="I8" s="487">
        <v>0.12809999999999999</v>
      </c>
      <c r="J8" s="487">
        <v>9.8299999999999998E-2</v>
      </c>
      <c r="K8" s="487">
        <v>2.9700000000000001E-2</v>
      </c>
      <c r="L8" s="487" t="s">
        <v>335</v>
      </c>
      <c r="M8" s="488" t="s">
        <v>354</v>
      </c>
      <c r="N8" s="488">
        <v>2</v>
      </c>
      <c r="O8" s="487">
        <v>0.58699999999999997</v>
      </c>
      <c r="P8" s="488">
        <v>2</v>
      </c>
      <c r="Q8" s="488">
        <v>4</v>
      </c>
      <c r="R8" s="493"/>
      <c r="S8" s="503"/>
    </row>
    <row r="9" spans="1:19" x14ac:dyDescent="0.3">
      <c r="A9" s="517"/>
      <c r="B9" s="485" t="s">
        <v>317</v>
      </c>
      <c r="C9" s="486" t="s">
        <v>324</v>
      </c>
      <c r="D9" s="487">
        <v>2.5385</v>
      </c>
      <c r="E9" s="487">
        <v>1.4359</v>
      </c>
      <c r="F9" s="487">
        <v>2.3999999999999998E-3</v>
      </c>
      <c r="G9" s="487">
        <v>2.4500000000000001E-2</v>
      </c>
      <c r="H9" s="487">
        <v>2.2100000000000002E-2</v>
      </c>
      <c r="I9" s="487">
        <v>1.6999999999999999E-3</v>
      </c>
      <c r="J9" s="487">
        <v>9.7000000000000003E-3</v>
      </c>
      <c r="K9" s="487">
        <v>8.0000000000000002E-3</v>
      </c>
      <c r="L9" s="487" t="s">
        <v>335</v>
      </c>
      <c r="M9" s="488" t="s">
        <v>354</v>
      </c>
      <c r="N9" s="488">
        <v>2</v>
      </c>
      <c r="O9" s="487">
        <v>0.40710000000000002</v>
      </c>
      <c r="P9" s="488">
        <v>1</v>
      </c>
      <c r="Q9" s="488">
        <v>3</v>
      </c>
      <c r="R9" s="489">
        <v>9</v>
      </c>
      <c r="S9" s="504" t="s">
        <v>438</v>
      </c>
    </row>
    <row r="10" spans="1:19" x14ac:dyDescent="0.3">
      <c r="A10" s="517"/>
      <c r="B10" s="490" t="s">
        <v>317</v>
      </c>
      <c r="C10" s="486" t="s">
        <v>322</v>
      </c>
      <c r="D10" s="487">
        <v>2.5385</v>
      </c>
      <c r="E10" s="487">
        <v>1.4359</v>
      </c>
      <c r="F10" s="487">
        <v>7.4000000000000003E-3</v>
      </c>
      <c r="G10" s="487">
        <v>7.5300000000000006E-2</v>
      </c>
      <c r="H10" s="487">
        <v>6.7900000000000002E-2</v>
      </c>
      <c r="I10" s="487">
        <v>5.1000000000000004E-3</v>
      </c>
      <c r="J10" s="487">
        <v>2.9600000000000001E-2</v>
      </c>
      <c r="K10" s="487">
        <v>2.4500000000000001E-2</v>
      </c>
      <c r="L10" s="487" t="s">
        <v>335</v>
      </c>
      <c r="M10" s="488" t="s">
        <v>354</v>
      </c>
      <c r="N10" s="488">
        <v>2</v>
      </c>
      <c r="O10" s="487">
        <v>0.41170000000000001</v>
      </c>
      <c r="P10" s="488">
        <v>1</v>
      </c>
      <c r="Q10" s="488">
        <v>3</v>
      </c>
      <c r="R10" s="491"/>
      <c r="S10" s="502"/>
    </row>
    <row r="11" spans="1:19" x14ac:dyDescent="0.3">
      <c r="A11" s="517"/>
      <c r="B11" s="492" t="s">
        <v>317</v>
      </c>
      <c r="C11" s="486" t="s">
        <v>323</v>
      </c>
      <c r="D11" s="487">
        <v>2.5417000000000001</v>
      </c>
      <c r="E11" s="487">
        <v>1.4167000000000001</v>
      </c>
      <c r="F11" s="487">
        <v>8.3299999999999999E-2</v>
      </c>
      <c r="G11" s="487">
        <v>0.24990000000000001</v>
      </c>
      <c r="H11" s="487">
        <v>0.1666</v>
      </c>
      <c r="I11" s="487">
        <v>5.8799999999999998E-2</v>
      </c>
      <c r="J11" s="487">
        <v>9.8299999999999998E-2</v>
      </c>
      <c r="K11" s="487">
        <v>3.95E-2</v>
      </c>
      <c r="L11" s="487" t="s">
        <v>335</v>
      </c>
      <c r="M11" s="488" t="s">
        <v>354</v>
      </c>
      <c r="N11" s="488">
        <v>2</v>
      </c>
      <c r="O11" s="487">
        <v>0.27489999999999998</v>
      </c>
      <c r="P11" s="488">
        <v>1</v>
      </c>
      <c r="Q11" s="488">
        <v>3</v>
      </c>
      <c r="R11" s="493"/>
      <c r="S11" s="503"/>
    </row>
    <row r="12" spans="1:19" x14ac:dyDescent="0.3">
      <c r="A12" s="517"/>
      <c r="B12" s="480" t="s">
        <v>316</v>
      </c>
      <c r="C12" s="215" t="s">
        <v>324</v>
      </c>
      <c r="D12" s="216">
        <v>2.5385</v>
      </c>
      <c r="E12" s="216">
        <v>1.2307999999999999</v>
      </c>
      <c r="F12" s="216">
        <v>2.4500000000000001E-2</v>
      </c>
      <c r="G12" s="216">
        <v>2.4500000000000001E-2</v>
      </c>
      <c r="H12" s="216">
        <v>0</v>
      </c>
      <c r="I12" s="216">
        <v>1.9900000000000001E-2</v>
      </c>
      <c r="J12" s="216">
        <v>9.7000000000000003E-3</v>
      </c>
      <c r="K12" s="216">
        <v>1.03E-2</v>
      </c>
      <c r="L12" s="216" t="s">
        <v>335</v>
      </c>
      <c r="M12" s="319" t="s">
        <v>354</v>
      </c>
      <c r="N12" s="319">
        <v>2</v>
      </c>
      <c r="O12" s="216">
        <v>0.99980000000000002</v>
      </c>
      <c r="P12" s="319">
        <v>4</v>
      </c>
      <c r="Q12" s="319">
        <v>6</v>
      </c>
      <c r="R12" s="482" t="s">
        <v>439</v>
      </c>
      <c r="S12" s="334" t="s">
        <v>439</v>
      </c>
    </row>
    <row r="13" spans="1:19" x14ac:dyDescent="0.3">
      <c r="A13" s="517"/>
      <c r="B13" s="478" t="s">
        <v>316</v>
      </c>
      <c r="C13" s="215" t="s">
        <v>322</v>
      </c>
      <c r="D13" s="216">
        <v>2.5385</v>
      </c>
      <c r="E13" s="216">
        <v>1.2307999999999999</v>
      </c>
      <c r="F13" s="216">
        <v>7.51E-2</v>
      </c>
      <c r="G13" s="216">
        <v>7.5300000000000006E-2</v>
      </c>
      <c r="H13" s="216">
        <v>1E-4</v>
      </c>
      <c r="I13" s="216">
        <v>6.0999999999999999E-2</v>
      </c>
      <c r="J13" s="216">
        <v>2.9600000000000001E-2</v>
      </c>
      <c r="K13" s="216">
        <v>3.1399999999999997E-2</v>
      </c>
      <c r="L13" s="216" t="s">
        <v>335</v>
      </c>
      <c r="M13" s="319" t="s">
        <v>354</v>
      </c>
      <c r="N13" s="319">
        <v>2</v>
      </c>
      <c r="O13" s="216">
        <v>0.99890000000000001</v>
      </c>
      <c r="P13" s="319">
        <v>4</v>
      </c>
      <c r="Q13" s="319">
        <v>6</v>
      </c>
      <c r="R13" s="483"/>
      <c r="S13" s="475"/>
    </row>
    <row r="14" spans="1:19" x14ac:dyDescent="0.3">
      <c r="A14" s="517"/>
      <c r="B14" s="479" t="s">
        <v>316</v>
      </c>
      <c r="C14" s="215" t="s">
        <v>323</v>
      </c>
      <c r="D14" s="216">
        <v>2.5417000000000001</v>
      </c>
      <c r="E14" s="216">
        <v>1.6875</v>
      </c>
      <c r="F14" s="216">
        <v>0.75790000000000002</v>
      </c>
      <c r="G14" s="216">
        <v>0.24990000000000001</v>
      </c>
      <c r="H14" s="216">
        <v>-0.50800000000000001</v>
      </c>
      <c r="I14" s="216">
        <v>0.4491</v>
      </c>
      <c r="J14" s="216">
        <v>9.8299999999999998E-2</v>
      </c>
      <c r="K14" s="216">
        <v>0.3508</v>
      </c>
      <c r="L14" s="216" t="s">
        <v>335</v>
      </c>
      <c r="M14" s="319" t="s">
        <v>356</v>
      </c>
      <c r="N14" s="319" t="s">
        <v>439</v>
      </c>
      <c r="O14" s="216">
        <v>0.23350000000000001</v>
      </c>
      <c r="P14" s="319">
        <v>1</v>
      </c>
      <c r="Q14" s="319" t="s">
        <v>439</v>
      </c>
      <c r="R14" s="484"/>
      <c r="S14" s="481"/>
    </row>
    <row r="15" spans="1:19" x14ac:dyDescent="0.3">
      <c r="A15" s="517"/>
      <c r="B15" s="485" t="s">
        <v>318</v>
      </c>
      <c r="C15" s="486" t="s">
        <v>324</v>
      </c>
      <c r="D15" s="487">
        <v>2.5385</v>
      </c>
      <c r="E15" s="487">
        <v>1.1282000000000001</v>
      </c>
      <c r="F15" s="487">
        <v>3.0800000000000001E-2</v>
      </c>
      <c r="G15" s="487">
        <v>2.4500000000000001E-2</v>
      </c>
      <c r="H15" s="487">
        <v>-6.3E-3</v>
      </c>
      <c r="I15" s="487">
        <v>2.7300000000000001E-2</v>
      </c>
      <c r="J15" s="487">
        <v>9.7000000000000003E-3</v>
      </c>
      <c r="K15" s="487">
        <v>1.77E-2</v>
      </c>
      <c r="L15" s="487" t="s">
        <v>335</v>
      </c>
      <c r="M15" s="488" t="s">
        <v>354</v>
      </c>
      <c r="N15" s="488">
        <v>2</v>
      </c>
      <c r="O15" s="487">
        <v>0.81659999999999999</v>
      </c>
      <c r="P15" s="488">
        <v>3</v>
      </c>
      <c r="Q15" s="488">
        <v>5</v>
      </c>
      <c r="R15" s="489">
        <v>12</v>
      </c>
      <c r="S15" s="504">
        <v>1</v>
      </c>
    </row>
    <row r="16" spans="1:19" x14ac:dyDescent="0.3">
      <c r="A16" s="517"/>
      <c r="B16" s="490" t="s">
        <v>318</v>
      </c>
      <c r="C16" s="486" t="s">
        <v>322</v>
      </c>
      <c r="D16" s="487">
        <v>2.5385</v>
      </c>
      <c r="E16" s="487">
        <v>1.1282000000000001</v>
      </c>
      <c r="F16" s="487">
        <v>9.5299999999999996E-2</v>
      </c>
      <c r="G16" s="487">
        <v>7.5300000000000006E-2</v>
      </c>
      <c r="H16" s="487">
        <v>-0.02</v>
      </c>
      <c r="I16" s="487">
        <v>8.4500000000000006E-2</v>
      </c>
      <c r="J16" s="487">
        <v>2.9600000000000001E-2</v>
      </c>
      <c r="K16" s="487">
        <v>5.4800000000000001E-2</v>
      </c>
      <c r="L16" s="487" t="s">
        <v>335</v>
      </c>
      <c r="M16" s="488" t="s">
        <v>336</v>
      </c>
      <c r="N16" s="488">
        <v>0</v>
      </c>
      <c r="O16" s="487">
        <v>0.81840000000000002</v>
      </c>
      <c r="P16" s="488">
        <v>3</v>
      </c>
      <c r="Q16" s="488">
        <v>3</v>
      </c>
      <c r="R16" s="491"/>
      <c r="S16" s="502"/>
    </row>
    <row r="17" spans="1:19" x14ac:dyDescent="0.3">
      <c r="A17" s="517"/>
      <c r="B17" s="492" t="s">
        <v>318</v>
      </c>
      <c r="C17" s="486" t="s">
        <v>323</v>
      </c>
      <c r="D17" s="487">
        <v>2.5417000000000001</v>
      </c>
      <c r="E17" s="487">
        <v>1.1457999999999999</v>
      </c>
      <c r="F17" s="487">
        <v>0.15840000000000001</v>
      </c>
      <c r="G17" s="487">
        <v>0.24990000000000001</v>
      </c>
      <c r="H17" s="487">
        <v>9.1499999999999998E-2</v>
      </c>
      <c r="I17" s="487">
        <v>0.13819999999999999</v>
      </c>
      <c r="J17" s="487">
        <v>9.8299999999999998E-2</v>
      </c>
      <c r="K17" s="487">
        <v>3.9899999999999998E-2</v>
      </c>
      <c r="L17" s="487" t="s">
        <v>335</v>
      </c>
      <c r="M17" s="488" t="s">
        <v>354</v>
      </c>
      <c r="N17" s="488">
        <v>2</v>
      </c>
      <c r="O17" s="487">
        <v>0.57630000000000003</v>
      </c>
      <c r="P17" s="488">
        <v>2</v>
      </c>
      <c r="Q17" s="488">
        <v>4</v>
      </c>
      <c r="R17" s="493"/>
      <c r="S17" s="503"/>
    </row>
    <row r="18" spans="1:19" x14ac:dyDescent="0.3">
      <c r="A18" s="517"/>
      <c r="B18" s="480" t="s">
        <v>319</v>
      </c>
      <c r="C18" s="215" t="s">
        <v>324</v>
      </c>
      <c r="D18" s="216">
        <v>2.5385</v>
      </c>
      <c r="E18" s="216">
        <v>6.6154000000000002</v>
      </c>
      <c r="F18" s="216">
        <v>0.11559999999999999</v>
      </c>
      <c r="G18" s="216">
        <v>2.4500000000000001E-2</v>
      </c>
      <c r="H18" s="216">
        <v>-9.11E-2</v>
      </c>
      <c r="I18" s="216">
        <v>1.7500000000000002E-2</v>
      </c>
      <c r="J18" s="216">
        <v>9.7000000000000003E-3</v>
      </c>
      <c r="K18" s="216">
        <v>7.7999999999999996E-3</v>
      </c>
      <c r="L18" s="216" t="s">
        <v>335</v>
      </c>
      <c r="M18" s="319" t="s">
        <v>354</v>
      </c>
      <c r="N18" s="319">
        <v>2</v>
      </c>
      <c r="O18" s="216">
        <v>5.4699999999999999E-2</v>
      </c>
      <c r="P18" s="319" t="s">
        <v>439</v>
      </c>
      <c r="Q18" s="319" t="s">
        <v>439</v>
      </c>
      <c r="R18" s="482" t="s">
        <v>439</v>
      </c>
      <c r="S18" s="334" t="s">
        <v>439</v>
      </c>
    </row>
    <row r="19" spans="1:19" x14ac:dyDescent="0.3">
      <c r="A19" s="517"/>
      <c r="B19" s="478" t="s">
        <v>319</v>
      </c>
      <c r="C19" s="215" t="s">
        <v>322</v>
      </c>
      <c r="D19" s="216">
        <v>2.5385</v>
      </c>
      <c r="E19" s="216">
        <v>6.6154000000000002</v>
      </c>
      <c r="F19" s="216">
        <v>0.34420000000000001</v>
      </c>
      <c r="G19" s="216">
        <v>7.5300000000000006E-2</v>
      </c>
      <c r="H19" s="216">
        <v>-0.26900000000000002</v>
      </c>
      <c r="I19" s="216">
        <v>5.1999999999999998E-2</v>
      </c>
      <c r="J19" s="216">
        <v>2.9600000000000001E-2</v>
      </c>
      <c r="K19" s="216">
        <v>2.24E-2</v>
      </c>
      <c r="L19" s="216" t="s">
        <v>335</v>
      </c>
      <c r="M19" s="319" t="s">
        <v>354</v>
      </c>
      <c r="N19" s="319">
        <v>2</v>
      </c>
      <c r="O19" s="216">
        <v>6.2199999999999998E-2</v>
      </c>
      <c r="P19" s="319" t="s">
        <v>439</v>
      </c>
      <c r="Q19" s="319" t="s">
        <v>439</v>
      </c>
      <c r="R19" s="483"/>
      <c r="S19" s="475"/>
    </row>
    <row r="20" spans="1:19" ht="15" thickBot="1" x14ac:dyDescent="0.35">
      <c r="A20" s="518"/>
      <c r="B20" s="505" t="s">
        <v>319</v>
      </c>
      <c r="C20" s="217" t="s">
        <v>323</v>
      </c>
      <c r="D20" s="226">
        <v>2.5417000000000001</v>
      </c>
      <c r="E20" s="226">
        <v>7.0208000000000004</v>
      </c>
      <c r="F20" s="226">
        <v>1.0748</v>
      </c>
      <c r="G20" s="226">
        <v>0.24990000000000001</v>
      </c>
      <c r="H20" s="226">
        <v>-0.82489999999999997</v>
      </c>
      <c r="I20" s="226">
        <v>0.15310000000000001</v>
      </c>
      <c r="J20" s="226">
        <v>9.8299999999999998E-2</v>
      </c>
      <c r="K20" s="226">
        <v>5.4800000000000001E-2</v>
      </c>
      <c r="L20" s="226" t="s">
        <v>335</v>
      </c>
      <c r="M20" s="322" t="s">
        <v>336</v>
      </c>
      <c r="N20" s="322">
        <v>0</v>
      </c>
      <c r="O20" s="226">
        <v>5.4199999999999998E-2</v>
      </c>
      <c r="P20" s="322" t="s">
        <v>439</v>
      </c>
      <c r="Q20" s="322" t="s">
        <v>439</v>
      </c>
      <c r="R20" s="506"/>
      <c r="S20" s="476"/>
    </row>
    <row r="21" spans="1:19" s="233" customFormat="1" x14ac:dyDescent="0.3">
      <c r="A21" s="519" t="s">
        <v>341</v>
      </c>
      <c r="B21" s="477" t="s">
        <v>314</v>
      </c>
      <c r="C21" s="218" t="s">
        <v>324</v>
      </c>
      <c r="D21" s="225">
        <v>2.5293999999999999</v>
      </c>
      <c r="E21" s="225">
        <v>2.1471</v>
      </c>
      <c r="F21" s="225">
        <v>-1.2999999999999999E-3</v>
      </c>
      <c r="G21" s="225">
        <v>5.4699999999999999E-2</v>
      </c>
      <c r="H21" s="225">
        <v>5.6099999999999997E-2</v>
      </c>
      <c r="I21" s="225">
        <v>-5.9999999999999995E-4</v>
      </c>
      <c r="J21" s="225">
        <v>2.1600000000000001E-2</v>
      </c>
      <c r="K21" s="225">
        <v>2.23E-2</v>
      </c>
      <c r="L21" s="225" t="s">
        <v>333</v>
      </c>
      <c r="M21" s="321" t="s">
        <v>355</v>
      </c>
      <c r="N21" s="321">
        <v>1</v>
      </c>
      <c r="O21" s="225">
        <v>0.14230000000000001</v>
      </c>
      <c r="P21" s="321">
        <v>0</v>
      </c>
      <c r="Q21" s="319">
        <v>1</v>
      </c>
      <c r="R21" s="507" t="s">
        <v>439</v>
      </c>
      <c r="S21" s="474" t="s">
        <v>439</v>
      </c>
    </row>
    <row r="22" spans="1:19" s="233" customFormat="1" x14ac:dyDescent="0.3">
      <c r="A22" s="520"/>
      <c r="B22" s="478" t="s">
        <v>314</v>
      </c>
      <c r="C22" s="215" t="s">
        <v>322</v>
      </c>
      <c r="D22" s="216">
        <v>2.4443999999999999</v>
      </c>
      <c r="E22" s="216">
        <v>2.0832999999999999</v>
      </c>
      <c r="F22" s="216">
        <v>-3.85E-2</v>
      </c>
      <c r="G22" s="216">
        <v>9.8100000000000007E-2</v>
      </c>
      <c r="H22" s="216">
        <v>0.1366</v>
      </c>
      <c r="I22" s="216">
        <v>-1.8499999999999999E-2</v>
      </c>
      <c r="J22" s="216">
        <v>4.0099999999999997E-2</v>
      </c>
      <c r="K22" s="216">
        <v>5.8599999999999999E-2</v>
      </c>
      <c r="L22" s="216" t="s">
        <v>333</v>
      </c>
      <c r="M22" s="319" t="s">
        <v>334</v>
      </c>
      <c r="N22" s="319">
        <v>0</v>
      </c>
      <c r="O22" s="216">
        <v>0.184</v>
      </c>
      <c r="P22" s="319">
        <v>0</v>
      </c>
      <c r="Q22" s="319">
        <v>0</v>
      </c>
      <c r="R22" s="483"/>
      <c r="S22" s="475"/>
    </row>
    <row r="23" spans="1:19" s="233" customFormat="1" x14ac:dyDescent="0.3">
      <c r="A23" s="520"/>
      <c r="B23" s="479" t="s">
        <v>314</v>
      </c>
      <c r="C23" s="215" t="s">
        <v>323</v>
      </c>
      <c r="D23" s="216">
        <v>2.5722</v>
      </c>
      <c r="E23" s="216">
        <v>2.0832999999999999</v>
      </c>
      <c r="F23" s="216">
        <v>-0.12470000000000001</v>
      </c>
      <c r="G23" s="216">
        <v>0.81620000000000004</v>
      </c>
      <c r="H23" s="216">
        <v>0.94099999999999995</v>
      </c>
      <c r="I23" s="216">
        <v>-5.9900000000000002E-2</v>
      </c>
      <c r="J23" s="216">
        <v>0.31730000000000003</v>
      </c>
      <c r="K23" s="216">
        <v>0.37719999999999998</v>
      </c>
      <c r="L23" s="216" t="s">
        <v>333</v>
      </c>
      <c r="M23" s="319" t="s">
        <v>356</v>
      </c>
      <c r="N23" s="319" t="s">
        <v>439</v>
      </c>
      <c r="O23" s="216">
        <v>7.1099999999999997E-2</v>
      </c>
      <c r="P23" s="319" t="s">
        <v>439</v>
      </c>
      <c r="Q23" s="319" t="s">
        <v>439</v>
      </c>
      <c r="R23" s="484"/>
      <c r="S23" s="481"/>
    </row>
    <row r="24" spans="1:19" s="233" customFormat="1" x14ac:dyDescent="0.3">
      <c r="A24" s="520"/>
      <c r="B24" s="480" t="s">
        <v>315</v>
      </c>
      <c r="C24" s="215" t="s">
        <v>324</v>
      </c>
      <c r="D24" s="216">
        <v>2.5293999999999999</v>
      </c>
      <c r="E24" s="216">
        <v>1</v>
      </c>
      <c r="F24" s="216">
        <v>4.8999999999999998E-3</v>
      </c>
      <c r="G24" s="216">
        <v>5.4699999999999999E-2</v>
      </c>
      <c r="H24" s="216">
        <v>4.99E-2</v>
      </c>
      <c r="I24" s="216">
        <v>4.8999999999999998E-3</v>
      </c>
      <c r="J24" s="216">
        <v>2.1600000000000001E-2</v>
      </c>
      <c r="K24" s="216">
        <v>1.6799999999999999E-2</v>
      </c>
      <c r="L24" s="216" t="s">
        <v>335</v>
      </c>
      <c r="M24" s="319" t="s">
        <v>354</v>
      </c>
      <c r="N24" s="319">
        <v>2</v>
      </c>
      <c r="O24" s="216">
        <v>0.1163</v>
      </c>
      <c r="P24" s="319">
        <v>0</v>
      </c>
      <c r="Q24" s="533">
        <v>2</v>
      </c>
      <c r="R24" s="482" t="s">
        <v>439</v>
      </c>
      <c r="S24" s="334" t="s">
        <v>439</v>
      </c>
    </row>
    <row r="25" spans="1:19" s="233" customFormat="1" x14ac:dyDescent="0.3">
      <c r="A25" s="520"/>
      <c r="B25" s="478" t="s">
        <v>315</v>
      </c>
      <c r="C25" s="215" t="s">
        <v>322</v>
      </c>
      <c r="D25" s="216">
        <v>2.4443999999999999</v>
      </c>
      <c r="E25" s="216">
        <v>0.94440000000000002</v>
      </c>
      <c r="F25" s="216">
        <v>-1.15E-2</v>
      </c>
      <c r="G25" s="216">
        <v>9.8100000000000007E-2</v>
      </c>
      <c r="H25" s="216">
        <v>0.1096</v>
      </c>
      <c r="I25" s="216">
        <v>-1.2200000000000001E-2</v>
      </c>
      <c r="J25" s="216">
        <v>4.0099999999999997E-2</v>
      </c>
      <c r="K25" s="216">
        <v>5.2299999999999999E-2</v>
      </c>
      <c r="L25" s="216" t="s">
        <v>333</v>
      </c>
      <c r="M25" s="319" t="s">
        <v>334</v>
      </c>
      <c r="N25" s="319">
        <v>0</v>
      </c>
      <c r="O25" s="216">
        <v>0.35149999999999998</v>
      </c>
      <c r="P25" s="319">
        <v>1</v>
      </c>
      <c r="Q25" s="533">
        <v>1</v>
      </c>
      <c r="R25" s="483"/>
      <c r="S25" s="475"/>
    </row>
    <row r="26" spans="1:19" s="233" customFormat="1" x14ac:dyDescent="0.3">
      <c r="A26" s="520"/>
      <c r="B26" s="479" t="s">
        <v>315</v>
      </c>
      <c r="C26" s="215" t="s">
        <v>323</v>
      </c>
      <c r="D26" s="216">
        <v>2.5722</v>
      </c>
      <c r="E26" s="216">
        <v>0.94440000000000002</v>
      </c>
      <c r="F26" s="216">
        <v>4.2000000000000003E-2</v>
      </c>
      <c r="G26" s="216">
        <v>0.81620000000000004</v>
      </c>
      <c r="H26" s="216">
        <v>0.77429999999999999</v>
      </c>
      <c r="I26" s="216">
        <v>4.4400000000000002E-2</v>
      </c>
      <c r="J26" s="216">
        <v>0.31730000000000003</v>
      </c>
      <c r="K26" s="216">
        <v>0.27289999999999998</v>
      </c>
      <c r="L26" s="216" t="s">
        <v>335</v>
      </c>
      <c r="M26" s="319" t="s">
        <v>356</v>
      </c>
      <c r="N26" s="319" t="s">
        <v>439</v>
      </c>
      <c r="O26" s="216">
        <v>0.218</v>
      </c>
      <c r="P26" s="319">
        <v>1</v>
      </c>
      <c r="Q26" s="533" t="s">
        <v>439</v>
      </c>
      <c r="R26" s="484"/>
      <c r="S26" s="481"/>
    </row>
    <row r="27" spans="1:19" s="233" customFormat="1" x14ac:dyDescent="0.3">
      <c r="A27" s="520"/>
      <c r="B27" s="480" t="s">
        <v>346</v>
      </c>
      <c r="C27" s="215" t="s">
        <v>324</v>
      </c>
      <c r="D27" s="216">
        <v>2.5293999999999999</v>
      </c>
      <c r="E27" s="216">
        <v>0.2059</v>
      </c>
      <c r="F27" s="216">
        <v>3.8E-3</v>
      </c>
      <c r="G27" s="216">
        <v>5.4699999999999999E-2</v>
      </c>
      <c r="H27" s="216">
        <v>5.0900000000000001E-2</v>
      </c>
      <c r="I27" s="216">
        <v>1.8499999999999999E-2</v>
      </c>
      <c r="J27" s="216">
        <v>2.1600000000000001E-2</v>
      </c>
      <c r="K27" s="216">
        <v>3.0999999999999999E-3</v>
      </c>
      <c r="L27" s="216" t="s">
        <v>335</v>
      </c>
      <c r="M27" s="319" t="s">
        <v>354</v>
      </c>
      <c r="N27" s="319">
        <v>2</v>
      </c>
      <c r="O27" s="216">
        <v>6.3700000000000007E-2</v>
      </c>
      <c r="P27" s="319" t="s">
        <v>439</v>
      </c>
      <c r="Q27" s="533" t="s">
        <v>439</v>
      </c>
      <c r="R27" s="482" t="s">
        <v>439</v>
      </c>
      <c r="S27" s="334" t="s">
        <v>439</v>
      </c>
    </row>
    <row r="28" spans="1:19" s="233" customFormat="1" x14ac:dyDescent="0.3">
      <c r="A28" s="520"/>
      <c r="B28" s="478" t="s">
        <v>346</v>
      </c>
      <c r="C28" s="215" t="s">
        <v>322</v>
      </c>
      <c r="D28" s="216">
        <v>2.4443999999999999</v>
      </c>
      <c r="E28" s="216">
        <v>0.19439999999999999</v>
      </c>
      <c r="F28" s="216">
        <v>3.5000000000000001E-3</v>
      </c>
      <c r="G28" s="216">
        <v>9.8100000000000007E-2</v>
      </c>
      <c r="H28" s="216">
        <v>9.4500000000000001E-2</v>
      </c>
      <c r="I28" s="216">
        <v>1.8200000000000001E-2</v>
      </c>
      <c r="J28" s="216">
        <v>4.0099999999999997E-2</v>
      </c>
      <c r="K28" s="216">
        <v>2.1899999999999999E-2</v>
      </c>
      <c r="L28" s="216" t="s">
        <v>335</v>
      </c>
      <c r="M28" s="319" t="s">
        <v>354</v>
      </c>
      <c r="N28" s="319">
        <v>2</v>
      </c>
      <c r="O28" s="216">
        <v>0.33389999999999997</v>
      </c>
      <c r="P28" s="319">
        <v>1</v>
      </c>
      <c r="Q28" s="533">
        <v>3</v>
      </c>
      <c r="R28" s="483"/>
      <c r="S28" s="475"/>
    </row>
    <row r="29" spans="1:19" s="233" customFormat="1" x14ac:dyDescent="0.3">
      <c r="A29" s="520"/>
      <c r="B29" s="479" t="s">
        <v>346</v>
      </c>
      <c r="C29" s="215" t="s">
        <v>323</v>
      </c>
      <c r="D29" s="216">
        <v>2.5722</v>
      </c>
      <c r="E29" s="216">
        <v>0.19439999999999999</v>
      </c>
      <c r="F29" s="216">
        <v>4.1700000000000001E-2</v>
      </c>
      <c r="G29" s="216">
        <v>0.81620000000000004</v>
      </c>
      <c r="H29" s="216">
        <v>0.77449999999999997</v>
      </c>
      <c r="I29" s="216">
        <v>0.21460000000000001</v>
      </c>
      <c r="J29" s="216">
        <v>0.31730000000000003</v>
      </c>
      <c r="K29" s="216">
        <v>0.1027</v>
      </c>
      <c r="L29" s="216" t="s">
        <v>335</v>
      </c>
      <c r="M29" s="319" t="s">
        <v>356</v>
      </c>
      <c r="N29" s="319" t="s">
        <v>439</v>
      </c>
      <c r="O29" s="216">
        <v>5.7799999999999997E-2</v>
      </c>
      <c r="P29" s="319" t="s">
        <v>439</v>
      </c>
      <c r="Q29" s="533" t="s">
        <v>439</v>
      </c>
      <c r="R29" s="484"/>
      <c r="S29" s="481"/>
    </row>
    <row r="30" spans="1:19" s="233" customFormat="1" x14ac:dyDescent="0.3">
      <c r="A30" s="520"/>
      <c r="B30" s="480" t="s">
        <v>347</v>
      </c>
      <c r="C30" s="215" t="s">
        <v>324</v>
      </c>
      <c r="D30" s="216">
        <v>2.5293999999999999</v>
      </c>
      <c r="E30" s="216">
        <v>0.32350000000000001</v>
      </c>
      <c r="F30" s="216">
        <v>-1.4E-3</v>
      </c>
      <c r="G30" s="216">
        <v>5.4699999999999999E-2</v>
      </c>
      <c r="H30" s="216">
        <v>5.6099999999999997E-2</v>
      </c>
      <c r="I30" s="216">
        <v>-4.3E-3</v>
      </c>
      <c r="J30" s="216">
        <v>2.1600000000000001E-2</v>
      </c>
      <c r="K30" s="216">
        <v>2.5999999999999999E-2</v>
      </c>
      <c r="L30" s="216" t="s">
        <v>333</v>
      </c>
      <c r="M30" s="319" t="s">
        <v>355</v>
      </c>
      <c r="N30" s="319">
        <v>1</v>
      </c>
      <c r="O30" s="216">
        <v>4.6699999999999998E-2</v>
      </c>
      <c r="P30" s="319" t="s">
        <v>439</v>
      </c>
      <c r="Q30" s="533" t="s">
        <v>439</v>
      </c>
      <c r="R30" s="482" t="s">
        <v>439</v>
      </c>
      <c r="S30" s="334" t="s">
        <v>439</v>
      </c>
    </row>
    <row r="31" spans="1:19" s="233" customFormat="1" x14ac:dyDescent="0.3">
      <c r="A31" s="520"/>
      <c r="B31" s="478" t="s">
        <v>347</v>
      </c>
      <c r="C31" s="215" t="s">
        <v>322</v>
      </c>
      <c r="D31" s="216">
        <v>2.4443999999999999</v>
      </c>
      <c r="E31" s="216">
        <v>0.30559999999999998</v>
      </c>
      <c r="F31" s="216">
        <v>-1.06E-2</v>
      </c>
      <c r="G31" s="216">
        <v>9.8100000000000007E-2</v>
      </c>
      <c r="H31" s="216">
        <v>0.1086</v>
      </c>
      <c r="I31" s="216">
        <v>-3.4500000000000003E-2</v>
      </c>
      <c r="J31" s="216">
        <v>4.0099999999999997E-2</v>
      </c>
      <c r="K31" s="216">
        <v>7.4700000000000003E-2</v>
      </c>
      <c r="L31" s="216" t="s">
        <v>333</v>
      </c>
      <c r="M31" s="319" t="s">
        <v>334</v>
      </c>
      <c r="N31" s="319">
        <v>0</v>
      </c>
      <c r="O31" s="216">
        <v>0.28749999999999998</v>
      </c>
      <c r="P31" s="319">
        <v>1</v>
      </c>
      <c r="Q31" s="533">
        <v>1</v>
      </c>
      <c r="R31" s="483"/>
      <c r="S31" s="475"/>
    </row>
    <row r="32" spans="1:19" s="233" customFormat="1" x14ac:dyDescent="0.3">
      <c r="A32" s="520"/>
      <c r="B32" s="479" t="s">
        <v>347</v>
      </c>
      <c r="C32" s="215" t="s">
        <v>323</v>
      </c>
      <c r="D32" s="216">
        <v>2.5722</v>
      </c>
      <c r="E32" s="216">
        <v>0.30559999999999998</v>
      </c>
      <c r="F32" s="216">
        <v>-8.3199999999999996E-2</v>
      </c>
      <c r="G32" s="216">
        <v>0.81620000000000004</v>
      </c>
      <c r="H32" s="216">
        <v>0.89939999999999998</v>
      </c>
      <c r="I32" s="216">
        <v>-0.27229999999999999</v>
      </c>
      <c r="J32" s="216">
        <v>0.31730000000000003</v>
      </c>
      <c r="K32" s="216">
        <v>0.58960000000000001</v>
      </c>
      <c r="L32" s="216" t="s">
        <v>333</v>
      </c>
      <c r="M32" s="319" t="s">
        <v>356</v>
      </c>
      <c r="N32" s="319" t="s">
        <v>439</v>
      </c>
      <c r="O32" s="216">
        <v>3.8199999999999998E-2</v>
      </c>
      <c r="P32" s="319" t="s">
        <v>439</v>
      </c>
      <c r="Q32" s="533" t="s">
        <v>439</v>
      </c>
      <c r="R32" s="484"/>
      <c r="S32" s="481"/>
    </row>
    <row r="33" spans="1:19" x14ac:dyDescent="0.3">
      <c r="A33" s="520"/>
      <c r="B33" s="480" t="s">
        <v>342</v>
      </c>
      <c r="C33" s="215" t="s">
        <v>324</v>
      </c>
      <c r="D33" s="216">
        <v>2.5293999999999999</v>
      </c>
      <c r="E33" s="216">
        <v>1.3824000000000001</v>
      </c>
      <c r="F33" s="216">
        <v>2E-3</v>
      </c>
      <c r="G33" s="216">
        <v>5.4699999999999999E-2</v>
      </c>
      <c r="H33" s="216">
        <v>5.2699999999999997E-2</v>
      </c>
      <c r="I33" s="216">
        <v>1.5E-3</v>
      </c>
      <c r="J33" s="216">
        <v>2.1600000000000001E-2</v>
      </c>
      <c r="K33" s="216">
        <v>2.0199999999999999E-2</v>
      </c>
      <c r="L33" s="216" t="s">
        <v>335</v>
      </c>
      <c r="M33" s="319" t="s">
        <v>354</v>
      </c>
      <c r="N33" s="319">
        <v>2</v>
      </c>
      <c r="O33" s="216">
        <v>0.11940000000000001</v>
      </c>
      <c r="P33" s="319">
        <v>0</v>
      </c>
      <c r="Q33" s="533">
        <v>2</v>
      </c>
      <c r="R33" s="482" t="s">
        <v>439</v>
      </c>
      <c r="S33" s="334" t="s">
        <v>439</v>
      </c>
    </row>
    <row r="34" spans="1:19" x14ac:dyDescent="0.3">
      <c r="A34" s="520"/>
      <c r="B34" s="478" t="s">
        <v>342</v>
      </c>
      <c r="C34" s="215" t="s">
        <v>322</v>
      </c>
      <c r="D34" s="216">
        <v>2.4443999999999999</v>
      </c>
      <c r="E34" s="216">
        <v>1.3889</v>
      </c>
      <c r="F34" s="216">
        <v>1.4E-2</v>
      </c>
      <c r="G34" s="216">
        <v>9.8100000000000007E-2</v>
      </c>
      <c r="H34" s="216">
        <v>8.4099999999999994E-2</v>
      </c>
      <c r="I34" s="216">
        <v>1.01E-2</v>
      </c>
      <c r="J34" s="216">
        <v>4.0099999999999997E-2</v>
      </c>
      <c r="K34" s="216">
        <v>0.03</v>
      </c>
      <c r="L34" s="216" t="s">
        <v>335</v>
      </c>
      <c r="M34" s="319" t="s">
        <v>354</v>
      </c>
      <c r="N34" s="319">
        <v>2</v>
      </c>
      <c r="O34" s="216">
        <v>0.4229</v>
      </c>
      <c r="P34" s="319">
        <v>1</v>
      </c>
      <c r="Q34" s="533">
        <v>3</v>
      </c>
      <c r="R34" s="483"/>
      <c r="S34" s="475"/>
    </row>
    <row r="35" spans="1:19" x14ac:dyDescent="0.3">
      <c r="A35" s="520"/>
      <c r="B35" s="479" t="s">
        <v>342</v>
      </c>
      <c r="C35" s="215" t="s">
        <v>323</v>
      </c>
      <c r="D35" s="216">
        <v>2.5722</v>
      </c>
      <c r="E35" s="216">
        <v>1.3889</v>
      </c>
      <c r="F35" s="216">
        <v>4.19E-2</v>
      </c>
      <c r="G35" s="216">
        <v>0.81620000000000004</v>
      </c>
      <c r="H35" s="216">
        <v>0.77429999999999999</v>
      </c>
      <c r="I35" s="216">
        <v>3.0200000000000001E-2</v>
      </c>
      <c r="J35" s="216">
        <v>0.31730000000000003</v>
      </c>
      <c r="K35" s="216">
        <v>0.28720000000000001</v>
      </c>
      <c r="L35" s="216" t="s">
        <v>335</v>
      </c>
      <c r="M35" s="319" t="s">
        <v>356</v>
      </c>
      <c r="N35" s="319" t="s">
        <v>439</v>
      </c>
      <c r="O35" s="216">
        <v>0.156</v>
      </c>
      <c r="P35" s="319">
        <v>0</v>
      </c>
      <c r="Q35" s="533" t="s">
        <v>439</v>
      </c>
      <c r="R35" s="484"/>
      <c r="S35" s="481"/>
    </row>
    <row r="36" spans="1:19" x14ac:dyDescent="0.3">
      <c r="A36" s="520"/>
      <c r="B36" s="480" t="s">
        <v>343</v>
      </c>
      <c r="C36" s="215" t="s">
        <v>324</v>
      </c>
      <c r="D36" s="216">
        <v>2.5293999999999999</v>
      </c>
      <c r="E36" s="216">
        <v>0.1176</v>
      </c>
      <c r="F36" s="216">
        <v>-3.3999999999999998E-3</v>
      </c>
      <c r="G36" s="216">
        <v>5.4699999999999999E-2</v>
      </c>
      <c r="H36" s="216">
        <v>5.8099999999999999E-2</v>
      </c>
      <c r="I36" s="216">
        <v>-2.87E-2</v>
      </c>
      <c r="J36" s="216">
        <v>2.1600000000000001E-2</v>
      </c>
      <c r="K36" s="216">
        <v>5.0299999999999997E-2</v>
      </c>
      <c r="L36" s="216" t="s">
        <v>333</v>
      </c>
      <c r="M36" s="319" t="s">
        <v>334</v>
      </c>
      <c r="N36" s="319">
        <v>0</v>
      </c>
      <c r="O36" s="216">
        <v>3.0499999999999999E-2</v>
      </c>
      <c r="P36" s="319" t="s">
        <v>439</v>
      </c>
      <c r="Q36" s="319" t="s">
        <v>439</v>
      </c>
      <c r="R36" s="482" t="s">
        <v>439</v>
      </c>
      <c r="S36" s="334" t="s">
        <v>439</v>
      </c>
    </row>
    <row r="37" spans="1:19" x14ac:dyDescent="0.3">
      <c r="A37" s="520"/>
      <c r="B37" s="478" t="s">
        <v>343</v>
      </c>
      <c r="C37" s="215" t="s">
        <v>322</v>
      </c>
      <c r="D37" s="216">
        <v>2.4443999999999999</v>
      </c>
      <c r="E37" s="216">
        <v>0.1111</v>
      </c>
      <c r="F37" s="216">
        <v>-1.1599999999999999E-2</v>
      </c>
      <c r="G37" s="216">
        <v>9.8100000000000007E-2</v>
      </c>
      <c r="H37" s="216">
        <v>0.10970000000000001</v>
      </c>
      <c r="I37" s="216">
        <v>-0.1048</v>
      </c>
      <c r="J37" s="216">
        <v>4.0099999999999997E-2</v>
      </c>
      <c r="K37" s="216">
        <v>0.1449</v>
      </c>
      <c r="L37" s="216" t="s">
        <v>333</v>
      </c>
      <c r="M37" s="319" t="s">
        <v>356</v>
      </c>
      <c r="N37" s="319" t="s">
        <v>439</v>
      </c>
      <c r="O37" s="216">
        <v>0.26319999999999999</v>
      </c>
      <c r="P37" s="319">
        <v>1</v>
      </c>
      <c r="Q37" s="319" t="s">
        <v>439</v>
      </c>
      <c r="R37" s="483"/>
      <c r="S37" s="475"/>
    </row>
    <row r="38" spans="1:19" x14ac:dyDescent="0.3">
      <c r="A38" s="520"/>
      <c r="B38" s="479" t="s">
        <v>343</v>
      </c>
      <c r="C38" s="215" t="s">
        <v>323</v>
      </c>
      <c r="D38" s="216">
        <v>2.5722</v>
      </c>
      <c r="E38" s="216">
        <v>0.1111</v>
      </c>
      <c r="F38" s="216">
        <v>-4.1500000000000002E-2</v>
      </c>
      <c r="G38" s="216">
        <v>0.81620000000000004</v>
      </c>
      <c r="H38" s="216">
        <v>0.85780000000000001</v>
      </c>
      <c r="I38" s="216">
        <v>-0.37390000000000001</v>
      </c>
      <c r="J38" s="216">
        <v>0.31730000000000003</v>
      </c>
      <c r="K38" s="216">
        <v>0.69120000000000004</v>
      </c>
      <c r="L38" s="216" t="s">
        <v>333</v>
      </c>
      <c r="M38" s="319" t="s">
        <v>356</v>
      </c>
      <c r="N38" s="319" t="s">
        <v>439</v>
      </c>
      <c r="O38" s="216">
        <v>4.7899999999999998E-2</v>
      </c>
      <c r="P38" s="319" t="s">
        <v>439</v>
      </c>
      <c r="Q38" s="319" t="s">
        <v>439</v>
      </c>
      <c r="R38" s="484"/>
      <c r="S38" s="481"/>
    </row>
    <row r="39" spans="1:19" x14ac:dyDescent="0.3">
      <c r="A39" s="520"/>
      <c r="B39" s="480" t="s">
        <v>348</v>
      </c>
      <c r="C39" s="215" t="s">
        <v>324</v>
      </c>
      <c r="D39" s="216">
        <v>2.5293999999999999</v>
      </c>
      <c r="E39" s="216">
        <v>0.32350000000000001</v>
      </c>
      <c r="F39" s="216">
        <v>-5.8999999999999999E-3</v>
      </c>
      <c r="G39" s="216">
        <v>5.4699999999999999E-2</v>
      </c>
      <c r="H39" s="216">
        <v>6.0699999999999997E-2</v>
      </c>
      <c r="I39" s="216">
        <v>-1.84E-2</v>
      </c>
      <c r="J39" s="216">
        <v>2.1600000000000001E-2</v>
      </c>
      <c r="K39" s="216">
        <v>0.04</v>
      </c>
      <c r="L39" s="216" t="s">
        <v>333</v>
      </c>
      <c r="M39" s="319" t="s">
        <v>355</v>
      </c>
      <c r="N39" s="319">
        <v>1</v>
      </c>
      <c r="O39" s="216">
        <v>2.7799999999999998E-2</v>
      </c>
      <c r="P39" s="319" t="s">
        <v>439</v>
      </c>
      <c r="Q39" s="319" t="s">
        <v>439</v>
      </c>
      <c r="R39" s="482" t="s">
        <v>439</v>
      </c>
      <c r="S39" s="334" t="s">
        <v>439</v>
      </c>
    </row>
    <row r="40" spans="1:19" x14ac:dyDescent="0.3">
      <c r="A40" s="520"/>
      <c r="B40" s="478" t="s">
        <v>348</v>
      </c>
      <c r="C40" s="215" t="s">
        <v>322</v>
      </c>
      <c r="D40" s="216">
        <v>2.4443999999999999</v>
      </c>
      <c r="E40" s="216">
        <v>0.33329999999999999</v>
      </c>
      <c r="F40" s="216">
        <v>-1.17E-2</v>
      </c>
      <c r="G40" s="216">
        <v>9.8100000000000007E-2</v>
      </c>
      <c r="H40" s="216">
        <v>0.10970000000000001</v>
      </c>
      <c r="I40" s="216">
        <v>-3.5000000000000003E-2</v>
      </c>
      <c r="J40" s="216">
        <v>4.0099999999999997E-2</v>
      </c>
      <c r="K40" s="216">
        <v>7.51E-2</v>
      </c>
      <c r="L40" s="216" t="s">
        <v>333</v>
      </c>
      <c r="M40" s="319" t="s">
        <v>334</v>
      </c>
      <c r="N40" s="319">
        <v>0</v>
      </c>
      <c r="O40" s="216">
        <v>0.26179999999999998</v>
      </c>
      <c r="P40" s="319">
        <v>1</v>
      </c>
      <c r="Q40" s="319">
        <v>1</v>
      </c>
      <c r="R40" s="483"/>
      <c r="S40" s="475"/>
    </row>
    <row r="41" spans="1:19" x14ac:dyDescent="0.3">
      <c r="A41" s="520"/>
      <c r="B41" s="479" t="s">
        <v>348</v>
      </c>
      <c r="C41" s="215" t="s">
        <v>323</v>
      </c>
      <c r="D41" s="216">
        <v>2.5722</v>
      </c>
      <c r="E41" s="216">
        <v>0.33329999999999999</v>
      </c>
      <c r="F41" s="216">
        <v>-8.3299999999999999E-2</v>
      </c>
      <c r="G41" s="216">
        <v>0.81620000000000004</v>
      </c>
      <c r="H41" s="216">
        <v>0.89949999999999997</v>
      </c>
      <c r="I41" s="216">
        <v>-0.24979999999999999</v>
      </c>
      <c r="J41" s="216">
        <v>0.31730000000000003</v>
      </c>
      <c r="K41" s="216">
        <v>0.56720000000000004</v>
      </c>
      <c r="L41" s="216" t="s">
        <v>333</v>
      </c>
      <c r="M41" s="319" t="s">
        <v>356</v>
      </c>
      <c r="N41" s="319" t="s">
        <v>439</v>
      </c>
      <c r="O41" s="216">
        <v>2.7799999999999998E-2</v>
      </c>
      <c r="P41" s="319" t="s">
        <v>439</v>
      </c>
      <c r="Q41" s="319" t="s">
        <v>439</v>
      </c>
      <c r="R41" s="484"/>
      <c r="S41" s="481"/>
    </row>
    <row r="42" spans="1:19" x14ac:dyDescent="0.3">
      <c r="A42" s="520"/>
      <c r="B42" s="480" t="s">
        <v>349</v>
      </c>
      <c r="C42" s="215" t="s">
        <v>324</v>
      </c>
      <c r="D42" s="216">
        <v>2.5293999999999999</v>
      </c>
      <c r="E42" s="216">
        <v>0.64710000000000001</v>
      </c>
      <c r="F42" s="216">
        <v>-1.1599999999999999E-2</v>
      </c>
      <c r="G42" s="216">
        <v>5.4699999999999999E-2</v>
      </c>
      <c r="H42" s="216">
        <v>6.6400000000000001E-2</v>
      </c>
      <c r="I42" s="216">
        <v>-1.7899999999999999E-2</v>
      </c>
      <c r="J42" s="216">
        <v>2.1600000000000001E-2</v>
      </c>
      <c r="K42" s="216">
        <v>3.9600000000000003E-2</v>
      </c>
      <c r="L42" s="216" t="s">
        <v>333</v>
      </c>
      <c r="M42" s="319" t="s">
        <v>355</v>
      </c>
      <c r="N42" s="319">
        <v>1</v>
      </c>
      <c r="O42" s="216">
        <v>2.3900000000000001E-2</v>
      </c>
      <c r="P42" s="319" t="s">
        <v>439</v>
      </c>
      <c r="Q42" s="319" t="s">
        <v>439</v>
      </c>
      <c r="R42" s="482" t="s">
        <v>439</v>
      </c>
      <c r="S42" s="334" t="s">
        <v>439</v>
      </c>
    </row>
    <row r="43" spans="1:19" x14ac:dyDescent="0.3">
      <c r="A43" s="520"/>
      <c r="B43" s="478" t="s">
        <v>349</v>
      </c>
      <c r="C43" s="215" t="s">
        <v>322</v>
      </c>
      <c r="D43" s="216">
        <v>2.4443999999999999</v>
      </c>
      <c r="E43" s="216">
        <v>0.63890000000000002</v>
      </c>
      <c r="F43" s="216">
        <v>-3.61E-2</v>
      </c>
      <c r="G43" s="216">
        <v>9.8100000000000007E-2</v>
      </c>
      <c r="H43" s="216">
        <v>0.13420000000000001</v>
      </c>
      <c r="I43" s="216">
        <v>-5.6599999999999998E-2</v>
      </c>
      <c r="J43" s="216">
        <v>4.0099999999999997E-2</v>
      </c>
      <c r="K43" s="216">
        <v>9.6699999999999994E-2</v>
      </c>
      <c r="L43" s="216" t="s">
        <v>333</v>
      </c>
      <c r="M43" s="319" t="s">
        <v>334</v>
      </c>
      <c r="N43" s="319">
        <v>0</v>
      </c>
      <c r="O43" s="216">
        <v>0.1895</v>
      </c>
      <c r="P43" s="319">
        <v>0</v>
      </c>
      <c r="Q43" s="319">
        <v>0</v>
      </c>
      <c r="R43" s="483"/>
      <c r="S43" s="475"/>
    </row>
    <row r="44" spans="1:19" x14ac:dyDescent="0.3">
      <c r="A44" s="520"/>
      <c r="B44" s="479" t="s">
        <v>349</v>
      </c>
      <c r="C44" s="215" t="s">
        <v>323</v>
      </c>
      <c r="D44" s="216">
        <v>2.5722</v>
      </c>
      <c r="E44" s="216">
        <v>0.63890000000000002</v>
      </c>
      <c r="F44" s="216">
        <v>-0.1666</v>
      </c>
      <c r="G44" s="216">
        <v>0.81620000000000004</v>
      </c>
      <c r="H44" s="216">
        <v>0.98280000000000001</v>
      </c>
      <c r="I44" s="216">
        <v>-0.26079999999999998</v>
      </c>
      <c r="J44" s="216">
        <v>0.31730000000000003</v>
      </c>
      <c r="K44" s="216">
        <v>0.57809999999999995</v>
      </c>
      <c r="L44" s="216" t="s">
        <v>333</v>
      </c>
      <c r="M44" s="319" t="s">
        <v>356</v>
      </c>
      <c r="N44" s="319" t="s">
        <v>439</v>
      </c>
      <c r="O44" s="216">
        <v>2.5700000000000001E-2</v>
      </c>
      <c r="P44" s="319" t="s">
        <v>439</v>
      </c>
      <c r="Q44" s="319" t="s">
        <v>439</v>
      </c>
      <c r="R44" s="484"/>
      <c r="S44" s="481"/>
    </row>
    <row r="45" spans="1:19" x14ac:dyDescent="0.3">
      <c r="A45" s="520"/>
      <c r="B45" s="480" t="s">
        <v>350</v>
      </c>
      <c r="C45" s="215" t="s">
        <v>324</v>
      </c>
      <c r="D45" s="216">
        <v>2.5293999999999999</v>
      </c>
      <c r="E45" s="216">
        <v>0.35289999999999999</v>
      </c>
      <c r="F45" s="216">
        <v>-8.3000000000000001E-3</v>
      </c>
      <c r="G45" s="216">
        <v>5.4699999999999999E-2</v>
      </c>
      <c r="H45" s="216">
        <v>6.3E-2</v>
      </c>
      <c r="I45" s="216">
        <v>-2.3400000000000001E-2</v>
      </c>
      <c r="J45" s="216">
        <v>2.1600000000000001E-2</v>
      </c>
      <c r="K45" s="216">
        <v>4.5100000000000001E-2</v>
      </c>
      <c r="L45" s="216" t="s">
        <v>333</v>
      </c>
      <c r="M45" s="319" t="s">
        <v>355</v>
      </c>
      <c r="N45" s="319">
        <v>1</v>
      </c>
      <c r="O45" s="216">
        <v>2.81E-2</v>
      </c>
      <c r="P45" s="319" t="s">
        <v>439</v>
      </c>
      <c r="Q45" s="319" t="s">
        <v>439</v>
      </c>
      <c r="R45" s="482" t="s">
        <v>439</v>
      </c>
      <c r="S45" s="334" t="s">
        <v>439</v>
      </c>
    </row>
    <row r="46" spans="1:19" x14ac:dyDescent="0.3">
      <c r="A46" s="520"/>
      <c r="B46" s="478" t="s">
        <v>350</v>
      </c>
      <c r="C46" s="215" t="s">
        <v>322</v>
      </c>
      <c r="D46" s="216">
        <v>2.4443999999999999</v>
      </c>
      <c r="E46" s="216">
        <v>0.33329999999999999</v>
      </c>
      <c r="F46" s="216">
        <v>-2.7900000000000001E-2</v>
      </c>
      <c r="G46" s="216">
        <v>9.8100000000000007E-2</v>
      </c>
      <c r="H46" s="216">
        <v>0.126</v>
      </c>
      <c r="I46" s="216">
        <v>-8.3799999999999999E-2</v>
      </c>
      <c r="J46" s="216">
        <v>4.0099999999999997E-2</v>
      </c>
      <c r="K46" s="216">
        <v>0.1239</v>
      </c>
      <c r="L46" s="216" t="s">
        <v>333</v>
      </c>
      <c r="M46" s="319" t="s">
        <v>356</v>
      </c>
      <c r="N46" s="319" t="s">
        <v>439</v>
      </c>
      <c r="O46" s="216">
        <v>0.2056</v>
      </c>
      <c r="P46" s="319">
        <v>1</v>
      </c>
      <c r="Q46" s="319" t="s">
        <v>439</v>
      </c>
      <c r="R46" s="483"/>
      <c r="S46" s="475"/>
    </row>
    <row r="47" spans="1:19" x14ac:dyDescent="0.3">
      <c r="A47" s="520"/>
      <c r="B47" s="479" t="s">
        <v>350</v>
      </c>
      <c r="C47" s="215" t="s">
        <v>323</v>
      </c>
      <c r="D47" s="216">
        <v>2.5722</v>
      </c>
      <c r="E47" s="216">
        <v>0.33329999999999999</v>
      </c>
      <c r="F47" s="216">
        <v>-0.125</v>
      </c>
      <c r="G47" s="216">
        <v>0.81620000000000004</v>
      </c>
      <c r="H47" s="216">
        <v>0.94120000000000004</v>
      </c>
      <c r="I47" s="216">
        <v>-0.37490000000000001</v>
      </c>
      <c r="J47" s="216">
        <v>0.31730000000000003</v>
      </c>
      <c r="K47" s="216">
        <v>0.69220000000000004</v>
      </c>
      <c r="L47" s="216" t="s">
        <v>333</v>
      </c>
      <c r="M47" s="319" t="s">
        <v>356</v>
      </c>
      <c r="N47" s="319" t="s">
        <v>439</v>
      </c>
      <c r="O47" s="216">
        <v>3.09E-2</v>
      </c>
      <c r="P47" s="319" t="s">
        <v>439</v>
      </c>
      <c r="Q47" s="319" t="s">
        <v>439</v>
      </c>
      <c r="R47" s="484"/>
      <c r="S47" s="481"/>
    </row>
    <row r="48" spans="1:19" x14ac:dyDescent="0.3">
      <c r="A48" s="520"/>
      <c r="B48" s="480" t="s">
        <v>317</v>
      </c>
      <c r="C48" s="215" t="s">
        <v>324</v>
      </c>
      <c r="D48" s="216">
        <v>2.5293999999999999</v>
      </c>
      <c r="E48" s="216">
        <v>1.3824000000000001</v>
      </c>
      <c r="F48" s="216">
        <v>-9.2999999999999992E-3</v>
      </c>
      <c r="G48" s="216">
        <v>5.4699999999999999E-2</v>
      </c>
      <c r="H48" s="216">
        <v>6.4100000000000004E-2</v>
      </c>
      <c r="I48" s="216">
        <v>-6.7999999999999996E-3</v>
      </c>
      <c r="J48" s="216">
        <v>2.1600000000000001E-2</v>
      </c>
      <c r="K48" s="216">
        <v>2.8400000000000002E-2</v>
      </c>
      <c r="L48" s="216" t="s">
        <v>333</v>
      </c>
      <c r="M48" s="319" t="s">
        <v>355</v>
      </c>
      <c r="N48" s="319">
        <v>1</v>
      </c>
      <c r="O48" s="216">
        <v>5.9200000000000003E-2</v>
      </c>
      <c r="P48" s="319" t="s">
        <v>439</v>
      </c>
      <c r="Q48" s="319" t="s">
        <v>439</v>
      </c>
      <c r="R48" s="482" t="s">
        <v>439</v>
      </c>
      <c r="S48" s="334" t="s">
        <v>439</v>
      </c>
    </row>
    <row r="49" spans="1:19" x14ac:dyDescent="0.3">
      <c r="A49" s="520"/>
      <c r="B49" s="478" t="s">
        <v>317</v>
      </c>
      <c r="C49" s="215" t="s">
        <v>322</v>
      </c>
      <c r="D49" s="216">
        <v>2.4443999999999999</v>
      </c>
      <c r="E49" s="216">
        <v>1.3332999999999999</v>
      </c>
      <c r="F49" s="216">
        <v>-4.6699999999999998E-2</v>
      </c>
      <c r="G49" s="216">
        <v>9.8100000000000007E-2</v>
      </c>
      <c r="H49" s="216">
        <v>0.14480000000000001</v>
      </c>
      <c r="I49" s="216">
        <v>-3.5000000000000003E-2</v>
      </c>
      <c r="J49" s="216">
        <v>4.0099999999999997E-2</v>
      </c>
      <c r="K49" s="216">
        <v>7.51E-2</v>
      </c>
      <c r="L49" s="216" t="s">
        <v>333</v>
      </c>
      <c r="M49" s="319" t="s">
        <v>334</v>
      </c>
      <c r="N49" s="319">
        <v>0</v>
      </c>
      <c r="O49" s="216">
        <v>0.20849999999999999</v>
      </c>
      <c r="P49" s="319">
        <v>1</v>
      </c>
      <c r="Q49" s="319">
        <v>1</v>
      </c>
      <c r="R49" s="483"/>
      <c r="S49" s="475"/>
    </row>
    <row r="50" spans="1:19" x14ac:dyDescent="0.3">
      <c r="A50" s="520"/>
      <c r="B50" s="479" t="s">
        <v>317</v>
      </c>
      <c r="C50" s="215" t="s">
        <v>323</v>
      </c>
      <c r="D50" s="216">
        <v>2.5722</v>
      </c>
      <c r="E50" s="216">
        <v>1.3332999999999999</v>
      </c>
      <c r="F50" s="216">
        <v>-4.1500000000000002E-2</v>
      </c>
      <c r="G50" s="216">
        <v>0.81620000000000004</v>
      </c>
      <c r="H50" s="216">
        <v>0.85770000000000002</v>
      </c>
      <c r="I50" s="216">
        <v>-3.1099999999999999E-2</v>
      </c>
      <c r="J50" s="216">
        <v>0.31730000000000003</v>
      </c>
      <c r="K50" s="216">
        <v>0.34839999999999999</v>
      </c>
      <c r="L50" s="216" t="s">
        <v>333</v>
      </c>
      <c r="M50" s="319" t="s">
        <v>356</v>
      </c>
      <c r="N50" s="319" t="s">
        <v>439</v>
      </c>
      <c r="O50" s="216">
        <v>8.3699999999999997E-2</v>
      </c>
      <c r="P50" s="319" t="s">
        <v>439</v>
      </c>
      <c r="Q50" s="319" t="s">
        <v>439</v>
      </c>
      <c r="R50" s="484"/>
      <c r="S50" s="481"/>
    </row>
    <row r="51" spans="1:19" x14ac:dyDescent="0.3">
      <c r="A51" s="520"/>
      <c r="B51" s="480" t="s">
        <v>316</v>
      </c>
      <c r="C51" s="215" t="s">
        <v>324</v>
      </c>
      <c r="D51" s="216">
        <v>2.5293999999999999</v>
      </c>
      <c r="E51" s="216">
        <v>1.0882000000000001</v>
      </c>
      <c r="F51" s="216">
        <v>8.0999999999999996E-3</v>
      </c>
      <c r="G51" s="216">
        <v>5.4699999999999999E-2</v>
      </c>
      <c r="H51" s="216">
        <v>4.6699999999999998E-2</v>
      </c>
      <c r="I51" s="216">
        <v>7.4000000000000003E-3</v>
      </c>
      <c r="J51" s="216">
        <v>2.1600000000000001E-2</v>
      </c>
      <c r="K51" s="216">
        <v>1.4200000000000001E-2</v>
      </c>
      <c r="L51" s="216" t="s">
        <v>335</v>
      </c>
      <c r="M51" s="319" t="s">
        <v>354</v>
      </c>
      <c r="N51" s="319">
        <v>2</v>
      </c>
      <c r="O51" s="216">
        <v>0.15359999999999999</v>
      </c>
      <c r="P51" s="319">
        <v>0</v>
      </c>
      <c r="Q51" s="532">
        <v>2</v>
      </c>
      <c r="R51" s="482" t="s">
        <v>439</v>
      </c>
      <c r="S51" s="334" t="s">
        <v>439</v>
      </c>
    </row>
    <row r="52" spans="1:19" x14ac:dyDescent="0.3">
      <c r="A52" s="520"/>
      <c r="B52" s="478" t="s">
        <v>316</v>
      </c>
      <c r="C52" s="215" t="s">
        <v>322</v>
      </c>
      <c r="D52" s="216">
        <v>2.4443999999999999</v>
      </c>
      <c r="E52" s="216">
        <v>1.1111</v>
      </c>
      <c r="F52" s="216">
        <v>3.0300000000000001E-2</v>
      </c>
      <c r="G52" s="216">
        <v>9.8100000000000007E-2</v>
      </c>
      <c r="H52" s="216">
        <v>6.7799999999999999E-2</v>
      </c>
      <c r="I52" s="216">
        <v>2.7300000000000001E-2</v>
      </c>
      <c r="J52" s="216">
        <v>4.0099999999999997E-2</v>
      </c>
      <c r="K52" s="216">
        <v>1.29E-2</v>
      </c>
      <c r="L52" s="216" t="s">
        <v>335</v>
      </c>
      <c r="M52" s="319" t="s">
        <v>354</v>
      </c>
      <c r="N52" s="319">
        <v>2</v>
      </c>
      <c r="O52" s="216">
        <v>0.54490000000000005</v>
      </c>
      <c r="P52" s="319">
        <v>2</v>
      </c>
      <c r="Q52" s="532">
        <v>4</v>
      </c>
      <c r="R52" s="483"/>
      <c r="S52" s="475"/>
    </row>
    <row r="53" spans="1:19" x14ac:dyDescent="0.3">
      <c r="A53" s="520"/>
      <c r="B53" s="479" t="s">
        <v>316</v>
      </c>
      <c r="C53" s="215" t="s">
        <v>323</v>
      </c>
      <c r="D53" s="216">
        <v>2.5722</v>
      </c>
      <c r="E53" s="216">
        <v>1.1111</v>
      </c>
      <c r="F53" s="216">
        <v>0.16639999999999999</v>
      </c>
      <c r="G53" s="216">
        <v>0.81620000000000004</v>
      </c>
      <c r="H53" s="216">
        <v>0.64990000000000003</v>
      </c>
      <c r="I53" s="216">
        <v>0.1497</v>
      </c>
      <c r="J53" s="216">
        <v>0.31730000000000003</v>
      </c>
      <c r="K53" s="216">
        <v>0.1676</v>
      </c>
      <c r="L53" s="216" t="s">
        <v>335</v>
      </c>
      <c r="M53" s="319" t="s">
        <v>356</v>
      </c>
      <c r="N53" s="319" t="s">
        <v>439</v>
      </c>
      <c r="O53" s="216">
        <v>0.15029999999999999</v>
      </c>
      <c r="P53" s="319">
        <v>0</v>
      </c>
      <c r="Q53" s="532" t="s">
        <v>439</v>
      </c>
      <c r="R53" s="484"/>
      <c r="S53" s="481"/>
    </row>
    <row r="54" spans="1:19" x14ac:dyDescent="0.3">
      <c r="A54" s="520"/>
      <c r="B54" s="480" t="s">
        <v>318</v>
      </c>
      <c r="C54" s="215" t="s">
        <v>324</v>
      </c>
      <c r="D54" s="216">
        <v>2.5293999999999999</v>
      </c>
      <c r="E54" s="216">
        <v>1</v>
      </c>
      <c r="F54" s="216">
        <v>2.06E-2</v>
      </c>
      <c r="G54" s="216">
        <v>5.4699999999999999E-2</v>
      </c>
      <c r="H54" s="216">
        <v>3.4200000000000001E-2</v>
      </c>
      <c r="I54" s="216">
        <v>2.06E-2</v>
      </c>
      <c r="J54" s="216">
        <v>2.1600000000000001E-2</v>
      </c>
      <c r="K54" s="216">
        <v>1.1000000000000001E-3</v>
      </c>
      <c r="L54" s="216" t="s">
        <v>335</v>
      </c>
      <c r="M54" s="319" t="s">
        <v>354</v>
      </c>
      <c r="N54" s="319">
        <v>2</v>
      </c>
      <c r="O54" s="216">
        <v>0.3271</v>
      </c>
      <c r="P54" s="319">
        <v>1</v>
      </c>
      <c r="Q54" s="532">
        <v>3</v>
      </c>
      <c r="R54" s="482" t="s">
        <v>439</v>
      </c>
      <c r="S54" s="334" t="s">
        <v>439</v>
      </c>
    </row>
    <row r="55" spans="1:19" x14ac:dyDescent="0.3">
      <c r="A55" s="520"/>
      <c r="B55" s="478" t="s">
        <v>318</v>
      </c>
      <c r="C55" s="215" t="s">
        <v>322</v>
      </c>
      <c r="D55" s="216">
        <v>2.4443999999999999</v>
      </c>
      <c r="E55" s="216">
        <v>1.0556000000000001</v>
      </c>
      <c r="F55" s="216">
        <v>8.1699999999999995E-2</v>
      </c>
      <c r="G55" s="216">
        <v>9.8100000000000007E-2</v>
      </c>
      <c r="H55" s="216">
        <v>1.6400000000000001E-2</v>
      </c>
      <c r="I55" s="216">
        <v>7.7399999999999997E-2</v>
      </c>
      <c r="J55" s="216">
        <v>4.0099999999999997E-2</v>
      </c>
      <c r="K55" s="216">
        <v>3.7199999999999997E-2</v>
      </c>
      <c r="L55" s="216" t="s">
        <v>335</v>
      </c>
      <c r="M55" s="319" t="s">
        <v>354</v>
      </c>
      <c r="N55" s="319">
        <v>2</v>
      </c>
      <c r="O55" s="216">
        <v>0.89419999999999999</v>
      </c>
      <c r="P55" s="319">
        <v>3</v>
      </c>
      <c r="Q55" s="532">
        <v>5</v>
      </c>
      <c r="R55" s="483"/>
      <c r="S55" s="475"/>
    </row>
    <row r="56" spans="1:19" x14ac:dyDescent="0.3">
      <c r="A56" s="520"/>
      <c r="B56" s="479" t="s">
        <v>318</v>
      </c>
      <c r="C56" s="215" t="s">
        <v>323</v>
      </c>
      <c r="D56" s="216">
        <v>2.5722</v>
      </c>
      <c r="E56" s="216">
        <v>1.0556000000000001</v>
      </c>
      <c r="F56" s="216">
        <v>0.12520000000000001</v>
      </c>
      <c r="G56" s="216">
        <v>0.81620000000000004</v>
      </c>
      <c r="H56" s="216">
        <v>0.69110000000000005</v>
      </c>
      <c r="I56" s="216">
        <v>0.1186</v>
      </c>
      <c r="J56" s="216">
        <v>0.31730000000000003</v>
      </c>
      <c r="K56" s="216">
        <v>0.1988</v>
      </c>
      <c r="L56" s="216" t="s">
        <v>335</v>
      </c>
      <c r="M56" s="319" t="s">
        <v>356</v>
      </c>
      <c r="N56" s="319" t="s">
        <v>439</v>
      </c>
      <c r="O56" s="216">
        <v>0.18540000000000001</v>
      </c>
      <c r="P56" s="319">
        <v>0</v>
      </c>
      <c r="Q56" s="532" t="s">
        <v>439</v>
      </c>
      <c r="R56" s="484"/>
      <c r="S56" s="481"/>
    </row>
    <row r="57" spans="1:19" x14ac:dyDescent="0.3">
      <c r="A57" s="520"/>
      <c r="B57" s="480" t="s">
        <v>344</v>
      </c>
      <c r="C57" s="215" t="s">
        <v>324</v>
      </c>
      <c r="D57" s="216">
        <v>2.5293999999999999</v>
      </c>
      <c r="E57" s="216">
        <v>0.38240000000000002</v>
      </c>
      <c r="F57" s="216">
        <v>1.2699999999999999E-2</v>
      </c>
      <c r="G57" s="216">
        <v>5.4699999999999999E-2</v>
      </c>
      <c r="H57" s="216">
        <v>4.2099999999999999E-2</v>
      </c>
      <c r="I57" s="216">
        <v>3.3099999999999997E-2</v>
      </c>
      <c r="J57" s="216">
        <v>2.1600000000000001E-2</v>
      </c>
      <c r="K57" s="216">
        <v>1.15E-2</v>
      </c>
      <c r="L57" s="216" t="s">
        <v>335</v>
      </c>
      <c r="M57" s="319" t="s">
        <v>354</v>
      </c>
      <c r="N57" s="319">
        <v>2</v>
      </c>
      <c r="O57" s="216">
        <v>0.1381</v>
      </c>
      <c r="P57" s="319">
        <v>0</v>
      </c>
      <c r="Q57" s="473">
        <v>2</v>
      </c>
      <c r="R57" s="482" t="s">
        <v>439</v>
      </c>
      <c r="S57" s="334" t="s">
        <v>439</v>
      </c>
    </row>
    <row r="58" spans="1:19" x14ac:dyDescent="0.3">
      <c r="A58" s="520"/>
      <c r="B58" s="478" t="s">
        <v>344</v>
      </c>
      <c r="C58" s="215" t="s">
        <v>322</v>
      </c>
      <c r="D58" s="216">
        <v>2.4443999999999999</v>
      </c>
      <c r="E58" s="216">
        <v>0.36109999999999998</v>
      </c>
      <c r="F58" s="216">
        <v>2.4400000000000002E-2</v>
      </c>
      <c r="G58" s="216">
        <v>9.8100000000000007E-2</v>
      </c>
      <c r="H58" s="216">
        <v>7.3700000000000002E-2</v>
      </c>
      <c r="I58" s="216">
        <v>6.7699999999999996E-2</v>
      </c>
      <c r="J58" s="216">
        <v>4.0099999999999997E-2</v>
      </c>
      <c r="K58" s="216">
        <v>2.75E-2</v>
      </c>
      <c r="L58" s="216" t="s">
        <v>335</v>
      </c>
      <c r="M58" s="319" t="s">
        <v>354</v>
      </c>
      <c r="N58" s="319">
        <v>2</v>
      </c>
      <c r="O58" s="216">
        <v>0.46629999999999999</v>
      </c>
      <c r="P58" s="319">
        <v>1</v>
      </c>
      <c r="Q58" s="319">
        <v>3</v>
      </c>
      <c r="R58" s="483"/>
      <c r="S58" s="475"/>
    </row>
    <row r="59" spans="1:19" x14ac:dyDescent="0.3">
      <c r="A59" s="520"/>
      <c r="B59" s="479" t="s">
        <v>344</v>
      </c>
      <c r="C59" s="215" t="s">
        <v>323</v>
      </c>
      <c r="D59" s="216">
        <v>2.5722</v>
      </c>
      <c r="E59" s="216">
        <v>0.36109999999999998</v>
      </c>
      <c r="F59" s="216">
        <v>0.1666</v>
      </c>
      <c r="G59" s="216">
        <v>0.81620000000000004</v>
      </c>
      <c r="H59" s="216">
        <v>0.64959999999999996</v>
      </c>
      <c r="I59" s="216">
        <v>0.46129999999999999</v>
      </c>
      <c r="J59" s="216">
        <v>0.31730000000000003</v>
      </c>
      <c r="K59" s="216">
        <v>0.14399999999999999</v>
      </c>
      <c r="L59" s="216" t="s">
        <v>335</v>
      </c>
      <c r="M59" s="319" t="s">
        <v>356</v>
      </c>
      <c r="N59" s="319" t="s">
        <v>439</v>
      </c>
      <c r="O59" s="216">
        <v>5.6000000000000001E-2</v>
      </c>
      <c r="P59" s="319" t="s">
        <v>439</v>
      </c>
      <c r="Q59" s="319" t="s">
        <v>439</v>
      </c>
      <c r="R59" s="484"/>
      <c r="S59" s="481"/>
    </row>
    <row r="60" spans="1:19" x14ac:dyDescent="0.3">
      <c r="A60" s="520"/>
      <c r="B60" s="480" t="s">
        <v>319</v>
      </c>
      <c r="C60" s="215" t="s">
        <v>324</v>
      </c>
      <c r="D60" s="216">
        <v>2.5293999999999999</v>
      </c>
      <c r="E60" s="216">
        <v>6.5587999999999997</v>
      </c>
      <c r="F60" s="216">
        <v>0.16259999999999999</v>
      </c>
      <c r="G60" s="216">
        <v>5.4699999999999999E-2</v>
      </c>
      <c r="H60" s="216">
        <v>-0.1079</v>
      </c>
      <c r="I60" s="216">
        <v>2.4799999999999999E-2</v>
      </c>
      <c r="J60" s="216">
        <v>2.1600000000000001E-2</v>
      </c>
      <c r="K60" s="216">
        <v>3.2000000000000002E-3</v>
      </c>
      <c r="L60" s="216" t="s">
        <v>335</v>
      </c>
      <c r="M60" s="319" t="s">
        <v>354</v>
      </c>
      <c r="N60" s="319">
        <v>2</v>
      </c>
      <c r="O60" s="216">
        <v>6.7799999999999999E-2</v>
      </c>
      <c r="P60" s="319" t="s">
        <v>439</v>
      </c>
      <c r="Q60" s="473" t="s">
        <v>439</v>
      </c>
      <c r="R60" s="482" t="s">
        <v>439</v>
      </c>
      <c r="S60" s="334" t="s">
        <v>439</v>
      </c>
    </row>
    <row r="61" spans="1:19" x14ac:dyDescent="0.3">
      <c r="A61" s="520"/>
      <c r="B61" s="478" t="s">
        <v>319</v>
      </c>
      <c r="C61" s="215" t="s">
        <v>322</v>
      </c>
      <c r="D61" s="216">
        <v>2.4443999999999999</v>
      </c>
      <c r="E61" s="216">
        <v>6.6111000000000004</v>
      </c>
      <c r="F61" s="216">
        <v>0.43609999999999999</v>
      </c>
      <c r="G61" s="216">
        <v>9.8100000000000007E-2</v>
      </c>
      <c r="H61" s="216">
        <v>-0.33800000000000002</v>
      </c>
      <c r="I61" s="216">
        <v>6.6000000000000003E-2</v>
      </c>
      <c r="J61" s="216">
        <v>4.0099999999999997E-2</v>
      </c>
      <c r="K61" s="216">
        <v>2.58E-2</v>
      </c>
      <c r="L61" s="216" t="s">
        <v>335</v>
      </c>
      <c r="M61" s="319" t="s">
        <v>354</v>
      </c>
      <c r="N61" s="319">
        <v>2</v>
      </c>
      <c r="O61" s="216">
        <v>5.2499999999999998E-2</v>
      </c>
      <c r="P61" s="319" t="s">
        <v>439</v>
      </c>
      <c r="Q61" s="319" t="s">
        <v>439</v>
      </c>
      <c r="R61" s="483"/>
      <c r="S61" s="475"/>
    </row>
    <row r="62" spans="1:19" x14ac:dyDescent="0.3">
      <c r="A62" s="520"/>
      <c r="B62" s="479" t="s">
        <v>319</v>
      </c>
      <c r="C62" s="215" t="s">
        <v>323</v>
      </c>
      <c r="D62" s="216">
        <v>2.5722</v>
      </c>
      <c r="E62" s="216">
        <v>6.6111000000000004</v>
      </c>
      <c r="F62" s="216">
        <v>1.4570000000000001</v>
      </c>
      <c r="G62" s="216">
        <v>0.81620000000000004</v>
      </c>
      <c r="H62" s="216">
        <v>-0.64070000000000005</v>
      </c>
      <c r="I62" s="216">
        <v>0.22040000000000001</v>
      </c>
      <c r="J62" s="216">
        <v>0.31730000000000003</v>
      </c>
      <c r="K62" s="216">
        <v>9.69E-2</v>
      </c>
      <c r="L62" s="216" t="s">
        <v>335</v>
      </c>
      <c r="M62" s="319" t="s">
        <v>336</v>
      </c>
      <c r="N62" s="319">
        <v>0</v>
      </c>
      <c r="O62" s="216">
        <v>0.31569999999999998</v>
      </c>
      <c r="P62" s="319">
        <v>1</v>
      </c>
      <c r="Q62" s="319">
        <v>1</v>
      </c>
      <c r="R62" s="484"/>
      <c r="S62" s="481"/>
    </row>
    <row r="63" spans="1:19" x14ac:dyDescent="0.3">
      <c r="A63" s="520"/>
      <c r="B63" s="480" t="s">
        <v>351</v>
      </c>
      <c r="C63" s="215" t="s">
        <v>324</v>
      </c>
      <c r="D63" s="216">
        <v>2.5293999999999999</v>
      </c>
      <c r="E63" s="216">
        <v>0.88239999999999996</v>
      </c>
      <c r="F63" s="216">
        <v>0</v>
      </c>
      <c r="G63" s="216">
        <v>5.4699999999999999E-2</v>
      </c>
      <c r="H63" s="216">
        <v>5.4800000000000001E-2</v>
      </c>
      <c r="I63" s="216">
        <v>0</v>
      </c>
      <c r="J63" s="216">
        <v>2.1600000000000001E-2</v>
      </c>
      <c r="K63" s="216">
        <v>2.1700000000000001E-2</v>
      </c>
      <c r="L63" s="216" t="s">
        <v>333</v>
      </c>
      <c r="M63" s="319" t="s">
        <v>355</v>
      </c>
      <c r="N63" s="319">
        <v>1</v>
      </c>
      <c r="O63" s="216">
        <v>7.5700000000000003E-2</v>
      </c>
      <c r="P63" s="319" t="s">
        <v>439</v>
      </c>
      <c r="Q63" s="319" t="s">
        <v>439</v>
      </c>
      <c r="R63" s="482" t="s">
        <v>439</v>
      </c>
      <c r="S63" s="334" t="s">
        <v>439</v>
      </c>
    </row>
    <row r="64" spans="1:19" x14ac:dyDescent="0.3">
      <c r="A64" s="520"/>
      <c r="B64" s="478" t="s">
        <v>351</v>
      </c>
      <c r="C64" s="215" t="s">
        <v>322</v>
      </c>
      <c r="D64" s="216">
        <v>2.4443999999999999</v>
      </c>
      <c r="E64" s="216">
        <v>0.91669999999999996</v>
      </c>
      <c r="F64" s="216">
        <v>1.9699999999999999E-2</v>
      </c>
      <c r="G64" s="216">
        <v>9.8100000000000007E-2</v>
      </c>
      <c r="H64" s="216">
        <v>7.8299999999999995E-2</v>
      </c>
      <c r="I64" s="216">
        <v>2.1499999999999998E-2</v>
      </c>
      <c r="J64" s="216">
        <v>4.0099999999999997E-2</v>
      </c>
      <c r="K64" s="216">
        <v>1.8599999999999998E-2</v>
      </c>
      <c r="L64" s="216" t="s">
        <v>335</v>
      </c>
      <c r="M64" s="319" t="s">
        <v>354</v>
      </c>
      <c r="N64" s="319">
        <v>2</v>
      </c>
      <c r="O64" s="216">
        <v>0.45839999999999997</v>
      </c>
      <c r="P64" s="319">
        <v>1</v>
      </c>
      <c r="Q64" s="319">
        <v>3</v>
      </c>
      <c r="R64" s="483"/>
      <c r="S64" s="475"/>
    </row>
    <row r="65" spans="1:19" x14ac:dyDescent="0.3">
      <c r="A65" s="520"/>
      <c r="B65" s="479" t="s">
        <v>351</v>
      </c>
      <c r="C65" s="215" t="s">
        <v>323</v>
      </c>
      <c r="D65" s="216">
        <v>2.5722</v>
      </c>
      <c r="E65" s="216">
        <v>0.91669999999999996</v>
      </c>
      <c r="F65" s="216">
        <v>4.1599999999999998E-2</v>
      </c>
      <c r="G65" s="216">
        <v>0.81620000000000004</v>
      </c>
      <c r="H65" s="216">
        <v>0.77459999999999996</v>
      </c>
      <c r="I65" s="216">
        <v>4.5400000000000003E-2</v>
      </c>
      <c r="J65" s="216">
        <v>0.31730000000000003</v>
      </c>
      <c r="K65" s="216">
        <v>0.27200000000000002</v>
      </c>
      <c r="L65" s="216" t="s">
        <v>335</v>
      </c>
      <c r="M65" s="319" t="s">
        <v>356</v>
      </c>
      <c r="N65" s="319" t="s">
        <v>439</v>
      </c>
      <c r="O65" s="216">
        <v>4.4600000000000001E-2</v>
      </c>
      <c r="P65" s="319" t="s">
        <v>439</v>
      </c>
      <c r="Q65" s="319" t="s">
        <v>439</v>
      </c>
      <c r="R65" s="484"/>
      <c r="S65" s="481"/>
    </row>
    <row r="66" spans="1:19" x14ac:dyDescent="0.3">
      <c r="A66" s="520"/>
      <c r="B66" s="480" t="s">
        <v>352</v>
      </c>
      <c r="C66" s="215" t="s">
        <v>324</v>
      </c>
      <c r="D66" s="216">
        <v>2.5293999999999999</v>
      </c>
      <c r="E66" s="216">
        <v>1.0882000000000001</v>
      </c>
      <c r="F66" s="216">
        <v>1.2999999999999999E-2</v>
      </c>
      <c r="G66" s="216">
        <v>5.4699999999999999E-2</v>
      </c>
      <c r="H66" s="216">
        <v>4.1700000000000001E-2</v>
      </c>
      <c r="I66" s="216">
        <v>1.2E-2</v>
      </c>
      <c r="J66" s="216">
        <v>2.1600000000000001E-2</v>
      </c>
      <c r="K66" s="216">
        <v>9.7000000000000003E-3</v>
      </c>
      <c r="L66" s="216" t="s">
        <v>335</v>
      </c>
      <c r="M66" s="319" t="s">
        <v>354</v>
      </c>
      <c r="N66" s="319">
        <v>2</v>
      </c>
      <c r="O66" s="216">
        <v>0.1794</v>
      </c>
      <c r="P66" s="319">
        <v>0</v>
      </c>
      <c r="Q66" s="319">
        <v>2</v>
      </c>
      <c r="R66" s="482" t="s">
        <v>439</v>
      </c>
      <c r="S66" s="334" t="s">
        <v>439</v>
      </c>
    </row>
    <row r="67" spans="1:19" x14ac:dyDescent="0.3">
      <c r="A67" s="520"/>
      <c r="B67" s="478" t="s">
        <v>352</v>
      </c>
      <c r="C67" s="215" t="s">
        <v>322</v>
      </c>
      <c r="D67" s="216">
        <v>2.4443999999999999</v>
      </c>
      <c r="E67" s="216">
        <v>1.0556000000000001</v>
      </c>
      <c r="F67" s="216">
        <v>1.41E-2</v>
      </c>
      <c r="G67" s="216">
        <v>9.8100000000000007E-2</v>
      </c>
      <c r="H67" s="216">
        <v>8.4000000000000005E-2</v>
      </c>
      <c r="I67" s="216">
        <v>1.3299999999999999E-2</v>
      </c>
      <c r="J67" s="216">
        <v>4.0099999999999997E-2</v>
      </c>
      <c r="K67" s="216">
        <v>2.6800000000000001E-2</v>
      </c>
      <c r="L67" s="216" t="s">
        <v>335</v>
      </c>
      <c r="M67" s="319" t="s">
        <v>354</v>
      </c>
      <c r="N67" s="319">
        <v>2</v>
      </c>
      <c r="O67" s="216">
        <v>0.45119999999999999</v>
      </c>
      <c r="P67" s="319">
        <v>1</v>
      </c>
      <c r="Q67" s="319">
        <v>3</v>
      </c>
      <c r="R67" s="483"/>
      <c r="S67" s="475"/>
    </row>
    <row r="68" spans="1:19" ht="15" thickBot="1" x14ac:dyDescent="0.35">
      <c r="A68" s="521"/>
      <c r="B68" s="505" t="s">
        <v>352</v>
      </c>
      <c r="C68" s="217" t="s">
        <v>323</v>
      </c>
      <c r="D68" s="226">
        <v>2.5722</v>
      </c>
      <c r="E68" s="226">
        <v>1.0556000000000001</v>
      </c>
      <c r="F68" s="226">
        <v>1E-4</v>
      </c>
      <c r="G68" s="226">
        <v>0.81620000000000004</v>
      </c>
      <c r="H68" s="226">
        <v>0.81620000000000004</v>
      </c>
      <c r="I68" s="226">
        <v>1E-4</v>
      </c>
      <c r="J68" s="226">
        <v>0.31730000000000003</v>
      </c>
      <c r="K68" s="226">
        <v>0.31730000000000003</v>
      </c>
      <c r="L68" s="226" t="s">
        <v>335</v>
      </c>
      <c r="M68" s="322" t="s">
        <v>356</v>
      </c>
      <c r="N68" s="322" t="s">
        <v>439</v>
      </c>
      <c r="O68" s="226">
        <v>4.58E-2</v>
      </c>
      <c r="P68" s="322" t="s">
        <v>439</v>
      </c>
      <c r="Q68" s="322" t="s">
        <v>439</v>
      </c>
      <c r="R68" s="506"/>
      <c r="S68" s="476"/>
    </row>
    <row r="69" spans="1:19" x14ac:dyDescent="0.3">
      <c r="A69" s="516" t="s">
        <v>345</v>
      </c>
      <c r="B69" s="477" t="s">
        <v>346</v>
      </c>
      <c r="C69" s="218" t="s">
        <v>324</v>
      </c>
      <c r="D69" s="225">
        <v>1.45</v>
      </c>
      <c r="E69" s="225">
        <v>0.2</v>
      </c>
      <c r="F69" s="225">
        <v>1.1999999999999999E-3</v>
      </c>
      <c r="G69" s="225">
        <v>-1.1000000000000001E-3</v>
      </c>
      <c r="H69" s="225">
        <v>-2.3E-3</v>
      </c>
      <c r="I69" s="225">
        <v>6.1000000000000004E-3</v>
      </c>
      <c r="J69" s="225">
        <v>-6.9999999999999999E-4</v>
      </c>
      <c r="K69" s="225">
        <v>6.8999999999999999E-3</v>
      </c>
      <c r="L69" s="225" t="s">
        <v>333</v>
      </c>
      <c r="M69" s="321" t="s">
        <v>355</v>
      </c>
      <c r="N69" s="321">
        <v>1</v>
      </c>
      <c r="O69" s="225">
        <v>0.83169999999999999</v>
      </c>
      <c r="P69" s="321">
        <v>3</v>
      </c>
      <c r="Q69" s="321">
        <v>4</v>
      </c>
      <c r="R69" s="507" t="s">
        <v>439</v>
      </c>
      <c r="S69" s="474" t="s">
        <v>439</v>
      </c>
    </row>
    <row r="70" spans="1:19" x14ac:dyDescent="0.3">
      <c r="A70" s="517"/>
      <c r="B70" s="478" t="s">
        <v>346</v>
      </c>
      <c r="C70" s="215" t="s">
        <v>322</v>
      </c>
      <c r="D70" s="216">
        <v>1.45</v>
      </c>
      <c r="E70" s="216">
        <v>0.2</v>
      </c>
      <c r="F70" s="216">
        <v>3.0000000000000001E-3</v>
      </c>
      <c r="G70" s="216">
        <v>-1.2999999999999999E-3</v>
      </c>
      <c r="H70" s="216">
        <v>-4.3E-3</v>
      </c>
      <c r="I70" s="216">
        <v>1.5100000000000001E-2</v>
      </c>
      <c r="J70" s="216">
        <v>-8.9999999999999998E-4</v>
      </c>
      <c r="K70" s="216">
        <v>1.6E-2</v>
      </c>
      <c r="L70" s="216" t="s">
        <v>333</v>
      </c>
      <c r="M70" s="319" t="s">
        <v>355</v>
      </c>
      <c r="N70" s="319">
        <v>1</v>
      </c>
      <c r="O70" s="216">
        <v>0.9012</v>
      </c>
      <c r="P70" s="319">
        <v>4</v>
      </c>
      <c r="Q70" s="319">
        <v>5</v>
      </c>
      <c r="R70" s="483"/>
      <c r="S70" s="475"/>
    </row>
    <row r="71" spans="1:19" x14ac:dyDescent="0.3">
      <c r="A71" s="517"/>
      <c r="B71" s="479" t="s">
        <v>346</v>
      </c>
      <c r="C71" s="215" t="s">
        <v>323</v>
      </c>
      <c r="D71" s="216">
        <v>1.45</v>
      </c>
      <c r="E71" s="216">
        <v>0.2</v>
      </c>
      <c r="F71" s="216">
        <v>1.67E-2</v>
      </c>
      <c r="G71" s="216">
        <v>-4.1599999999999998E-2</v>
      </c>
      <c r="H71" s="216">
        <v>-5.8299999999999998E-2</v>
      </c>
      <c r="I71" s="216">
        <v>8.3500000000000005E-2</v>
      </c>
      <c r="J71" s="216">
        <v>-2.87E-2</v>
      </c>
      <c r="K71" s="216">
        <v>0.11210000000000001</v>
      </c>
      <c r="L71" s="216" t="s">
        <v>333</v>
      </c>
      <c r="M71" s="319" t="s">
        <v>356</v>
      </c>
      <c r="N71" s="319" t="s">
        <v>439</v>
      </c>
      <c r="O71" s="216">
        <v>0.75339999999999996</v>
      </c>
      <c r="P71" s="319">
        <v>3</v>
      </c>
      <c r="Q71" s="319" t="s">
        <v>439</v>
      </c>
      <c r="R71" s="484"/>
      <c r="S71" s="481"/>
    </row>
    <row r="72" spans="1:19" x14ac:dyDescent="0.3">
      <c r="A72" s="517"/>
      <c r="B72" s="485" t="s">
        <v>347</v>
      </c>
      <c r="C72" s="486" t="s">
        <v>324</v>
      </c>
      <c r="D72" s="487">
        <v>1.45</v>
      </c>
      <c r="E72" s="487">
        <v>0.26669999999999999</v>
      </c>
      <c r="F72" s="487">
        <v>-2.3999999999999998E-3</v>
      </c>
      <c r="G72" s="487">
        <v>-1.1000000000000001E-3</v>
      </c>
      <c r="H72" s="487">
        <v>1.4E-3</v>
      </c>
      <c r="I72" s="487">
        <v>-9.1999999999999998E-3</v>
      </c>
      <c r="J72" s="487">
        <v>-6.9999999999999999E-4</v>
      </c>
      <c r="K72" s="487">
        <v>8.3999999999999995E-3</v>
      </c>
      <c r="L72" s="487" t="s">
        <v>335</v>
      </c>
      <c r="M72" s="488" t="s">
        <v>354</v>
      </c>
      <c r="N72" s="488">
        <v>2</v>
      </c>
      <c r="O72" s="487">
        <v>0.90249999999999997</v>
      </c>
      <c r="P72" s="488">
        <v>4</v>
      </c>
      <c r="Q72" s="488">
        <v>6</v>
      </c>
      <c r="R72" s="489">
        <v>15</v>
      </c>
      <c r="S72" s="504">
        <v>1</v>
      </c>
    </row>
    <row r="73" spans="1:19" x14ac:dyDescent="0.3">
      <c r="A73" s="517"/>
      <c r="B73" s="490" t="s">
        <v>347</v>
      </c>
      <c r="C73" s="486" t="s">
        <v>322</v>
      </c>
      <c r="D73" s="487">
        <v>1.45</v>
      </c>
      <c r="E73" s="487">
        <v>0.26669999999999999</v>
      </c>
      <c r="F73" s="487">
        <v>-6.4999999999999997E-3</v>
      </c>
      <c r="G73" s="487">
        <v>-1.2999999999999999E-3</v>
      </c>
      <c r="H73" s="487">
        <v>5.1999999999999998E-3</v>
      </c>
      <c r="I73" s="487">
        <v>-2.4500000000000001E-2</v>
      </c>
      <c r="J73" s="487">
        <v>-8.9999999999999998E-4</v>
      </c>
      <c r="K73" s="487">
        <v>2.3599999999999999E-2</v>
      </c>
      <c r="L73" s="487" t="s">
        <v>335</v>
      </c>
      <c r="M73" s="488" t="s">
        <v>354</v>
      </c>
      <c r="N73" s="488">
        <v>2</v>
      </c>
      <c r="O73" s="487">
        <v>0.88500000000000001</v>
      </c>
      <c r="P73" s="488">
        <v>3</v>
      </c>
      <c r="Q73" s="488">
        <v>5</v>
      </c>
      <c r="R73" s="491"/>
      <c r="S73" s="502"/>
    </row>
    <row r="74" spans="1:19" x14ac:dyDescent="0.3">
      <c r="A74" s="517"/>
      <c r="B74" s="492" t="s">
        <v>347</v>
      </c>
      <c r="C74" s="486" t="s">
        <v>323</v>
      </c>
      <c r="D74" s="487">
        <v>1.45</v>
      </c>
      <c r="E74" s="487">
        <v>0.26669999999999999</v>
      </c>
      <c r="F74" s="487">
        <v>-3.3300000000000003E-2</v>
      </c>
      <c r="G74" s="487">
        <v>-4.1599999999999998E-2</v>
      </c>
      <c r="H74" s="487">
        <v>-8.2000000000000007E-3</v>
      </c>
      <c r="I74" s="487">
        <v>-0.125</v>
      </c>
      <c r="J74" s="487">
        <v>-2.87E-2</v>
      </c>
      <c r="K74" s="487">
        <v>9.6299999999999997E-2</v>
      </c>
      <c r="L74" s="487" t="s">
        <v>335</v>
      </c>
      <c r="M74" s="488" t="s">
        <v>336</v>
      </c>
      <c r="N74" s="488">
        <v>0</v>
      </c>
      <c r="O74" s="487">
        <v>0.96499999999999997</v>
      </c>
      <c r="P74" s="488">
        <v>4</v>
      </c>
      <c r="Q74" s="488">
        <v>4</v>
      </c>
      <c r="R74" s="493"/>
      <c r="S74" s="503"/>
    </row>
    <row r="75" spans="1:19" x14ac:dyDescent="0.3">
      <c r="A75" s="517"/>
      <c r="B75" s="480" t="s">
        <v>348</v>
      </c>
      <c r="C75" s="215" t="s">
        <v>324</v>
      </c>
      <c r="D75" s="216">
        <v>1.45</v>
      </c>
      <c r="E75" s="216">
        <v>0.5333</v>
      </c>
      <c r="F75" s="216">
        <v>9.7000000000000003E-3</v>
      </c>
      <c r="G75" s="216">
        <v>-1.1000000000000001E-3</v>
      </c>
      <c r="H75" s="216">
        <v>-1.0800000000000001E-2</v>
      </c>
      <c r="I75" s="216">
        <v>1.8200000000000001E-2</v>
      </c>
      <c r="J75" s="216">
        <v>-6.9999999999999999E-4</v>
      </c>
      <c r="K75" s="216">
        <v>1.9E-2</v>
      </c>
      <c r="L75" s="216" t="s">
        <v>333</v>
      </c>
      <c r="M75" s="319" t="s">
        <v>355</v>
      </c>
      <c r="N75" s="319">
        <v>1</v>
      </c>
      <c r="O75" s="216">
        <v>0.3458</v>
      </c>
      <c r="P75" s="319">
        <v>1</v>
      </c>
      <c r="Q75" s="319">
        <v>2</v>
      </c>
      <c r="R75" s="482" t="s">
        <v>439</v>
      </c>
      <c r="S75" s="334" t="s">
        <v>439</v>
      </c>
    </row>
    <row r="76" spans="1:19" x14ac:dyDescent="0.3">
      <c r="A76" s="517"/>
      <c r="B76" s="478" t="s">
        <v>348</v>
      </c>
      <c r="C76" s="215" t="s">
        <v>322</v>
      </c>
      <c r="D76" s="216">
        <v>1.45</v>
      </c>
      <c r="E76" s="216">
        <v>0.5333</v>
      </c>
      <c r="F76" s="216">
        <v>2.9100000000000001E-2</v>
      </c>
      <c r="G76" s="216">
        <v>-1.2999999999999999E-3</v>
      </c>
      <c r="H76" s="216">
        <v>-3.0300000000000001E-2</v>
      </c>
      <c r="I76" s="216">
        <v>5.45E-2</v>
      </c>
      <c r="J76" s="216">
        <v>-8.9999999999999998E-4</v>
      </c>
      <c r="K76" s="216">
        <v>5.5399999999999998E-2</v>
      </c>
      <c r="L76" s="216" t="s">
        <v>333</v>
      </c>
      <c r="M76" s="319" t="s">
        <v>334</v>
      </c>
      <c r="N76" s="319">
        <v>0</v>
      </c>
      <c r="O76" s="216">
        <v>0.42799999999999999</v>
      </c>
      <c r="P76" s="319">
        <v>1</v>
      </c>
      <c r="Q76" s="319">
        <v>1</v>
      </c>
      <c r="R76" s="483"/>
      <c r="S76" s="475"/>
    </row>
    <row r="77" spans="1:19" x14ac:dyDescent="0.3">
      <c r="A77" s="517"/>
      <c r="B77" s="479" t="s">
        <v>348</v>
      </c>
      <c r="C77" s="215" t="s">
        <v>323</v>
      </c>
      <c r="D77" s="216">
        <v>1.45</v>
      </c>
      <c r="E77" s="216">
        <v>0.5333</v>
      </c>
      <c r="F77" s="216">
        <v>0.10829999999999999</v>
      </c>
      <c r="G77" s="216">
        <v>-4.1599999999999998E-2</v>
      </c>
      <c r="H77" s="216">
        <v>-0.14990000000000001</v>
      </c>
      <c r="I77" s="216">
        <v>0.2031</v>
      </c>
      <c r="J77" s="216">
        <v>-2.87E-2</v>
      </c>
      <c r="K77" s="216">
        <v>0.23180000000000001</v>
      </c>
      <c r="L77" s="216" t="s">
        <v>333</v>
      </c>
      <c r="M77" s="319" t="s">
        <v>356</v>
      </c>
      <c r="N77" s="319" t="s">
        <v>439</v>
      </c>
      <c r="O77" s="216">
        <v>0.48699999999999999</v>
      </c>
      <c r="P77" s="319">
        <v>1</v>
      </c>
      <c r="Q77" s="319" t="s">
        <v>439</v>
      </c>
      <c r="R77" s="484"/>
      <c r="S77" s="481"/>
    </row>
    <row r="78" spans="1:19" x14ac:dyDescent="0.3">
      <c r="A78" s="517"/>
      <c r="B78" s="480" t="s">
        <v>349</v>
      </c>
      <c r="C78" s="219" t="s">
        <v>324</v>
      </c>
      <c r="D78" s="220">
        <v>1.45</v>
      </c>
      <c r="E78" s="220">
        <v>0.93330000000000002</v>
      </c>
      <c r="F78" s="220">
        <v>1.38E-2</v>
      </c>
      <c r="G78" s="220">
        <v>-1.1000000000000001E-3</v>
      </c>
      <c r="H78" s="220">
        <v>-1.49E-2</v>
      </c>
      <c r="I78" s="220">
        <v>1.4800000000000001E-2</v>
      </c>
      <c r="J78" s="220">
        <v>-6.9999999999999999E-4</v>
      </c>
      <c r="K78" s="220">
        <v>1.55E-2</v>
      </c>
      <c r="L78" s="220" t="s">
        <v>333</v>
      </c>
      <c r="M78" s="319" t="s">
        <v>355</v>
      </c>
      <c r="N78" s="319">
        <v>1</v>
      </c>
      <c r="O78" s="220">
        <v>0.23419999999999999</v>
      </c>
      <c r="P78" s="319">
        <v>1</v>
      </c>
      <c r="Q78" s="319">
        <v>2</v>
      </c>
      <c r="R78" s="482" t="s">
        <v>439</v>
      </c>
      <c r="S78" s="334" t="s">
        <v>439</v>
      </c>
    </row>
    <row r="79" spans="1:19" x14ac:dyDescent="0.3">
      <c r="A79" s="517"/>
      <c r="B79" s="478" t="s">
        <v>349</v>
      </c>
      <c r="C79" s="219" t="s">
        <v>322</v>
      </c>
      <c r="D79" s="220">
        <v>1.45</v>
      </c>
      <c r="E79" s="220">
        <v>0.93330000000000002</v>
      </c>
      <c r="F79" s="220">
        <v>4.1099999999999998E-2</v>
      </c>
      <c r="G79" s="220">
        <v>-1.2999999999999999E-3</v>
      </c>
      <c r="H79" s="220">
        <v>-4.24E-2</v>
      </c>
      <c r="I79" s="220">
        <v>4.3999999999999997E-2</v>
      </c>
      <c r="J79" s="220">
        <v>-8.9999999999999998E-4</v>
      </c>
      <c r="K79" s="220">
        <v>4.4900000000000002E-2</v>
      </c>
      <c r="L79" s="220" t="s">
        <v>333</v>
      </c>
      <c r="M79" s="319" t="s">
        <v>355</v>
      </c>
      <c r="N79" s="319">
        <v>1</v>
      </c>
      <c r="O79" s="220">
        <v>0.28970000000000001</v>
      </c>
      <c r="P79" s="319">
        <v>1</v>
      </c>
      <c r="Q79" s="319">
        <v>2</v>
      </c>
      <c r="R79" s="483"/>
      <c r="S79" s="475"/>
    </row>
    <row r="80" spans="1:19" x14ac:dyDescent="0.3">
      <c r="A80" s="517"/>
      <c r="B80" s="479" t="s">
        <v>349</v>
      </c>
      <c r="C80" s="219" t="s">
        <v>323</v>
      </c>
      <c r="D80" s="220">
        <v>1.45</v>
      </c>
      <c r="E80" s="220">
        <v>0.93330000000000002</v>
      </c>
      <c r="F80" s="220">
        <v>0.1666</v>
      </c>
      <c r="G80" s="220">
        <v>-4.1599999999999998E-2</v>
      </c>
      <c r="H80" s="220">
        <v>-0.2082</v>
      </c>
      <c r="I80" s="220">
        <v>0.17849999999999999</v>
      </c>
      <c r="J80" s="220">
        <v>-2.87E-2</v>
      </c>
      <c r="K80" s="220">
        <v>0.2072</v>
      </c>
      <c r="L80" s="220" t="s">
        <v>333</v>
      </c>
      <c r="M80" s="319" t="s">
        <v>356</v>
      </c>
      <c r="N80" s="319" t="s">
        <v>439</v>
      </c>
      <c r="O80" s="220">
        <v>0.37680000000000002</v>
      </c>
      <c r="P80" s="319">
        <v>1</v>
      </c>
      <c r="Q80" s="319" t="s">
        <v>439</v>
      </c>
      <c r="R80" s="484"/>
      <c r="S80" s="481"/>
    </row>
    <row r="81" spans="1:19" x14ac:dyDescent="0.3">
      <c r="A81" s="517"/>
      <c r="B81" s="480" t="s">
        <v>350</v>
      </c>
      <c r="C81" s="219" t="s">
        <v>324</v>
      </c>
      <c r="D81" s="220">
        <v>1.45</v>
      </c>
      <c r="E81" s="220">
        <v>0.31669999999999998</v>
      </c>
      <c r="F81" s="220">
        <v>-2.7000000000000001E-3</v>
      </c>
      <c r="G81" s="220">
        <v>-1.1000000000000001E-3</v>
      </c>
      <c r="H81" s="220">
        <v>1.6000000000000001E-3</v>
      </c>
      <c r="I81" s="220">
        <v>-8.5000000000000006E-3</v>
      </c>
      <c r="J81" s="220">
        <v>-6.9999999999999999E-4</v>
      </c>
      <c r="K81" s="220">
        <v>7.7999999999999996E-3</v>
      </c>
      <c r="L81" s="220" t="s">
        <v>335</v>
      </c>
      <c r="M81" s="319" t="s">
        <v>354</v>
      </c>
      <c r="N81" s="319">
        <v>2</v>
      </c>
      <c r="O81" s="220">
        <v>0.88539999999999996</v>
      </c>
      <c r="P81" s="319">
        <v>3</v>
      </c>
      <c r="Q81" s="319">
        <v>5</v>
      </c>
      <c r="R81" s="482" t="s">
        <v>439</v>
      </c>
      <c r="S81" s="334" t="s">
        <v>439</v>
      </c>
    </row>
    <row r="82" spans="1:19" x14ac:dyDescent="0.3">
      <c r="A82" s="517"/>
      <c r="B82" s="478" t="s">
        <v>350</v>
      </c>
      <c r="C82" s="219" t="s">
        <v>322</v>
      </c>
      <c r="D82" s="220">
        <v>1.45</v>
      </c>
      <c r="E82" s="220">
        <v>0.31669999999999998</v>
      </c>
      <c r="F82" s="220">
        <v>-7.7999999999999996E-3</v>
      </c>
      <c r="G82" s="220">
        <v>-1.2999999999999999E-3</v>
      </c>
      <c r="H82" s="220">
        <v>6.4999999999999997E-3</v>
      </c>
      <c r="I82" s="220">
        <v>-2.4500000000000001E-2</v>
      </c>
      <c r="J82" s="220">
        <v>-8.9999999999999998E-4</v>
      </c>
      <c r="K82" s="220">
        <v>2.3599999999999999E-2</v>
      </c>
      <c r="L82" s="220" t="s">
        <v>335</v>
      </c>
      <c r="M82" s="319" t="s">
        <v>354</v>
      </c>
      <c r="N82" s="319">
        <v>2</v>
      </c>
      <c r="O82" s="220">
        <v>0.8548</v>
      </c>
      <c r="P82" s="319">
        <v>3</v>
      </c>
      <c r="Q82" s="319">
        <v>5</v>
      </c>
      <c r="R82" s="483"/>
      <c r="S82" s="475"/>
    </row>
    <row r="83" spans="1:19" x14ac:dyDescent="0.3">
      <c r="A83" s="517"/>
      <c r="B83" s="479" t="s">
        <v>350</v>
      </c>
      <c r="C83" s="219" t="s">
        <v>323</v>
      </c>
      <c r="D83" s="220">
        <v>1.45</v>
      </c>
      <c r="E83" s="220">
        <v>0.31669999999999998</v>
      </c>
      <c r="F83" s="220">
        <v>-4.1700000000000001E-2</v>
      </c>
      <c r="G83" s="220">
        <v>-4.1599999999999998E-2</v>
      </c>
      <c r="H83" s="220">
        <v>1E-4</v>
      </c>
      <c r="I83" s="220">
        <v>-0.13170000000000001</v>
      </c>
      <c r="J83" s="220">
        <v>-2.87E-2</v>
      </c>
      <c r="K83" s="220">
        <v>0.10299999999999999</v>
      </c>
      <c r="L83" s="220" t="s">
        <v>335</v>
      </c>
      <c r="M83" s="319" t="s">
        <v>356</v>
      </c>
      <c r="N83" s="319" t="s">
        <v>439</v>
      </c>
      <c r="O83" s="220">
        <v>0.99939999999999996</v>
      </c>
      <c r="P83" s="319">
        <v>4</v>
      </c>
      <c r="Q83" s="319" t="s">
        <v>439</v>
      </c>
      <c r="R83" s="484"/>
      <c r="S83" s="481"/>
    </row>
    <row r="84" spans="1:19" x14ac:dyDescent="0.3">
      <c r="A84" s="517"/>
      <c r="B84" s="480" t="s">
        <v>351</v>
      </c>
      <c r="C84" s="219" t="s">
        <v>324</v>
      </c>
      <c r="D84" s="220">
        <v>1.45</v>
      </c>
      <c r="E84" s="220">
        <v>0.7</v>
      </c>
      <c r="F84" s="220">
        <v>-1.1900000000000001E-2</v>
      </c>
      <c r="G84" s="220">
        <v>-1.1000000000000001E-3</v>
      </c>
      <c r="H84" s="220">
        <v>1.0800000000000001E-2</v>
      </c>
      <c r="I84" s="220">
        <v>-1.7000000000000001E-2</v>
      </c>
      <c r="J84" s="220">
        <v>-6.9999999999999999E-4</v>
      </c>
      <c r="K84" s="220">
        <v>1.6199999999999999E-2</v>
      </c>
      <c r="L84" s="220" t="s">
        <v>335</v>
      </c>
      <c r="M84" s="319" t="s">
        <v>354</v>
      </c>
      <c r="N84" s="319">
        <v>2</v>
      </c>
      <c r="O84" s="220">
        <v>0.37380000000000002</v>
      </c>
      <c r="P84" s="319">
        <v>1</v>
      </c>
      <c r="Q84" s="319">
        <v>3</v>
      </c>
      <c r="R84" s="482" t="s">
        <v>439</v>
      </c>
      <c r="S84" s="334" t="s">
        <v>439</v>
      </c>
    </row>
    <row r="85" spans="1:19" x14ac:dyDescent="0.3">
      <c r="A85" s="517"/>
      <c r="B85" s="478" t="s">
        <v>351</v>
      </c>
      <c r="C85" s="219" t="s">
        <v>322</v>
      </c>
      <c r="D85" s="220">
        <v>1.45</v>
      </c>
      <c r="E85" s="220">
        <v>0.7</v>
      </c>
      <c r="F85" s="220">
        <v>-3.4599999999999999E-2</v>
      </c>
      <c r="G85" s="220">
        <v>-1.2999999999999999E-3</v>
      </c>
      <c r="H85" s="220">
        <v>3.3300000000000003E-2</v>
      </c>
      <c r="I85" s="220">
        <v>-4.9399999999999999E-2</v>
      </c>
      <c r="J85" s="220">
        <v>-8.9999999999999998E-4</v>
      </c>
      <c r="K85" s="220">
        <v>4.8599999999999997E-2</v>
      </c>
      <c r="L85" s="220" t="s">
        <v>335</v>
      </c>
      <c r="M85" s="319" t="s">
        <v>354</v>
      </c>
      <c r="N85" s="319">
        <v>2</v>
      </c>
      <c r="O85" s="220">
        <v>0.39179999999999998</v>
      </c>
      <c r="P85" s="319">
        <v>1</v>
      </c>
      <c r="Q85" s="319">
        <v>3</v>
      </c>
      <c r="R85" s="483"/>
      <c r="S85" s="475"/>
    </row>
    <row r="86" spans="1:19" x14ac:dyDescent="0.3">
      <c r="A86" s="517"/>
      <c r="B86" s="479" t="s">
        <v>351</v>
      </c>
      <c r="C86" s="219" t="s">
        <v>323</v>
      </c>
      <c r="D86" s="220">
        <v>1.45</v>
      </c>
      <c r="E86" s="220">
        <v>0.7</v>
      </c>
      <c r="F86" s="220">
        <v>-0.15</v>
      </c>
      <c r="G86" s="220">
        <v>-4.1599999999999998E-2</v>
      </c>
      <c r="H86" s="220">
        <v>0.1084</v>
      </c>
      <c r="I86" s="220">
        <v>-0.21429999999999999</v>
      </c>
      <c r="J86" s="220">
        <v>-2.87E-2</v>
      </c>
      <c r="K86" s="220">
        <v>0.18559999999999999</v>
      </c>
      <c r="L86" s="220" t="s">
        <v>335</v>
      </c>
      <c r="M86" s="319" t="s">
        <v>356</v>
      </c>
      <c r="N86" s="319" t="s">
        <v>439</v>
      </c>
      <c r="O86" s="220">
        <v>0.5837</v>
      </c>
      <c r="P86" s="319">
        <v>2</v>
      </c>
      <c r="Q86" s="319" t="s">
        <v>439</v>
      </c>
      <c r="R86" s="484"/>
      <c r="S86" s="481"/>
    </row>
    <row r="87" spans="1:19" x14ac:dyDescent="0.3">
      <c r="A87" s="517"/>
      <c r="B87" s="480" t="s">
        <v>352</v>
      </c>
      <c r="C87" s="219" t="s">
        <v>324</v>
      </c>
      <c r="D87" s="220">
        <v>1.45</v>
      </c>
      <c r="E87" s="220">
        <v>1.1167</v>
      </c>
      <c r="F87" s="220">
        <v>8.0000000000000002E-3</v>
      </c>
      <c r="G87" s="220">
        <v>-1.1000000000000001E-3</v>
      </c>
      <c r="H87" s="220">
        <v>-9.1000000000000004E-3</v>
      </c>
      <c r="I87" s="220">
        <v>7.1999999999999998E-3</v>
      </c>
      <c r="J87" s="220">
        <v>-6.9999999999999999E-4</v>
      </c>
      <c r="K87" s="220">
        <v>7.9000000000000008E-3</v>
      </c>
      <c r="L87" s="220" t="s">
        <v>333</v>
      </c>
      <c r="M87" s="319" t="s">
        <v>355</v>
      </c>
      <c r="N87" s="319">
        <v>1</v>
      </c>
      <c r="O87" s="220">
        <v>0.4884</v>
      </c>
      <c r="P87" s="319">
        <v>1</v>
      </c>
      <c r="Q87" s="319">
        <v>2</v>
      </c>
      <c r="R87" s="482" t="s">
        <v>439</v>
      </c>
      <c r="S87" s="334" t="s">
        <v>439</v>
      </c>
    </row>
    <row r="88" spans="1:19" x14ac:dyDescent="0.3">
      <c r="A88" s="517"/>
      <c r="B88" s="478" t="s">
        <v>352</v>
      </c>
      <c r="C88" s="219" t="s">
        <v>322</v>
      </c>
      <c r="D88" s="220">
        <v>1.45</v>
      </c>
      <c r="E88" s="220">
        <v>1.1167</v>
      </c>
      <c r="F88" s="220">
        <v>2.3900000000000001E-2</v>
      </c>
      <c r="G88" s="220">
        <v>-1.2999999999999999E-3</v>
      </c>
      <c r="H88" s="220">
        <v>-2.5100000000000001E-2</v>
      </c>
      <c r="I88" s="220">
        <v>2.1399999999999999E-2</v>
      </c>
      <c r="J88" s="220">
        <v>-8.9999999999999998E-4</v>
      </c>
      <c r="K88" s="220">
        <v>2.23E-2</v>
      </c>
      <c r="L88" s="220" t="s">
        <v>333</v>
      </c>
      <c r="M88" s="319" t="s">
        <v>355</v>
      </c>
      <c r="N88" s="319">
        <v>1</v>
      </c>
      <c r="O88" s="220">
        <v>0.57769999999999999</v>
      </c>
      <c r="P88" s="319">
        <v>2</v>
      </c>
      <c r="Q88" s="319">
        <v>3</v>
      </c>
      <c r="R88" s="483"/>
      <c r="S88" s="475"/>
    </row>
    <row r="89" spans="1:19" ht="15" thickBot="1" x14ac:dyDescent="0.35">
      <c r="A89" s="518"/>
      <c r="B89" s="505" t="s">
        <v>352</v>
      </c>
      <c r="C89" s="223" t="s">
        <v>323</v>
      </c>
      <c r="D89" s="224">
        <v>1.45</v>
      </c>
      <c r="E89" s="224">
        <v>1.1167</v>
      </c>
      <c r="F89" s="224">
        <v>0.1</v>
      </c>
      <c r="G89" s="224">
        <v>-4.1599999999999998E-2</v>
      </c>
      <c r="H89" s="224">
        <v>-0.1416</v>
      </c>
      <c r="I89" s="224">
        <v>8.9499999999999996E-2</v>
      </c>
      <c r="J89" s="224">
        <v>-2.87E-2</v>
      </c>
      <c r="K89" s="224">
        <v>0.1182</v>
      </c>
      <c r="L89" s="224" t="s">
        <v>333</v>
      </c>
      <c r="M89" s="322" t="s">
        <v>356</v>
      </c>
      <c r="N89" s="322" t="s">
        <v>439</v>
      </c>
      <c r="O89" s="224">
        <v>0.5423</v>
      </c>
      <c r="P89" s="322">
        <v>2</v>
      </c>
      <c r="Q89" s="322" t="s">
        <v>439</v>
      </c>
      <c r="R89" s="506"/>
      <c r="S89" s="476"/>
    </row>
    <row r="90" spans="1:19" x14ac:dyDescent="0.3">
      <c r="A90" s="522" t="s">
        <v>370</v>
      </c>
      <c r="B90" s="496" t="s">
        <v>430</v>
      </c>
      <c r="C90" s="508" t="s">
        <v>324</v>
      </c>
      <c r="D90" s="509">
        <v>0.22450000000000001</v>
      </c>
      <c r="E90" s="509">
        <v>0.22450000000000001</v>
      </c>
      <c r="F90" s="509">
        <v>-3.3999999999999998E-3</v>
      </c>
      <c r="G90" s="509">
        <v>-9.5999999999999992E-3</v>
      </c>
      <c r="H90" s="509">
        <v>-6.1999999999999998E-3</v>
      </c>
      <c r="I90" s="509">
        <v>-1.4999999999999999E-2</v>
      </c>
      <c r="J90" s="509">
        <v>-4.2799999999999998E-2</v>
      </c>
      <c r="K90" s="509">
        <v>2.7799999999999998E-2</v>
      </c>
      <c r="L90" s="509" t="s">
        <v>335</v>
      </c>
      <c r="M90" s="499" t="s">
        <v>354</v>
      </c>
      <c r="N90" s="499">
        <v>2</v>
      </c>
      <c r="O90" s="509">
        <v>0.32150000000000001</v>
      </c>
      <c r="P90" s="499">
        <v>1</v>
      </c>
      <c r="Q90" s="499">
        <v>3</v>
      </c>
      <c r="R90" s="500">
        <v>6</v>
      </c>
      <c r="S90" s="501">
        <v>2</v>
      </c>
    </row>
    <row r="91" spans="1:19" x14ac:dyDescent="0.3">
      <c r="A91" s="523"/>
      <c r="B91" s="490" t="s">
        <v>430</v>
      </c>
      <c r="C91" s="494" t="s">
        <v>322</v>
      </c>
      <c r="D91" s="495">
        <v>0.2157</v>
      </c>
      <c r="E91" s="495">
        <v>0.2157</v>
      </c>
      <c r="F91" s="495">
        <v>-1.06E-2</v>
      </c>
      <c r="G91" s="495">
        <v>-2.7E-2</v>
      </c>
      <c r="H91" s="495">
        <v>-1.6400000000000001E-2</v>
      </c>
      <c r="I91" s="495">
        <v>-4.9299999999999997E-2</v>
      </c>
      <c r="J91" s="495">
        <v>-0.12509999999999999</v>
      </c>
      <c r="K91" s="495">
        <v>7.5899999999999995E-2</v>
      </c>
      <c r="L91" s="495" t="s">
        <v>335</v>
      </c>
      <c r="M91" s="488" t="s">
        <v>336</v>
      </c>
      <c r="N91" s="488">
        <v>0</v>
      </c>
      <c r="O91" s="495">
        <v>0.32419999999999999</v>
      </c>
      <c r="P91" s="488">
        <v>1</v>
      </c>
      <c r="Q91" s="488">
        <v>1</v>
      </c>
      <c r="R91" s="491"/>
      <c r="S91" s="502"/>
    </row>
    <row r="92" spans="1:19" x14ac:dyDescent="0.3">
      <c r="A92" s="523"/>
      <c r="B92" s="492" t="s">
        <v>430</v>
      </c>
      <c r="C92" s="494" t="s">
        <v>323</v>
      </c>
      <c r="D92" s="495">
        <v>0.2056</v>
      </c>
      <c r="E92" s="495">
        <v>0.18329999999999999</v>
      </c>
      <c r="F92" s="495">
        <v>-5.8299999999999998E-2</v>
      </c>
      <c r="G92" s="495">
        <v>-7.7799999999999994E-2</v>
      </c>
      <c r="H92" s="495">
        <v>-1.95E-2</v>
      </c>
      <c r="I92" s="495">
        <v>-0.318</v>
      </c>
      <c r="J92" s="495">
        <v>-0.3785</v>
      </c>
      <c r="K92" s="495">
        <v>6.0499999999999998E-2</v>
      </c>
      <c r="L92" s="495" t="s">
        <v>335</v>
      </c>
      <c r="M92" s="488" t="s">
        <v>336</v>
      </c>
      <c r="N92" s="488">
        <v>0</v>
      </c>
      <c r="O92" s="495">
        <v>0.69279999999999997</v>
      </c>
      <c r="P92" s="488">
        <v>2</v>
      </c>
      <c r="Q92" s="488">
        <v>2</v>
      </c>
      <c r="R92" s="493"/>
      <c r="S92" s="503"/>
    </row>
    <row r="93" spans="1:19" x14ac:dyDescent="0.3">
      <c r="A93" s="523"/>
      <c r="B93" s="480" t="s">
        <v>424</v>
      </c>
      <c r="C93" s="219" t="s">
        <v>324</v>
      </c>
      <c r="D93" s="220">
        <v>0.22450000000000001</v>
      </c>
      <c r="E93" s="220">
        <v>0.1633</v>
      </c>
      <c r="F93" s="220">
        <v>1.2999999999999999E-3</v>
      </c>
      <c r="G93" s="220">
        <v>-9.5999999999999992E-3</v>
      </c>
      <c r="H93" s="220">
        <v>-1.09E-2</v>
      </c>
      <c r="I93" s="220">
        <v>8.0999999999999996E-3</v>
      </c>
      <c r="J93" s="220">
        <v>-4.2799999999999998E-2</v>
      </c>
      <c r="K93" s="220">
        <v>5.0900000000000001E-2</v>
      </c>
      <c r="L93" s="220" t="s">
        <v>333</v>
      </c>
      <c r="M93" s="319" t="s">
        <v>334</v>
      </c>
      <c r="N93" s="319">
        <v>0</v>
      </c>
      <c r="O93" s="220">
        <v>6.9500000000000006E-2</v>
      </c>
      <c r="P93" s="319" t="s">
        <v>439</v>
      </c>
      <c r="Q93" s="319" t="s">
        <v>439</v>
      </c>
      <c r="R93" s="482" t="s">
        <v>439</v>
      </c>
      <c r="S93" s="334" t="s">
        <v>439</v>
      </c>
    </row>
    <row r="94" spans="1:19" x14ac:dyDescent="0.3">
      <c r="A94" s="523"/>
      <c r="B94" s="478" t="s">
        <v>424</v>
      </c>
      <c r="C94" s="219" t="s">
        <v>322</v>
      </c>
      <c r="D94" s="220">
        <v>0.2157</v>
      </c>
      <c r="E94" s="220">
        <v>0.15690000000000001</v>
      </c>
      <c r="F94" s="220">
        <v>8.0000000000000004E-4</v>
      </c>
      <c r="G94" s="220">
        <v>-2.7E-2</v>
      </c>
      <c r="H94" s="220">
        <v>-2.7799999999999998E-2</v>
      </c>
      <c r="I94" s="220">
        <v>5.1000000000000004E-3</v>
      </c>
      <c r="J94" s="220">
        <v>-0.12509999999999999</v>
      </c>
      <c r="K94" s="220">
        <v>0.1303</v>
      </c>
      <c r="L94" s="220" t="s">
        <v>333</v>
      </c>
      <c r="M94" s="319" t="s">
        <v>356</v>
      </c>
      <c r="N94" s="319" t="s">
        <v>439</v>
      </c>
      <c r="O94" s="220">
        <v>0.1074</v>
      </c>
      <c r="P94" s="319">
        <v>0</v>
      </c>
      <c r="Q94" s="319" t="s">
        <v>439</v>
      </c>
      <c r="R94" s="483"/>
      <c r="S94" s="475"/>
    </row>
    <row r="95" spans="1:19" x14ac:dyDescent="0.3">
      <c r="A95" s="523"/>
      <c r="B95" s="479" t="s">
        <v>424</v>
      </c>
      <c r="C95" s="219" t="s">
        <v>323</v>
      </c>
      <c r="D95" s="220">
        <v>0.2056</v>
      </c>
      <c r="E95" s="220">
        <v>0.16669999999999999</v>
      </c>
      <c r="F95" s="220">
        <v>1.66E-2</v>
      </c>
      <c r="G95" s="220">
        <v>-7.7799999999999994E-2</v>
      </c>
      <c r="H95" s="220">
        <v>-9.4399999999999998E-2</v>
      </c>
      <c r="I95" s="220">
        <v>9.98E-2</v>
      </c>
      <c r="J95" s="220">
        <v>-0.3785</v>
      </c>
      <c r="K95" s="220">
        <v>0.4783</v>
      </c>
      <c r="L95" s="220" t="s">
        <v>333</v>
      </c>
      <c r="M95" s="319" t="s">
        <v>356</v>
      </c>
      <c r="N95" s="319" t="s">
        <v>439</v>
      </c>
      <c r="O95" s="220">
        <v>0.11360000000000001</v>
      </c>
      <c r="P95" s="319">
        <v>0</v>
      </c>
      <c r="Q95" s="319" t="s">
        <v>439</v>
      </c>
      <c r="R95" s="484"/>
      <c r="S95" s="481"/>
    </row>
    <row r="96" spans="1:19" x14ac:dyDescent="0.3">
      <c r="A96" s="523"/>
      <c r="B96" s="480" t="s">
        <v>422</v>
      </c>
      <c r="C96" s="219" t="s">
        <v>324</v>
      </c>
      <c r="D96" s="220">
        <v>0.22450000000000001</v>
      </c>
      <c r="E96" s="220">
        <v>0.51019999999999999</v>
      </c>
      <c r="F96" s="220">
        <v>1.2500000000000001E-2</v>
      </c>
      <c r="G96" s="220">
        <v>-9.5999999999999992E-3</v>
      </c>
      <c r="H96" s="220">
        <v>-2.2200000000000001E-2</v>
      </c>
      <c r="I96" s="220">
        <v>2.46E-2</v>
      </c>
      <c r="J96" s="220">
        <v>-4.2799999999999998E-2</v>
      </c>
      <c r="K96" s="220">
        <v>6.7400000000000002E-2</v>
      </c>
      <c r="L96" s="220" t="s">
        <v>333</v>
      </c>
      <c r="M96" s="319" t="s">
        <v>334</v>
      </c>
      <c r="N96" s="319">
        <v>0</v>
      </c>
      <c r="O96" s="220">
        <v>2.63E-2</v>
      </c>
      <c r="P96" s="319" t="s">
        <v>439</v>
      </c>
      <c r="Q96" s="319" t="s">
        <v>439</v>
      </c>
      <c r="R96" s="482" t="s">
        <v>439</v>
      </c>
      <c r="S96" s="334" t="s">
        <v>439</v>
      </c>
    </row>
    <row r="97" spans="1:19" x14ac:dyDescent="0.3">
      <c r="A97" s="523"/>
      <c r="B97" s="478" t="s">
        <v>422</v>
      </c>
      <c r="C97" s="219" t="s">
        <v>322</v>
      </c>
      <c r="D97" s="220">
        <v>0.2157</v>
      </c>
      <c r="E97" s="220">
        <v>0.50980000000000003</v>
      </c>
      <c r="F97" s="220">
        <v>3.1899999999999998E-2</v>
      </c>
      <c r="G97" s="220">
        <v>-2.7E-2</v>
      </c>
      <c r="H97" s="220">
        <v>-5.8900000000000001E-2</v>
      </c>
      <c r="I97" s="220">
        <v>6.2600000000000003E-2</v>
      </c>
      <c r="J97" s="220">
        <v>-0.12509999999999999</v>
      </c>
      <c r="K97" s="220">
        <v>0.18779999999999999</v>
      </c>
      <c r="L97" s="220" t="s">
        <v>333</v>
      </c>
      <c r="M97" s="319" t="s">
        <v>356</v>
      </c>
      <c r="N97" s="319" t="s">
        <v>439</v>
      </c>
      <c r="O97" s="220">
        <v>2.7799999999999998E-2</v>
      </c>
      <c r="P97" s="319" t="s">
        <v>439</v>
      </c>
      <c r="Q97" s="319" t="s">
        <v>439</v>
      </c>
      <c r="R97" s="483"/>
      <c r="S97" s="475"/>
    </row>
    <row r="98" spans="1:19" x14ac:dyDescent="0.3">
      <c r="A98" s="523"/>
      <c r="B98" s="479" t="s">
        <v>422</v>
      </c>
      <c r="C98" s="219" t="s">
        <v>323</v>
      </c>
      <c r="D98" s="220">
        <v>0.2056</v>
      </c>
      <c r="E98" s="220">
        <v>0.51670000000000005</v>
      </c>
      <c r="F98" s="220">
        <v>0.10009999999999999</v>
      </c>
      <c r="G98" s="220">
        <v>-7.7799999999999994E-2</v>
      </c>
      <c r="H98" s="220">
        <v>-0.1779</v>
      </c>
      <c r="I98" s="220">
        <v>0.19370000000000001</v>
      </c>
      <c r="J98" s="220">
        <v>-0.3785</v>
      </c>
      <c r="K98" s="220">
        <v>0.57220000000000004</v>
      </c>
      <c r="L98" s="220" t="s">
        <v>333</v>
      </c>
      <c r="M98" s="319" t="s">
        <v>356</v>
      </c>
      <c r="N98" s="319" t="s">
        <v>439</v>
      </c>
      <c r="O98" s="220">
        <v>0.14949999999999999</v>
      </c>
      <c r="P98" s="319">
        <v>0</v>
      </c>
      <c r="Q98" s="319" t="s">
        <v>439</v>
      </c>
      <c r="R98" s="484"/>
      <c r="S98" s="481"/>
    </row>
    <row r="99" spans="1:19" x14ac:dyDescent="0.3">
      <c r="A99" s="523"/>
      <c r="B99" s="480" t="s">
        <v>414</v>
      </c>
      <c r="C99" s="219" t="s">
        <v>324</v>
      </c>
      <c r="D99" s="220">
        <v>0.22450000000000001</v>
      </c>
      <c r="E99" s="220">
        <v>6.1199999999999997E-2</v>
      </c>
      <c r="F99" s="220">
        <v>5.0000000000000001E-4</v>
      </c>
      <c r="G99" s="220">
        <v>-9.5999999999999992E-3</v>
      </c>
      <c r="H99" s="220">
        <v>-1.01E-2</v>
      </c>
      <c r="I99" s="220">
        <v>8.3999999999999995E-3</v>
      </c>
      <c r="J99" s="220">
        <v>-4.2799999999999998E-2</v>
      </c>
      <c r="K99" s="220">
        <v>5.1200000000000002E-2</v>
      </c>
      <c r="L99" s="220" t="s">
        <v>333</v>
      </c>
      <c r="M99" s="319" t="s">
        <v>334</v>
      </c>
      <c r="N99" s="319">
        <v>0</v>
      </c>
      <c r="O99" s="220">
        <v>5.4600000000000003E-2</v>
      </c>
      <c r="P99" s="319" t="s">
        <v>439</v>
      </c>
      <c r="Q99" s="319" t="s">
        <v>439</v>
      </c>
      <c r="R99" s="482" t="s">
        <v>439</v>
      </c>
      <c r="S99" s="334" t="s">
        <v>439</v>
      </c>
    </row>
    <row r="100" spans="1:19" x14ac:dyDescent="0.3">
      <c r="A100" s="523"/>
      <c r="B100" s="478" t="s">
        <v>414</v>
      </c>
      <c r="C100" s="219" t="s">
        <v>322</v>
      </c>
      <c r="D100" s="220">
        <v>0.2157</v>
      </c>
      <c r="E100" s="220">
        <v>9.8000000000000004E-2</v>
      </c>
      <c r="F100" s="220">
        <v>1.3899999999999999E-2</v>
      </c>
      <c r="G100" s="220">
        <v>-2.7E-2</v>
      </c>
      <c r="H100" s="220">
        <v>-4.0899999999999999E-2</v>
      </c>
      <c r="I100" s="220">
        <v>0.1419</v>
      </c>
      <c r="J100" s="220">
        <v>-0.12509999999999999</v>
      </c>
      <c r="K100" s="220">
        <v>0.26700000000000002</v>
      </c>
      <c r="L100" s="220" t="s">
        <v>333</v>
      </c>
      <c r="M100" s="319" t="s">
        <v>356</v>
      </c>
      <c r="N100" s="319" t="s">
        <v>439</v>
      </c>
      <c r="O100" s="220">
        <v>5.0000000000000001E-3</v>
      </c>
      <c r="P100" s="319" t="s">
        <v>439</v>
      </c>
      <c r="Q100" s="319" t="s">
        <v>439</v>
      </c>
      <c r="R100" s="483"/>
      <c r="S100" s="475"/>
    </row>
    <row r="101" spans="1:19" x14ac:dyDescent="0.3">
      <c r="A101" s="523"/>
      <c r="B101" s="479" t="s">
        <v>414</v>
      </c>
      <c r="C101" s="219" t="s">
        <v>323</v>
      </c>
      <c r="D101" s="220">
        <v>0.2056</v>
      </c>
      <c r="E101" s="220">
        <v>0.1167</v>
      </c>
      <c r="F101" s="220">
        <v>5.8299999999999998E-2</v>
      </c>
      <c r="G101" s="220">
        <v>-7.7799999999999994E-2</v>
      </c>
      <c r="H101" s="220">
        <v>-0.1361</v>
      </c>
      <c r="I101" s="220">
        <v>0.50009999999999999</v>
      </c>
      <c r="J101" s="220">
        <v>-0.3785</v>
      </c>
      <c r="K101" s="220">
        <v>0.87860000000000005</v>
      </c>
      <c r="L101" s="220" t="s">
        <v>333</v>
      </c>
      <c r="M101" s="319" t="s">
        <v>356</v>
      </c>
      <c r="N101" s="319" t="s">
        <v>439</v>
      </c>
      <c r="O101" s="220">
        <v>1.9199999999999998E-2</v>
      </c>
      <c r="P101" s="319" t="s">
        <v>439</v>
      </c>
      <c r="Q101" s="319" t="s">
        <v>439</v>
      </c>
      <c r="R101" s="484"/>
      <c r="S101" s="481"/>
    </row>
    <row r="102" spans="1:19" x14ac:dyDescent="0.3">
      <c r="A102" s="523"/>
      <c r="B102" s="480" t="s">
        <v>426</v>
      </c>
      <c r="C102" s="219" t="s">
        <v>324</v>
      </c>
      <c r="D102" s="220">
        <v>0.22450000000000001</v>
      </c>
      <c r="E102" s="220">
        <v>8.1600000000000006E-2</v>
      </c>
      <c r="F102" s="220">
        <v>5.9999999999999995E-4</v>
      </c>
      <c r="G102" s="220">
        <v>-9.5999999999999992E-3</v>
      </c>
      <c r="H102" s="220">
        <v>-1.0200000000000001E-2</v>
      </c>
      <c r="I102" s="220">
        <v>7.4999999999999997E-3</v>
      </c>
      <c r="J102" s="220">
        <v>-4.2799999999999998E-2</v>
      </c>
      <c r="K102" s="220">
        <v>5.0299999999999997E-2</v>
      </c>
      <c r="L102" s="220" t="s">
        <v>333</v>
      </c>
      <c r="M102" s="319" t="s">
        <v>334</v>
      </c>
      <c r="N102" s="319">
        <v>0</v>
      </c>
      <c r="O102" s="220">
        <v>6.0400000000000002E-2</v>
      </c>
      <c r="P102" s="319" t="s">
        <v>439</v>
      </c>
      <c r="Q102" s="319" t="s">
        <v>439</v>
      </c>
      <c r="R102" s="482" t="s">
        <v>439</v>
      </c>
      <c r="S102" s="334" t="s">
        <v>439</v>
      </c>
    </row>
    <row r="103" spans="1:19" x14ac:dyDescent="0.3">
      <c r="A103" s="523"/>
      <c r="B103" s="478" t="s">
        <v>426</v>
      </c>
      <c r="C103" s="219" t="s">
        <v>322</v>
      </c>
      <c r="D103" s="220">
        <v>0.2157</v>
      </c>
      <c r="E103" s="220">
        <v>7.8399999999999997E-2</v>
      </c>
      <c r="F103" s="220">
        <v>0</v>
      </c>
      <c r="G103" s="220">
        <v>-2.7E-2</v>
      </c>
      <c r="H103" s="220">
        <v>-2.7E-2</v>
      </c>
      <c r="I103" s="220">
        <v>2.0000000000000001E-4</v>
      </c>
      <c r="J103" s="220">
        <v>-0.12509999999999999</v>
      </c>
      <c r="K103" s="220">
        <v>0.12529999999999999</v>
      </c>
      <c r="L103" s="220" t="s">
        <v>333</v>
      </c>
      <c r="M103" s="319" t="s">
        <v>356</v>
      </c>
      <c r="N103" s="319" t="s">
        <v>439</v>
      </c>
      <c r="O103" s="220">
        <v>5.7299999999999997E-2</v>
      </c>
      <c r="P103" s="319" t="s">
        <v>439</v>
      </c>
      <c r="Q103" s="319" t="s">
        <v>439</v>
      </c>
      <c r="R103" s="483"/>
      <c r="S103" s="475"/>
    </row>
    <row r="104" spans="1:19" x14ac:dyDescent="0.3">
      <c r="A104" s="523"/>
      <c r="B104" s="479" t="s">
        <v>426</v>
      </c>
      <c r="C104" s="219" t="s">
        <v>323</v>
      </c>
      <c r="D104" s="220">
        <v>0.2056</v>
      </c>
      <c r="E104" s="220">
        <v>6.6699999999999995E-2</v>
      </c>
      <c r="F104" s="220">
        <v>-8.3000000000000001E-3</v>
      </c>
      <c r="G104" s="220">
        <v>-7.7799999999999994E-2</v>
      </c>
      <c r="H104" s="220">
        <v>-6.9500000000000006E-2</v>
      </c>
      <c r="I104" s="220">
        <v>-0.12470000000000001</v>
      </c>
      <c r="J104" s="220">
        <v>-0.3785</v>
      </c>
      <c r="K104" s="220">
        <v>0.25380000000000003</v>
      </c>
      <c r="L104" s="220" t="s">
        <v>335</v>
      </c>
      <c r="M104" s="319" t="s">
        <v>356</v>
      </c>
      <c r="N104" s="319" t="s">
        <v>439</v>
      </c>
      <c r="O104" s="220">
        <v>7.0900000000000005E-2</v>
      </c>
      <c r="P104" s="319" t="s">
        <v>439</v>
      </c>
      <c r="Q104" s="319" t="s">
        <v>439</v>
      </c>
      <c r="R104" s="484"/>
      <c r="S104" s="481"/>
    </row>
    <row r="105" spans="1:19" x14ac:dyDescent="0.3">
      <c r="A105" s="523"/>
      <c r="B105" s="485" t="s">
        <v>412</v>
      </c>
      <c r="C105" s="494" t="s">
        <v>324</v>
      </c>
      <c r="D105" s="495">
        <v>0.22450000000000001</v>
      </c>
      <c r="E105" s="495">
        <v>0.24490000000000001</v>
      </c>
      <c r="F105" s="495">
        <v>-3.5000000000000001E-3</v>
      </c>
      <c r="G105" s="495">
        <v>-9.5999999999999992E-3</v>
      </c>
      <c r="H105" s="495">
        <v>-6.1000000000000004E-3</v>
      </c>
      <c r="I105" s="495">
        <v>-1.4200000000000001E-2</v>
      </c>
      <c r="J105" s="495">
        <v>-4.2799999999999998E-2</v>
      </c>
      <c r="K105" s="495">
        <v>2.86E-2</v>
      </c>
      <c r="L105" s="495" t="s">
        <v>335</v>
      </c>
      <c r="M105" s="488" t="s">
        <v>354</v>
      </c>
      <c r="N105" s="488">
        <v>2</v>
      </c>
      <c r="O105" s="495">
        <v>0.38340000000000002</v>
      </c>
      <c r="P105" s="488">
        <v>1</v>
      </c>
      <c r="Q105" s="488">
        <v>3</v>
      </c>
      <c r="R105" s="489">
        <v>7</v>
      </c>
      <c r="S105" s="504">
        <v>1</v>
      </c>
    </row>
    <row r="106" spans="1:19" x14ac:dyDescent="0.3">
      <c r="A106" s="523"/>
      <c r="B106" s="490" t="s">
        <v>412</v>
      </c>
      <c r="C106" s="494" t="s">
        <v>322</v>
      </c>
      <c r="D106" s="495">
        <v>0.2157</v>
      </c>
      <c r="E106" s="495">
        <v>0.23530000000000001</v>
      </c>
      <c r="F106" s="495">
        <v>-1.2200000000000001E-2</v>
      </c>
      <c r="G106" s="495">
        <v>-2.7E-2</v>
      </c>
      <c r="H106" s="495">
        <v>-1.4800000000000001E-2</v>
      </c>
      <c r="I106" s="495">
        <v>-5.1999999999999998E-2</v>
      </c>
      <c r="J106" s="495">
        <v>-0.12509999999999999</v>
      </c>
      <c r="K106" s="495">
        <v>7.3200000000000001E-2</v>
      </c>
      <c r="L106" s="495" t="s">
        <v>335</v>
      </c>
      <c r="M106" s="488" t="s">
        <v>336</v>
      </c>
      <c r="N106" s="488">
        <v>0</v>
      </c>
      <c r="O106" s="495">
        <v>0.48670000000000002</v>
      </c>
      <c r="P106" s="488">
        <v>1</v>
      </c>
      <c r="Q106" s="488">
        <v>1</v>
      </c>
      <c r="R106" s="491"/>
      <c r="S106" s="502"/>
    </row>
    <row r="107" spans="1:19" x14ac:dyDescent="0.3">
      <c r="A107" s="523"/>
      <c r="B107" s="492" t="s">
        <v>412</v>
      </c>
      <c r="C107" s="494" t="s">
        <v>323</v>
      </c>
      <c r="D107" s="495">
        <v>0.2056</v>
      </c>
      <c r="E107" s="495">
        <v>0.2</v>
      </c>
      <c r="F107" s="495">
        <v>-5.8299999999999998E-2</v>
      </c>
      <c r="G107" s="495">
        <v>-7.7799999999999994E-2</v>
      </c>
      <c r="H107" s="495">
        <v>-1.95E-2</v>
      </c>
      <c r="I107" s="495">
        <v>-0.29149999999999998</v>
      </c>
      <c r="J107" s="495">
        <v>-0.3785</v>
      </c>
      <c r="K107" s="495">
        <v>8.6999999999999994E-2</v>
      </c>
      <c r="L107" s="495" t="s">
        <v>335</v>
      </c>
      <c r="M107" s="488" t="s">
        <v>336</v>
      </c>
      <c r="N107" s="488">
        <v>0</v>
      </c>
      <c r="O107" s="495">
        <v>0.74319999999999997</v>
      </c>
      <c r="P107" s="488">
        <v>3</v>
      </c>
      <c r="Q107" s="488">
        <v>3</v>
      </c>
      <c r="R107" s="493"/>
      <c r="S107" s="503"/>
    </row>
    <row r="108" spans="1:19" x14ac:dyDescent="0.3">
      <c r="A108" s="523"/>
      <c r="B108" s="480" t="s">
        <v>418</v>
      </c>
      <c r="C108" s="219" t="s">
        <v>324</v>
      </c>
      <c r="D108" s="220">
        <v>0.22450000000000001</v>
      </c>
      <c r="E108" s="220">
        <v>0.1633</v>
      </c>
      <c r="F108" s="220">
        <v>4.8999999999999998E-3</v>
      </c>
      <c r="G108" s="220">
        <v>-9.5999999999999992E-3</v>
      </c>
      <c r="H108" s="220">
        <v>-1.4500000000000001E-2</v>
      </c>
      <c r="I108" s="220">
        <v>3.0099999999999998E-2</v>
      </c>
      <c r="J108" s="220">
        <v>-4.2799999999999998E-2</v>
      </c>
      <c r="K108" s="220">
        <v>7.2900000000000006E-2</v>
      </c>
      <c r="L108" s="220" t="s">
        <v>333</v>
      </c>
      <c r="M108" s="319" t="s">
        <v>334</v>
      </c>
      <c r="N108" s="319">
        <v>0</v>
      </c>
      <c r="O108" s="220">
        <v>1.5900000000000001E-2</v>
      </c>
      <c r="P108" s="319" t="s">
        <v>439</v>
      </c>
      <c r="Q108" s="319" t="s">
        <v>439</v>
      </c>
      <c r="R108" s="482" t="s">
        <v>439</v>
      </c>
      <c r="S108" s="334" t="s">
        <v>439</v>
      </c>
    </row>
    <row r="109" spans="1:19" x14ac:dyDescent="0.3">
      <c r="A109" s="523"/>
      <c r="B109" s="478" t="s">
        <v>418</v>
      </c>
      <c r="C109" s="219" t="s">
        <v>322</v>
      </c>
      <c r="D109" s="220">
        <v>0.2157</v>
      </c>
      <c r="E109" s="220">
        <v>0.15690000000000001</v>
      </c>
      <c r="F109" s="220">
        <v>1.14E-2</v>
      </c>
      <c r="G109" s="220">
        <v>-2.7E-2</v>
      </c>
      <c r="H109" s="220">
        <v>-3.8399999999999997E-2</v>
      </c>
      <c r="I109" s="220">
        <v>7.2999999999999995E-2</v>
      </c>
      <c r="J109" s="220">
        <v>-0.12509999999999999</v>
      </c>
      <c r="K109" s="220">
        <v>0.1981</v>
      </c>
      <c r="L109" s="220" t="s">
        <v>333</v>
      </c>
      <c r="M109" s="319" t="s">
        <v>356</v>
      </c>
      <c r="N109" s="319" t="s">
        <v>439</v>
      </c>
      <c r="O109" s="220">
        <v>5.1999999999999998E-3</v>
      </c>
      <c r="P109" s="319" t="s">
        <v>439</v>
      </c>
      <c r="Q109" s="319" t="s">
        <v>439</v>
      </c>
      <c r="R109" s="483"/>
      <c r="S109" s="475"/>
    </row>
    <row r="110" spans="1:19" x14ac:dyDescent="0.3">
      <c r="A110" s="523"/>
      <c r="B110" s="479" t="s">
        <v>418</v>
      </c>
      <c r="C110" s="219" t="s">
        <v>323</v>
      </c>
      <c r="D110" s="220">
        <v>0.2056</v>
      </c>
      <c r="E110" s="220">
        <v>0.15</v>
      </c>
      <c r="F110" s="220">
        <v>2.5000000000000001E-2</v>
      </c>
      <c r="G110" s="220">
        <v>-7.7799999999999994E-2</v>
      </c>
      <c r="H110" s="220">
        <v>-0.1028</v>
      </c>
      <c r="I110" s="220">
        <v>0.16669999999999999</v>
      </c>
      <c r="J110" s="220">
        <v>-0.3785</v>
      </c>
      <c r="K110" s="220">
        <v>0.54520000000000002</v>
      </c>
      <c r="L110" s="220" t="s">
        <v>333</v>
      </c>
      <c r="M110" s="319" t="s">
        <v>356</v>
      </c>
      <c r="N110" s="319" t="s">
        <v>439</v>
      </c>
      <c r="O110" s="220">
        <v>1.15E-2</v>
      </c>
      <c r="P110" s="319" t="s">
        <v>439</v>
      </c>
      <c r="Q110" s="319" t="s">
        <v>439</v>
      </c>
      <c r="R110" s="484"/>
      <c r="S110" s="481"/>
    </row>
    <row r="111" spans="1:19" x14ac:dyDescent="0.3">
      <c r="A111" s="523"/>
      <c r="B111" s="480" t="s">
        <v>428</v>
      </c>
      <c r="C111" s="219" t="s">
        <v>324</v>
      </c>
      <c r="D111" s="220">
        <v>0.22450000000000001</v>
      </c>
      <c r="E111" s="220">
        <v>0.1429</v>
      </c>
      <c r="F111" s="220">
        <v>8.5000000000000006E-3</v>
      </c>
      <c r="G111" s="220">
        <v>-9.5999999999999992E-3</v>
      </c>
      <c r="H111" s="220">
        <v>-1.8100000000000002E-2</v>
      </c>
      <c r="I111" s="220">
        <v>5.9299999999999999E-2</v>
      </c>
      <c r="J111" s="220">
        <v>-4.2799999999999998E-2</v>
      </c>
      <c r="K111" s="220">
        <v>0.1021</v>
      </c>
      <c r="L111" s="220" t="s">
        <v>333</v>
      </c>
      <c r="M111" s="319" t="s">
        <v>356</v>
      </c>
      <c r="N111" s="319" t="s">
        <v>439</v>
      </c>
      <c r="O111" s="220">
        <v>3.7000000000000002E-3</v>
      </c>
      <c r="P111" s="319" t="s">
        <v>439</v>
      </c>
      <c r="Q111" s="319" t="s">
        <v>439</v>
      </c>
      <c r="R111" s="482" t="s">
        <v>439</v>
      </c>
      <c r="S111" s="334" t="s">
        <v>439</v>
      </c>
    </row>
    <row r="112" spans="1:19" x14ac:dyDescent="0.3">
      <c r="A112" s="523"/>
      <c r="B112" s="478" t="s">
        <v>428</v>
      </c>
      <c r="C112" s="219" t="s">
        <v>322</v>
      </c>
      <c r="D112" s="220">
        <v>0.2157</v>
      </c>
      <c r="E112" s="220">
        <v>0.13730000000000001</v>
      </c>
      <c r="F112" s="220">
        <v>2.1299999999999999E-2</v>
      </c>
      <c r="G112" s="220">
        <v>-2.7E-2</v>
      </c>
      <c r="H112" s="220">
        <v>-4.82E-2</v>
      </c>
      <c r="I112" s="220">
        <v>0.15479999999999999</v>
      </c>
      <c r="J112" s="220">
        <v>-0.12509999999999999</v>
      </c>
      <c r="K112" s="220">
        <v>0.28000000000000003</v>
      </c>
      <c r="L112" s="220" t="s">
        <v>333</v>
      </c>
      <c r="M112" s="319" t="s">
        <v>356</v>
      </c>
      <c r="N112" s="319" t="s">
        <v>439</v>
      </c>
      <c r="O112" s="220">
        <v>2.3999999999999998E-3</v>
      </c>
      <c r="P112" s="319" t="s">
        <v>439</v>
      </c>
      <c r="Q112" s="319" t="s">
        <v>439</v>
      </c>
      <c r="R112" s="483"/>
      <c r="S112" s="475"/>
    </row>
    <row r="113" spans="1:19" x14ac:dyDescent="0.3">
      <c r="A113" s="523"/>
      <c r="B113" s="479" t="s">
        <v>428</v>
      </c>
      <c r="C113" s="219" t="s">
        <v>323</v>
      </c>
      <c r="D113" s="220">
        <v>0.2056</v>
      </c>
      <c r="E113" s="220">
        <v>0.1333</v>
      </c>
      <c r="F113" s="220">
        <v>0.05</v>
      </c>
      <c r="G113" s="220">
        <v>-7.7799999999999994E-2</v>
      </c>
      <c r="H113" s="220">
        <v>-0.1278</v>
      </c>
      <c r="I113" s="220">
        <v>0.37509999999999999</v>
      </c>
      <c r="J113" s="220">
        <v>-0.3785</v>
      </c>
      <c r="K113" s="220">
        <v>0.75360000000000005</v>
      </c>
      <c r="L113" s="220" t="s">
        <v>333</v>
      </c>
      <c r="M113" s="319" t="s">
        <v>356</v>
      </c>
      <c r="N113" s="319" t="s">
        <v>439</v>
      </c>
      <c r="O113" s="220">
        <v>4.6199999999999998E-2</v>
      </c>
      <c r="P113" s="319" t="s">
        <v>439</v>
      </c>
      <c r="Q113" s="319" t="s">
        <v>439</v>
      </c>
      <c r="R113" s="484"/>
      <c r="S113" s="481"/>
    </row>
    <row r="114" spans="1:19" x14ac:dyDescent="0.3">
      <c r="A114" s="523"/>
      <c r="B114" s="480" t="s">
        <v>420</v>
      </c>
      <c r="C114" s="219" t="s">
        <v>324</v>
      </c>
      <c r="D114" s="220">
        <v>0.22450000000000001</v>
      </c>
      <c r="E114" s="220">
        <v>0.36730000000000002</v>
      </c>
      <c r="F114" s="220">
        <v>0</v>
      </c>
      <c r="G114" s="220">
        <v>-9.5999999999999992E-3</v>
      </c>
      <c r="H114" s="220">
        <v>-9.5999999999999992E-3</v>
      </c>
      <c r="I114" s="220">
        <v>0</v>
      </c>
      <c r="J114" s="220">
        <v>-4.2799999999999998E-2</v>
      </c>
      <c r="K114" s="220">
        <v>4.2799999999999998E-2</v>
      </c>
      <c r="L114" s="220" t="s">
        <v>333</v>
      </c>
      <c r="M114" s="319" t="s">
        <v>355</v>
      </c>
      <c r="N114" s="319">
        <v>1</v>
      </c>
      <c r="O114" s="220">
        <v>0.2591</v>
      </c>
      <c r="P114" s="319">
        <v>1</v>
      </c>
      <c r="Q114" s="319">
        <v>2</v>
      </c>
      <c r="R114" s="482" t="s">
        <v>439</v>
      </c>
      <c r="S114" s="334" t="s">
        <v>439</v>
      </c>
    </row>
    <row r="115" spans="1:19" x14ac:dyDescent="0.3">
      <c r="A115" s="523"/>
      <c r="B115" s="478" t="s">
        <v>420</v>
      </c>
      <c r="C115" s="219" t="s">
        <v>322</v>
      </c>
      <c r="D115" s="220">
        <v>0.2157</v>
      </c>
      <c r="E115" s="220">
        <v>0.39219999999999999</v>
      </c>
      <c r="F115" s="220">
        <v>7.4000000000000003E-3</v>
      </c>
      <c r="G115" s="220">
        <v>-2.7E-2</v>
      </c>
      <c r="H115" s="220">
        <v>-3.44E-2</v>
      </c>
      <c r="I115" s="220">
        <v>1.8800000000000001E-2</v>
      </c>
      <c r="J115" s="220">
        <v>-0.12509999999999999</v>
      </c>
      <c r="K115" s="220">
        <v>0.1439</v>
      </c>
      <c r="L115" s="220" t="s">
        <v>333</v>
      </c>
      <c r="M115" s="319" t="s">
        <v>356</v>
      </c>
      <c r="N115" s="319" t="s">
        <v>439</v>
      </c>
      <c r="O115" s="220">
        <v>0.1208</v>
      </c>
      <c r="P115" s="319">
        <v>0</v>
      </c>
      <c r="Q115" s="319" t="s">
        <v>439</v>
      </c>
      <c r="R115" s="483"/>
      <c r="S115" s="475"/>
    </row>
    <row r="116" spans="1:19" x14ac:dyDescent="0.3">
      <c r="A116" s="523"/>
      <c r="B116" s="479" t="s">
        <v>420</v>
      </c>
      <c r="C116" s="219" t="s">
        <v>323</v>
      </c>
      <c r="D116" s="220">
        <v>0.2056</v>
      </c>
      <c r="E116" s="220">
        <v>0.4</v>
      </c>
      <c r="F116" s="220">
        <v>2.5000000000000001E-2</v>
      </c>
      <c r="G116" s="220">
        <v>-7.7799999999999994E-2</v>
      </c>
      <c r="H116" s="220">
        <v>-0.1028</v>
      </c>
      <c r="I116" s="220">
        <v>6.25E-2</v>
      </c>
      <c r="J116" s="220">
        <v>-0.3785</v>
      </c>
      <c r="K116" s="220">
        <v>0.441</v>
      </c>
      <c r="L116" s="220" t="s">
        <v>333</v>
      </c>
      <c r="M116" s="319" t="s">
        <v>356</v>
      </c>
      <c r="N116" s="319" t="s">
        <v>439</v>
      </c>
      <c r="O116" s="220">
        <v>0.17730000000000001</v>
      </c>
      <c r="P116" s="319">
        <v>0</v>
      </c>
      <c r="Q116" s="319" t="s">
        <v>439</v>
      </c>
      <c r="R116" s="484"/>
      <c r="S116" s="481"/>
    </row>
    <row r="117" spans="1:19" x14ac:dyDescent="0.3">
      <c r="A117" s="523"/>
      <c r="B117" s="480" t="s">
        <v>416</v>
      </c>
      <c r="C117" s="219" t="s">
        <v>324</v>
      </c>
      <c r="D117" s="220">
        <v>0.22450000000000001</v>
      </c>
      <c r="E117" s="220">
        <v>0.61219999999999997</v>
      </c>
      <c r="F117" s="220">
        <v>-5.4999999999999997E-3</v>
      </c>
      <c r="G117" s="220">
        <v>-9.5999999999999992E-3</v>
      </c>
      <c r="H117" s="220">
        <v>-4.1000000000000003E-3</v>
      </c>
      <c r="I117" s="220">
        <v>-8.9999999999999993E-3</v>
      </c>
      <c r="J117" s="220">
        <v>-4.2799999999999998E-2</v>
      </c>
      <c r="K117" s="220">
        <v>3.3799999999999997E-2</v>
      </c>
      <c r="L117" s="220" t="s">
        <v>335</v>
      </c>
      <c r="M117" s="319" t="s">
        <v>354</v>
      </c>
      <c r="N117" s="319">
        <v>2</v>
      </c>
      <c r="O117" s="220">
        <v>0.66369999999999996</v>
      </c>
      <c r="P117" s="319">
        <v>2</v>
      </c>
      <c r="Q117" s="319">
        <v>4</v>
      </c>
      <c r="R117" s="482" t="s">
        <v>439</v>
      </c>
      <c r="S117" s="334" t="s">
        <v>439</v>
      </c>
    </row>
    <row r="118" spans="1:19" x14ac:dyDescent="0.3">
      <c r="A118" s="523"/>
      <c r="B118" s="478" t="s">
        <v>416</v>
      </c>
      <c r="C118" s="219" t="s">
        <v>322</v>
      </c>
      <c r="D118" s="220">
        <v>0.2157</v>
      </c>
      <c r="E118" s="220">
        <v>0.58819999999999995</v>
      </c>
      <c r="F118" s="220">
        <v>-2.29E-2</v>
      </c>
      <c r="G118" s="220">
        <v>-2.7E-2</v>
      </c>
      <c r="H118" s="220">
        <v>-4.1000000000000003E-3</v>
      </c>
      <c r="I118" s="220">
        <v>-3.8899999999999997E-2</v>
      </c>
      <c r="J118" s="220">
        <v>-0.12509999999999999</v>
      </c>
      <c r="K118" s="220">
        <v>8.6300000000000002E-2</v>
      </c>
      <c r="L118" s="220" t="s">
        <v>335</v>
      </c>
      <c r="M118" s="319" t="s">
        <v>336</v>
      </c>
      <c r="N118" s="319">
        <v>0</v>
      </c>
      <c r="O118" s="220">
        <v>0.83950000000000002</v>
      </c>
      <c r="P118" s="319">
        <v>3</v>
      </c>
      <c r="Q118" s="319">
        <v>3</v>
      </c>
      <c r="R118" s="483"/>
      <c r="S118" s="475"/>
    </row>
    <row r="119" spans="1:19" x14ac:dyDescent="0.3">
      <c r="A119" s="523"/>
      <c r="B119" s="479" t="s">
        <v>416</v>
      </c>
      <c r="C119" s="219" t="s">
        <v>323</v>
      </c>
      <c r="D119" s="220">
        <v>0.2056</v>
      </c>
      <c r="E119" s="220">
        <v>0.68330000000000002</v>
      </c>
      <c r="F119" s="220">
        <v>3.3300000000000003E-2</v>
      </c>
      <c r="G119" s="220">
        <v>-7.7799999999999994E-2</v>
      </c>
      <c r="H119" s="220">
        <v>-0.1111</v>
      </c>
      <c r="I119" s="220">
        <v>4.8800000000000003E-2</v>
      </c>
      <c r="J119" s="220">
        <v>-0.3785</v>
      </c>
      <c r="K119" s="220">
        <v>0.42730000000000001</v>
      </c>
      <c r="L119" s="220" t="s">
        <v>333</v>
      </c>
      <c r="M119" s="319" t="s">
        <v>356</v>
      </c>
      <c r="N119" s="319" t="s">
        <v>439</v>
      </c>
      <c r="O119" s="220">
        <v>0.24970000000000001</v>
      </c>
      <c r="P119" s="319">
        <v>1</v>
      </c>
      <c r="Q119" s="319" t="s">
        <v>439</v>
      </c>
      <c r="R119" s="484"/>
      <c r="S119" s="481"/>
    </row>
    <row r="120" spans="1:19" x14ac:dyDescent="0.3">
      <c r="A120" s="523"/>
      <c r="B120" s="480" t="s">
        <v>357</v>
      </c>
      <c r="C120" s="219" t="s">
        <v>324</v>
      </c>
      <c r="D120" s="220">
        <v>0.22450000000000001</v>
      </c>
      <c r="E120" s="220">
        <v>0.22450000000000001</v>
      </c>
      <c r="F120" s="220">
        <v>5.7000000000000002E-3</v>
      </c>
      <c r="G120" s="220">
        <v>-9.5999999999999992E-3</v>
      </c>
      <c r="H120" s="220">
        <v>-1.5299999999999999E-2</v>
      </c>
      <c r="I120" s="220">
        <v>2.5399999999999999E-2</v>
      </c>
      <c r="J120" s="220">
        <v>-4.2799999999999998E-2</v>
      </c>
      <c r="K120" s="220">
        <v>6.8199999999999997E-2</v>
      </c>
      <c r="L120" s="220" t="s">
        <v>333</v>
      </c>
      <c r="M120" s="319" t="s">
        <v>334</v>
      </c>
      <c r="N120" s="319">
        <v>0</v>
      </c>
      <c r="O120" s="220">
        <v>2.18E-2</v>
      </c>
      <c r="P120" s="319" t="s">
        <v>439</v>
      </c>
      <c r="Q120" s="319" t="s">
        <v>439</v>
      </c>
      <c r="R120" s="482" t="s">
        <v>439</v>
      </c>
      <c r="S120" s="334" t="s">
        <v>439</v>
      </c>
    </row>
    <row r="121" spans="1:19" x14ac:dyDescent="0.3">
      <c r="A121" s="523"/>
      <c r="B121" s="478" t="s">
        <v>357</v>
      </c>
      <c r="C121" s="219" t="s">
        <v>322</v>
      </c>
      <c r="D121" s="220">
        <v>0.2157</v>
      </c>
      <c r="E121" s="220">
        <v>0.23530000000000001</v>
      </c>
      <c r="F121" s="220">
        <v>1.8800000000000001E-2</v>
      </c>
      <c r="G121" s="220">
        <v>-2.7E-2</v>
      </c>
      <c r="H121" s="220">
        <v>-4.58E-2</v>
      </c>
      <c r="I121" s="220">
        <v>7.9899999999999999E-2</v>
      </c>
      <c r="J121" s="220">
        <v>-0.12509999999999999</v>
      </c>
      <c r="K121" s="220">
        <v>0.20499999999999999</v>
      </c>
      <c r="L121" s="220" t="s">
        <v>333</v>
      </c>
      <c r="M121" s="319" t="s">
        <v>356</v>
      </c>
      <c r="N121" s="319" t="s">
        <v>439</v>
      </c>
      <c r="O121" s="220">
        <v>1.04E-2</v>
      </c>
      <c r="P121" s="319" t="s">
        <v>439</v>
      </c>
      <c r="Q121" s="319" t="s">
        <v>439</v>
      </c>
      <c r="R121" s="483"/>
      <c r="S121" s="475"/>
    </row>
    <row r="122" spans="1:19" x14ac:dyDescent="0.3">
      <c r="A122" s="523"/>
      <c r="B122" s="479" t="s">
        <v>357</v>
      </c>
      <c r="C122" s="219" t="s">
        <v>323</v>
      </c>
      <c r="D122" s="220">
        <v>0.2056</v>
      </c>
      <c r="E122" s="220">
        <v>0.25</v>
      </c>
      <c r="F122" s="220">
        <v>5.8299999999999998E-2</v>
      </c>
      <c r="G122" s="220">
        <v>-7.7799999999999994E-2</v>
      </c>
      <c r="H122" s="220">
        <v>-0.1361</v>
      </c>
      <c r="I122" s="220">
        <v>0.23330000000000001</v>
      </c>
      <c r="J122" s="220">
        <v>-0.3785</v>
      </c>
      <c r="K122" s="220">
        <v>0.61180000000000001</v>
      </c>
      <c r="L122" s="220" t="s">
        <v>333</v>
      </c>
      <c r="M122" s="319" t="s">
        <v>356</v>
      </c>
      <c r="N122" s="319" t="s">
        <v>439</v>
      </c>
      <c r="O122" s="220">
        <v>6.3E-3</v>
      </c>
      <c r="P122" s="319" t="s">
        <v>439</v>
      </c>
      <c r="Q122" s="319" t="s">
        <v>439</v>
      </c>
      <c r="R122" s="484"/>
      <c r="S122" s="481"/>
    </row>
    <row r="123" spans="1:19" x14ac:dyDescent="0.3">
      <c r="A123" s="523"/>
      <c r="B123" s="480" t="s">
        <v>362</v>
      </c>
      <c r="C123" s="219" t="s">
        <v>324</v>
      </c>
      <c r="D123" s="220">
        <v>0.22450000000000001</v>
      </c>
      <c r="E123" s="220">
        <v>0.1633</v>
      </c>
      <c r="F123" s="220">
        <v>5.0000000000000001E-4</v>
      </c>
      <c r="G123" s="220">
        <v>-9.5999999999999992E-3</v>
      </c>
      <c r="H123" s="220">
        <v>-1.01E-2</v>
      </c>
      <c r="I123" s="220">
        <v>3.0999999999999999E-3</v>
      </c>
      <c r="J123" s="220">
        <v>-4.2799999999999998E-2</v>
      </c>
      <c r="K123" s="220">
        <v>4.5900000000000003E-2</v>
      </c>
      <c r="L123" s="220" t="s">
        <v>333</v>
      </c>
      <c r="M123" s="319" t="s">
        <v>355</v>
      </c>
      <c r="N123" s="319">
        <v>1</v>
      </c>
      <c r="O123" s="220">
        <v>0.11219999999999999</v>
      </c>
      <c r="P123" s="319">
        <v>0</v>
      </c>
      <c r="Q123" s="319">
        <v>1</v>
      </c>
      <c r="R123" s="482" t="s">
        <v>439</v>
      </c>
      <c r="S123" s="334" t="s">
        <v>439</v>
      </c>
    </row>
    <row r="124" spans="1:19" x14ac:dyDescent="0.3">
      <c r="A124" s="523"/>
      <c r="B124" s="478" t="s">
        <v>362</v>
      </c>
      <c r="C124" s="219" t="s">
        <v>322</v>
      </c>
      <c r="D124" s="220">
        <v>0.2157</v>
      </c>
      <c r="E124" s="220">
        <v>0.17649999999999999</v>
      </c>
      <c r="F124" s="220">
        <v>4.8999999999999998E-3</v>
      </c>
      <c r="G124" s="220">
        <v>-2.7E-2</v>
      </c>
      <c r="H124" s="220">
        <v>-3.1899999999999998E-2</v>
      </c>
      <c r="I124" s="220">
        <v>2.7799999999999998E-2</v>
      </c>
      <c r="J124" s="220">
        <v>-0.12509999999999999</v>
      </c>
      <c r="K124" s="220">
        <v>0.15290000000000001</v>
      </c>
      <c r="L124" s="220" t="s">
        <v>333</v>
      </c>
      <c r="M124" s="319" t="s">
        <v>356</v>
      </c>
      <c r="N124" s="319" t="s">
        <v>439</v>
      </c>
      <c r="O124" s="220">
        <v>6.59E-2</v>
      </c>
      <c r="P124" s="319" t="s">
        <v>439</v>
      </c>
      <c r="Q124" s="319" t="s">
        <v>439</v>
      </c>
      <c r="R124" s="483"/>
      <c r="S124" s="475"/>
    </row>
    <row r="125" spans="1:19" x14ac:dyDescent="0.3">
      <c r="A125" s="523"/>
      <c r="B125" s="479" t="s">
        <v>362</v>
      </c>
      <c r="C125" s="219" t="s">
        <v>323</v>
      </c>
      <c r="D125" s="220">
        <v>0.2056</v>
      </c>
      <c r="E125" s="220">
        <v>0.2167</v>
      </c>
      <c r="F125" s="220">
        <v>5.8299999999999998E-2</v>
      </c>
      <c r="G125" s="220">
        <v>-7.7799999999999994E-2</v>
      </c>
      <c r="H125" s="220">
        <v>-0.1361</v>
      </c>
      <c r="I125" s="220">
        <v>0.26929999999999998</v>
      </c>
      <c r="J125" s="220">
        <v>-0.3785</v>
      </c>
      <c r="K125" s="220">
        <v>0.64780000000000004</v>
      </c>
      <c r="L125" s="220" t="s">
        <v>333</v>
      </c>
      <c r="M125" s="319" t="s">
        <v>356</v>
      </c>
      <c r="N125" s="319" t="s">
        <v>439</v>
      </c>
      <c r="O125" s="220">
        <v>5.3600000000000002E-2</v>
      </c>
      <c r="P125" s="319" t="s">
        <v>439</v>
      </c>
      <c r="Q125" s="319" t="s">
        <v>439</v>
      </c>
      <c r="R125" s="484"/>
      <c r="S125" s="481"/>
    </row>
    <row r="126" spans="1:19" x14ac:dyDescent="0.3">
      <c r="A126" s="523"/>
      <c r="B126" s="480" t="s">
        <v>359</v>
      </c>
      <c r="C126" s="219" t="s">
        <v>324</v>
      </c>
      <c r="D126" s="220">
        <v>0.22450000000000001</v>
      </c>
      <c r="E126" s="220">
        <v>0.38779999999999998</v>
      </c>
      <c r="F126" s="220">
        <v>1.35E-2</v>
      </c>
      <c r="G126" s="220">
        <v>-9.5999999999999992E-3</v>
      </c>
      <c r="H126" s="220">
        <v>-2.3099999999999999E-2</v>
      </c>
      <c r="I126" s="220">
        <v>3.4799999999999998E-2</v>
      </c>
      <c r="J126" s="220">
        <v>-4.2799999999999998E-2</v>
      </c>
      <c r="K126" s="220">
        <v>7.7600000000000002E-2</v>
      </c>
      <c r="L126" s="220" t="s">
        <v>333</v>
      </c>
      <c r="M126" s="319" t="s">
        <v>334</v>
      </c>
      <c r="N126" s="319">
        <v>0</v>
      </c>
      <c r="O126" s="220">
        <v>2.5000000000000001E-3</v>
      </c>
      <c r="P126" s="319" t="s">
        <v>439</v>
      </c>
      <c r="Q126" s="319" t="s">
        <v>439</v>
      </c>
      <c r="R126" s="482" t="s">
        <v>439</v>
      </c>
      <c r="S126" s="334" t="s">
        <v>439</v>
      </c>
    </row>
    <row r="127" spans="1:19" x14ac:dyDescent="0.3">
      <c r="A127" s="523"/>
      <c r="B127" s="478" t="s">
        <v>359</v>
      </c>
      <c r="C127" s="219" t="s">
        <v>322</v>
      </c>
      <c r="D127" s="220">
        <v>0.2157</v>
      </c>
      <c r="E127" s="220">
        <v>0.3725</v>
      </c>
      <c r="F127" s="220">
        <v>3.1899999999999998E-2</v>
      </c>
      <c r="G127" s="220">
        <v>-2.7E-2</v>
      </c>
      <c r="H127" s="220">
        <v>-5.8900000000000001E-2</v>
      </c>
      <c r="I127" s="220">
        <v>8.5599999999999996E-2</v>
      </c>
      <c r="J127" s="220">
        <v>-0.12509999999999999</v>
      </c>
      <c r="K127" s="220">
        <v>0.2107</v>
      </c>
      <c r="L127" s="220" t="s">
        <v>333</v>
      </c>
      <c r="M127" s="319" t="s">
        <v>356</v>
      </c>
      <c r="N127" s="319" t="s">
        <v>439</v>
      </c>
      <c r="O127" s="220">
        <v>2.3E-3</v>
      </c>
      <c r="P127" s="319" t="s">
        <v>439</v>
      </c>
      <c r="Q127" s="319" t="s">
        <v>439</v>
      </c>
      <c r="R127" s="483"/>
      <c r="S127" s="475"/>
    </row>
    <row r="128" spans="1:19" x14ac:dyDescent="0.3">
      <c r="A128" s="523"/>
      <c r="B128" s="479" t="s">
        <v>359</v>
      </c>
      <c r="C128" s="219" t="s">
        <v>323</v>
      </c>
      <c r="D128" s="220">
        <v>0.2056</v>
      </c>
      <c r="E128" s="220">
        <v>0.38329999999999997</v>
      </c>
      <c r="F128" s="220">
        <v>0.1</v>
      </c>
      <c r="G128" s="220">
        <v>-7.7799999999999994E-2</v>
      </c>
      <c r="H128" s="220">
        <v>-0.17780000000000001</v>
      </c>
      <c r="I128" s="220">
        <v>0.26100000000000001</v>
      </c>
      <c r="J128" s="220">
        <v>-0.3785</v>
      </c>
      <c r="K128" s="220">
        <v>0.63949999999999996</v>
      </c>
      <c r="L128" s="220" t="s">
        <v>333</v>
      </c>
      <c r="M128" s="319" t="s">
        <v>356</v>
      </c>
      <c r="N128" s="319" t="s">
        <v>439</v>
      </c>
      <c r="O128" s="220">
        <v>1.61E-2</v>
      </c>
      <c r="P128" s="319" t="s">
        <v>439</v>
      </c>
      <c r="Q128" s="319" t="s">
        <v>439</v>
      </c>
      <c r="R128" s="484"/>
      <c r="S128" s="481"/>
    </row>
    <row r="129" spans="1:19" x14ac:dyDescent="0.3">
      <c r="A129" s="523"/>
      <c r="B129" s="480" t="s">
        <v>365</v>
      </c>
      <c r="C129" s="219" t="s">
        <v>324</v>
      </c>
      <c r="D129" s="220">
        <v>0.22450000000000001</v>
      </c>
      <c r="E129" s="220">
        <v>0.42859999999999998</v>
      </c>
      <c r="F129" s="220">
        <v>-5.9999999999999995E-4</v>
      </c>
      <c r="G129" s="220">
        <v>-9.5999999999999992E-3</v>
      </c>
      <c r="H129" s="220">
        <v>-8.9999999999999993E-3</v>
      </c>
      <c r="I129" s="220">
        <v>-1.4E-3</v>
      </c>
      <c r="J129" s="220">
        <v>-4.2799999999999998E-2</v>
      </c>
      <c r="K129" s="220">
        <v>4.1399999999999999E-2</v>
      </c>
      <c r="L129" s="220" t="s">
        <v>335</v>
      </c>
      <c r="M129" s="319" t="s">
        <v>354</v>
      </c>
      <c r="N129" s="319">
        <v>2</v>
      </c>
      <c r="O129" s="220">
        <v>0.2127</v>
      </c>
      <c r="P129" s="319">
        <v>1</v>
      </c>
      <c r="Q129" s="319">
        <v>3</v>
      </c>
      <c r="R129" s="482" t="s">
        <v>439</v>
      </c>
      <c r="S129" s="334" t="s">
        <v>439</v>
      </c>
    </row>
    <row r="130" spans="1:19" x14ac:dyDescent="0.3">
      <c r="A130" s="523"/>
      <c r="B130" s="478" t="s">
        <v>365</v>
      </c>
      <c r="C130" s="219" t="s">
        <v>322</v>
      </c>
      <c r="D130" s="220">
        <v>0.2157</v>
      </c>
      <c r="E130" s="220">
        <v>0.43140000000000001</v>
      </c>
      <c r="F130" s="220">
        <v>8.0000000000000004E-4</v>
      </c>
      <c r="G130" s="220">
        <v>-2.7E-2</v>
      </c>
      <c r="H130" s="220">
        <v>-2.7799999999999998E-2</v>
      </c>
      <c r="I130" s="220">
        <v>1.9E-3</v>
      </c>
      <c r="J130" s="220">
        <v>-0.12509999999999999</v>
      </c>
      <c r="K130" s="220">
        <v>0.127</v>
      </c>
      <c r="L130" s="220" t="s">
        <v>333</v>
      </c>
      <c r="M130" s="319" t="s">
        <v>356</v>
      </c>
      <c r="N130" s="319" t="s">
        <v>439</v>
      </c>
      <c r="O130" s="220">
        <v>0.1817</v>
      </c>
      <c r="P130" s="319">
        <v>0</v>
      </c>
      <c r="Q130" s="319" t="s">
        <v>439</v>
      </c>
      <c r="R130" s="483"/>
      <c r="S130" s="475"/>
    </row>
    <row r="131" spans="1:19" x14ac:dyDescent="0.3">
      <c r="A131" s="523"/>
      <c r="B131" s="479" t="s">
        <v>365</v>
      </c>
      <c r="C131" s="219" t="s">
        <v>323</v>
      </c>
      <c r="D131" s="220">
        <v>0.2056</v>
      </c>
      <c r="E131" s="220">
        <v>0.43330000000000002</v>
      </c>
      <c r="F131" s="220">
        <v>-8.3000000000000001E-3</v>
      </c>
      <c r="G131" s="220">
        <v>-7.7799999999999994E-2</v>
      </c>
      <c r="H131" s="220">
        <v>-6.9500000000000006E-2</v>
      </c>
      <c r="I131" s="220">
        <v>-1.9300000000000001E-2</v>
      </c>
      <c r="J131" s="220">
        <v>-0.3785</v>
      </c>
      <c r="K131" s="220">
        <v>0.35920000000000002</v>
      </c>
      <c r="L131" s="220" t="s">
        <v>335</v>
      </c>
      <c r="M131" s="319" t="s">
        <v>356</v>
      </c>
      <c r="N131" s="319" t="s">
        <v>439</v>
      </c>
      <c r="O131" s="220">
        <v>7.0999999999999994E-2</v>
      </c>
      <c r="P131" s="319" t="s">
        <v>439</v>
      </c>
      <c r="Q131" s="319" t="s">
        <v>439</v>
      </c>
      <c r="R131" s="484"/>
      <c r="S131" s="481"/>
    </row>
    <row r="132" spans="1:19" x14ac:dyDescent="0.3">
      <c r="A132" s="523"/>
      <c r="B132" s="480" t="s">
        <v>358</v>
      </c>
      <c r="C132" s="219" t="s">
        <v>324</v>
      </c>
      <c r="D132" s="220">
        <v>0.22450000000000001</v>
      </c>
      <c r="E132" s="220">
        <v>0.1633</v>
      </c>
      <c r="F132" s="220">
        <v>1.6999999999999999E-3</v>
      </c>
      <c r="G132" s="220">
        <v>-9.5999999999999992E-3</v>
      </c>
      <c r="H132" s="220">
        <v>-1.1299999999999999E-2</v>
      </c>
      <c r="I132" s="220">
        <v>1.06E-2</v>
      </c>
      <c r="J132" s="220">
        <v>-4.2799999999999998E-2</v>
      </c>
      <c r="K132" s="220">
        <v>5.3400000000000003E-2</v>
      </c>
      <c r="L132" s="220" t="s">
        <v>333</v>
      </c>
      <c r="M132" s="319" t="s">
        <v>334</v>
      </c>
      <c r="N132" s="319">
        <v>0</v>
      </c>
      <c r="O132" s="220">
        <v>5.9799999999999999E-2</v>
      </c>
      <c r="P132" s="319" t="s">
        <v>439</v>
      </c>
      <c r="Q132" s="319" t="s">
        <v>439</v>
      </c>
      <c r="R132" s="482" t="s">
        <v>439</v>
      </c>
      <c r="S132" s="334" t="s">
        <v>439</v>
      </c>
    </row>
    <row r="133" spans="1:19" x14ac:dyDescent="0.3">
      <c r="A133" s="523"/>
      <c r="B133" s="478" t="s">
        <v>358</v>
      </c>
      <c r="C133" s="219" t="s">
        <v>322</v>
      </c>
      <c r="D133" s="220">
        <v>0.2157</v>
      </c>
      <c r="E133" s="220">
        <v>0.15690000000000001</v>
      </c>
      <c r="F133" s="220">
        <v>1.6000000000000001E-3</v>
      </c>
      <c r="G133" s="220">
        <v>-2.7E-2</v>
      </c>
      <c r="H133" s="220">
        <v>-2.86E-2</v>
      </c>
      <c r="I133" s="220">
        <v>1.04E-2</v>
      </c>
      <c r="J133" s="220">
        <v>-0.12509999999999999</v>
      </c>
      <c r="K133" s="220">
        <v>0.13550000000000001</v>
      </c>
      <c r="L133" s="220" t="s">
        <v>333</v>
      </c>
      <c r="M133" s="319" t="s">
        <v>356</v>
      </c>
      <c r="N133" s="319" t="s">
        <v>439</v>
      </c>
      <c r="O133" s="220">
        <v>3.6799999999999999E-2</v>
      </c>
      <c r="P133" s="319" t="s">
        <v>439</v>
      </c>
      <c r="Q133" s="319" t="s">
        <v>439</v>
      </c>
      <c r="R133" s="483"/>
      <c r="S133" s="475"/>
    </row>
    <row r="134" spans="1:19" x14ac:dyDescent="0.3">
      <c r="A134" s="523"/>
      <c r="B134" s="479" t="s">
        <v>358</v>
      </c>
      <c r="C134" s="219" t="s">
        <v>323</v>
      </c>
      <c r="D134" s="220">
        <v>0.2056</v>
      </c>
      <c r="E134" s="220">
        <v>0.15</v>
      </c>
      <c r="F134" s="220">
        <v>-8.3000000000000001E-3</v>
      </c>
      <c r="G134" s="220">
        <v>-7.7799999999999994E-2</v>
      </c>
      <c r="H134" s="220">
        <v>-6.9500000000000006E-2</v>
      </c>
      <c r="I134" s="220">
        <v>-5.5599999999999997E-2</v>
      </c>
      <c r="J134" s="220">
        <v>-0.3785</v>
      </c>
      <c r="K134" s="220">
        <v>0.32290000000000002</v>
      </c>
      <c r="L134" s="220" t="s">
        <v>335</v>
      </c>
      <c r="M134" s="319" t="s">
        <v>356</v>
      </c>
      <c r="N134" s="319" t="s">
        <v>439</v>
      </c>
      <c r="O134" s="220">
        <v>7.0999999999999994E-2</v>
      </c>
      <c r="P134" s="319" t="s">
        <v>439</v>
      </c>
      <c r="Q134" s="319" t="s">
        <v>439</v>
      </c>
      <c r="R134" s="484"/>
      <c r="S134" s="481"/>
    </row>
    <row r="135" spans="1:19" x14ac:dyDescent="0.3">
      <c r="A135" s="523"/>
      <c r="B135" s="480" t="s">
        <v>361</v>
      </c>
      <c r="C135" s="219" t="s">
        <v>324</v>
      </c>
      <c r="D135" s="220">
        <v>0.22450000000000001</v>
      </c>
      <c r="E135" s="220">
        <v>0.10199999999999999</v>
      </c>
      <c r="F135" s="220">
        <v>-4.1999999999999997E-3</v>
      </c>
      <c r="G135" s="220">
        <v>-9.5999999999999992E-3</v>
      </c>
      <c r="H135" s="220">
        <v>-5.4000000000000003E-3</v>
      </c>
      <c r="I135" s="220">
        <v>-4.1000000000000002E-2</v>
      </c>
      <c r="J135" s="220">
        <v>-4.2799999999999998E-2</v>
      </c>
      <c r="K135" s="220">
        <v>1.8E-3</v>
      </c>
      <c r="L135" s="220" t="s">
        <v>335</v>
      </c>
      <c r="M135" s="319" t="s">
        <v>354</v>
      </c>
      <c r="N135" s="319">
        <v>2</v>
      </c>
      <c r="O135" s="220">
        <v>0.32740000000000002</v>
      </c>
      <c r="P135" s="319">
        <v>1</v>
      </c>
      <c r="Q135" s="319">
        <v>3</v>
      </c>
      <c r="R135" s="482" t="s">
        <v>439</v>
      </c>
      <c r="S135" s="334" t="s">
        <v>439</v>
      </c>
    </row>
    <row r="136" spans="1:19" x14ac:dyDescent="0.3">
      <c r="A136" s="523"/>
      <c r="B136" s="478" t="s">
        <v>361</v>
      </c>
      <c r="C136" s="219" t="s">
        <v>322</v>
      </c>
      <c r="D136" s="220">
        <v>0.2157</v>
      </c>
      <c r="E136" s="220">
        <v>9.8000000000000004E-2</v>
      </c>
      <c r="F136" s="220">
        <v>-1.3100000000000001E-2</v>
      </c>
      <c r="G136" s="220">
        <v>-2.7E-2</v>
      </c>
      <c r="H136" s="220">
        <v>-1.3899999999999999E-2</v>
      </c>
      <c r="I136" s="220">
        <v>-0.13339999999999999</v>
      </c>
      <c r="J136" s="220">
        <v>-0.12509999999999999</v>
      </c>
      <c r="K136" s="220">
        <v>8.3000000000000001E-3</v>
      </c>
      <c r="L136" s="220" t="s">
        <v>335</v>
      </c>
      <c r="M136" s="319" t="s">
        <v>354</v>
      </c>
      <c r="N136" s="319">
        <v>2</v>
      </c>
      <c r="O136" s="220">
        <v>0.26079999999999998</v>
      </c>
      <c r="P136" s="319">
        <v>1</v>
      </c>
      <c r="Q136" s="319">
        <v>3</v>
      </c>
      <c r="R136" s="483"/>
      <c r="S136" s="475"/>
    </row>
    <row r="137" spans="1:19" x14ac:dyDescent="0.3">
      <c r="A137" s="523"/>
      <c r="B137" s="479" t="s">
        <v>361</v>
      </c>
      <c r="C137" s="219" t="s">
        <v>323</v>
      </c>
      <c r="D137" s="220">
        <v>0.2056</v>
      </c>
      <c r="E137" s="220">
        <v>0.1167</v>
      </c>
      <c r="F137" s="220">
        <v>-1.67E-2</v>
      </c>
      <c r="G137" s="220">
        <v>-7.7799999999999994E-2</v>
      </c>
      <c r="H137" s="220">
        <v>-6.1100000000000002E-2</v>
      </c>
      <c r="I137" s="220">
        <v>-0.1431</v>
      </c>
      <c r="J137" s="220">
        <v>-0.3785</v>
      </c>
      <c r="K137" s="220">
        <v>0.2354</v>
      </c>
      <c r="L137" s="220" t="s">
        <v>335</v>
      </c>
      <c r="M137" s="319" t="s">
        <v>356</v>
      </c>
      <c r="N137" s="319" t="s">
        <v>439</v>
      </c>
      <c r="O137" s="220">
        <v>0.1646</v>
      </c>
      <c r="P137" s="319">
        <v>0</v>
      </c>
      <c r="Q137" s="319" t="s">
        <v>439</v>
      </c>
      <c r="R137" s="484"/>
      <c r="S137" s="481"/>
    </row>
    <row r="138" spans="1:19" x14ac:dyDescent="0.3">
      <c r="A138" s="523"/>
      <c r="B138" s="480" t="s">
        <v>364</v>
      </c>
      <c r="C138" s="219" t="s">
        <v>324</v>
      </c>
      <c r="D138" s="220">
        <v>0.22450000000000001</v>
      </c>
      <c r="E138" s="220">
        <v>0.12239999999999999</v>
      </c>
      <c r="F138" s="220">
        <v>1.1000000000000001E-3</v>
      </c>
      <c r="G138" s="220">
        <v>-9.5999999999999992E-3</v>
      </c>
      <c r="H138" s="220">
        <v>-1.0699999999999999E-2</v>
      </c>
      <c r="I138" s="220">
        <v>9.1999999999999998E-3</v>
      </c>
      <c r="J138" s="220">
        <v>-4.2799999999999998E-2</v>
      </c>
      <c r="K138" s="220">
        <v>5.1999999999999998E-2</v>
      </c>
      <c r="L138" s="220" t="s">
        <v>333</v>
      </c>
      <c r="M138" s="319" t="s">
        <v>334</v>
      </c>
      <c r="N138" s="319">
        <v>0</v>
      </c>
      <c r="O138" s="220">
        <v>6.2100000000000002E-2</v>
      </c>
      <c r="P138" s="319" t="s">
        <v>439</v>
      </c>
      <c r="Q138" s="319" t="s">
        <v>439</v>
      </c>
      <c r="R138" s="482" t="s">
        <v>439</v>
      </c>
      <c r="S138" s="334" t="s">
        <v>439</v>
      </c>
    </row>
    <row r="139" spans="1:19" x14ac:dyDescent="0.3">
      <c r="A139" s="523"/>
      <c r="B139" s="478" t="s">
        <v>364</v>
      </c>
      <c r="C139" s="219" t="s">
        <v>322</v>
      </c>
      <c r="D139" s="220">
        <v>0.2157</v>
      </c>
      <c r="E139" s="220">
        <v>0.1176</v>
      </c>
      <c r="F139" s="220">
        <v>1.6000000000000001E-3</v>
      </c>
      <c r="G139" s="220">
        <v>-2.7E-2</v>
      </c>
      <c r="H139" s="220">
        <v>-2.86E-2</v>
      </c>
      <c r="I139" s="220">
        <v>1.4E-2</v>
      </c>
      <c r="J139" s="220">
        <v>-0.12509999999999999</v>
      </c>
      <c r="K139" s="220">
        <v>0.1391</v>
      </c>
      <c r="L139" s="220" t="s">
        <v>333</v>
      </c>
      <c r="M139" s="319" t="s">
        <v>356</v>
      </c>
      <c r="N139" s="319" t="s">
        <v>439</v>
      </c>
      <c r="O139" s="220">
        <v>3.3500000000000002E-2</v>
      </c>
      <c r="P139" s="319" t="s">
        <v>439</v>
      </c>
      <c r="Q139" s="319" t="s">
        <v>439</v>
      </c>
      <c r="R139" s="483"/>
      <c r="S139" s="475"/>
    </row>
    <row r="140" spans="1:19" x14ac:dyDescent="0.3">
      <c r="A140" s="523"/>
      <c r="B140" s="479" t="s">
        <v>364</v>
      </c>
      <c r="C140" s="219" t="s">
        <v>323</v>
      </c>
      <c r="D140" s="220">
        <v>0.2056</v>
      </c>
      <c r="E140" s="220">
        <v>0.1167</v>
      </c>
      <c r="F140" s="220">
        <v>0</v>
      </c>
      <c r="G140" s="220">
        <v>-7.7799999999999994E-2</v>
      </c>
      <c r="H140" s="220">
        <v>-7.7799999999999994E-2</v>
      </c>
      <c r="I140" s="220">
        <v>1E-4</v>
      </c>
      <c r="J140" s="220">
        <v>-0.3785</v>
      </c>
      <c r="K140" s="220">
        <v>0.37859999999999999</v>
      </c>
      <c r="L140" s="220" t="s">
        <v>333</v>
      </c>
      <c r="M140" s="319" t="s">
        <v>356</v>
      </c>
      <c r="N140" s="319" t="s">
        <v>439</v>
      </c>
      <c r="O140" s="220">
        <v>2.3E-2</v>
      </c>
      <c r="P140" s="319" t="s">
        <v>439</v>
      </c>
      <c r="Q140" s="319" t="s">
        <v>439</v>
      </c>
      <c r="R140" s="484"/>
      <c r="S140" s="481"/>
    </row>
    <row r="141" spans="1:19" x14ac:dyDescent="0.3">
      <c r="A141" s="523"/>
      <c r="B141" s="480" t="s">
        <v>363</v>
      </c>
      <c r="C141" s="219" t="s">
        <v>324</v>
      </c>
      <c r="D141" s="220">
        <v>0.22450000000000001</v>
      </c>
      <c r="E141" s="220">
        <v>0.1429</v>
      </c>
      <c r="F141" s="220">
        <v>-8.9999999999999998E-4</v>
      </c>
      <c r="G141" s="220">
        <v>-9.5999999999999992E-3</v>
      </c>
      <c r="H141" s="220">
        <v>-8.6999999999999994E-3</v>
      </c>
      <c r="I141" s="220">
        <v>-6.4000000000000003E-3</v>
      </c>
      <c r="J141" s="220">
        <v>-4.2799999999999998E-2</v>
      </c>
      <c r="K141" s="220">
        <v>3.6400000000000002E-2</v>
      </c>
      <c r="L141" s="220" t="s">
        <v>335</v>
      </c>
      <c r="M141" s="319" t="s">
        <v>354</v>
      </c>
      <c r="N141" s="319">
        <v>2</v>
      </c>
      <c r="O141" s="220">
        <v>0.1391</v>
      </c>
      <c r="P141" s="319">
        <v>0</v>
      </c>
      <c r="Q141" s="319">
        <v>2</v>
      </c>
      <c r="R141" s="482" t="s">
        <v>439</v>
      </c>
      <c r="S141" s="334" t="s">
        <v>439</v>
      </c>
    </row>
    <row r="142" spans="1:19" x14ac:dyDescent="0.3">
      <c r="A142" s="523"/>
      <c r="B142" s="478" t="s">
        <v>363</v>
      </c>
      <c r="C142" s="219" t="s">
        <v>322</v>
      </c>
      <c r="D142" s="220">
        <v>0.2157</v>
      </c>
      <c r="E142" s="220">
        <v>0.13730000000000001</v>
      </c>
      <c r="F142" s="220">
        <v>-4.1000000000000003E-3</v>
      </c>
      <c r="G142" s="220">
        <v>-2.7E-2</v>
      </c>
      <c r="H142" s="220">
        <v>-2.29E-2</v>
      </c>
      <c r="I142" s="220">
        <v>-2.98E-2</v>
      </c>
      <c r="J142" s="220">
        <v>-0.12509999999999999</v>
      </c>
      <c r="K142" s="220">
        <v>9.5299999999999996E-2</v>
      </c>
      <c r="L142" s="220" t="s">
        <v>335</v>
      </c>
      <c r="M142" s="319" t="s">
        <v>336</v>
      </c>
      <c r="N142" s="319">
        <v>0</v>
      </c>
      <c r="O142" s="220">
        <v>0.17929999999999999</v>
      </c>
      <c r="P142" s="319">
        <v>0</v>
      </c>
      <c r="Q142" s="319">
        <v>0</v>
      </c>
      <c r="R142" s="483"/>
      <c r="S142" s="475"/>
    </row>
    <row r="143" spans="1:19" x14ac:dyDescent="0.3">
      <c r="A143" s="523"/>
      <c r="B143" s="479" t="s">
        <v>363</v>
      </c>
      <c r="C143" s="219" t="s">
        <v>323</v>
      </c>
      <c r="D143" s="220">
        <v>0.2056</v>
      </c>
      <c r="E143" s="220">
        <v>0.1333</v>
      </c>
      <c r="F143" s="220">
        <v>-3.3300000000000003E-2</v>
      </c>
      <c r="G143" s="220">
        <v>-7.7799999999999994E-2</v>
      </c>
      <c r="H143" s="220">
        <v>-4.4499999999999998E-2</v>
      </c>
      <c r="I143" s="220">
        <v>-0.24979999999999999</v>
      </c>
      <c r="J143" s="220">
        <v>-0.3785</v>
      </c>
      <c r="K143" s="220">
        <v>0.12870000000000001</v>
      </c>
      <c r="L143" s="220" t="s">
        <v>335</v>
      </c>
      <c r="M143" s="319" t="s">
        <v>356</v>
      </c>
      <c r="N143" s="319" t="s">
        <v>439</v>
      </c>
      <c r="O143" s="220">
        <v>0.37330000000000002</v>
      </c>
      <c r="P143" s="319">
        <v>1</v>
      </c>
      <c r="Q143" s="319" t="s">
        <v>439</v>
      </c>
      <c r="R143" s="484"/>
      <c r="S143" s="481"/>
    </row>
    <row r="144" spans="1:19" x14ac:dyDescent="0.3">
      <c r="A144" s="523"/>
      <c r="B144" s="480" t="s">
        <v>366</v>
      </c>
      <c r="C144" s="219" t="s">
        <v>324</v>
      </c>
      <c r="D144" s="220">
        <v>0.22450000000000001</v>
      </c>
      <c r="E144" s="220">
        <v>0.22450000000000001</v>
      </c>
      <c r="F144" s="220">
        <v>3.0999999999999999E-3</v>
      </c>
      <c r="G144" s="220">
        <v>-9.5999999999999992E-3</v>
      </c>
      <c r="H144" s="220">
        <v>-1.2699999999999999E-2</v>
      </c>
      <c r="I144" s="220">
        <v>1.3599999999999999E-2</v>
      </c>
      <c r="J144" s="220">
        <v>-4.2799999999999998E-2</v>
      </c>
      <c r="K144" s="220">
        <v>5.6399999999999999E-2</v>
      </c>
      <c r="L144" s="220" t="s">
        <v>333</v>
      </c>
      <c r="M144" s="319" t="s">
        <v>334</v>
      </c>
      <c r="N144" s="319">
        <v>0</v>
      </c>
      <c r="O144" s="220">
        <v>4.5999999999999999E-2</v>
      </c>
      <c r="P144" s="319" t="s">
        <v>439</v>
      </c>
      <c r="Q144" s="319" t="s">
        <v>439</v>
      </c>
      <c r="R144" s="482" t="s">
        <v>439</v>
      </c>
      <c r="S144" s="334" t="s">
        <v>439</v>
      </c>
    </row>
    <row r="145" spans="1:19" x14ac:dyDescent="0.3">
      <c r="A145" s="523"/>
      <c r="B145" s="478" t="s">
        <v>366</v>
      </c>
      <c r="C145" s="219" t="s">
        <v>322</v>
      </c>
      <c r="D145" s="220">
        <v>0.2157</v>
      </c>
      <c r="E145" s="220">
        <v>0.23530000000000001</v>
      </c>
      <c r="F145" s="220">
        <v>1.06E-2</v>
      </c>
      <c r="G145" s="220">
        <v>-2.7E-2</v>
      </c>
      <c r="H145" s="220">
        <v>-3.7600000000000001E-2</v>
      </c>
      <c r="I145" s="220">
        <v>4.5199999999999997E-2</v>
      </c>
      <c r="J145" s="220">
        <v>-0.12509999999999999</v>
      </c>
      <c r="K145" s="220">
        <v>0.1704</v>
      </c>
      <c r="L145" s="220" t="s">
        <v>333</v>
      </c>
      <c r="M145" s="319" t="s">
        <v>356</v>
      </c>
      <c r="N145" s="319" t="s">
        <v>439</v>
      </c>
      <c r="O145" s="220">
        <v>0.01</v>
      </c>
      <c r="P145" s="319" t="s">
        <v>439</v>
      </c>
      <c r="Q145" s="319" t="s">
        <v>439</v>
      </c>
      <c r="R145" s="483"/>
      <c r="S145" s="475"/>
    </row>
    <row r="146" spans="1:19" x14ac:dyDescent="0.3">
      <c r="A146" s="523"/>
      <c r="B146" s="479" t="s">
        <v>366</v>
      </c>
      <c r="C146" s="219" t="s">
        <v>323</v>
      </c>
      <c r="D146" s="220">
        <v>0.2056</v>
      </c>
      <c r="E146" s="220">
        <v>0.25</v>
      </c>
      <c r="F146" s="220">
        <v>0.05</v>
      </c>
      <c r="G146" s="220">
        <v>-7.7799999999999994E-2</v>
      </c>
      <c r="H146" s="220">
        <v>-0.1278</v>
      </c>
      <c r="I146" s="220">
        <v>0.19989999999999999</v>
      </c>
      <c r="J146" s="220">
        <v>-0.3785</v>
      </c>
      <c r="K146" s="220">
        <v>0.57840000000000003</v>
      </c>
      <c r="L146" s="220" t="s">
        <v>333</v>
      </c>
      <c r="M146" s="320" t="s">
        <v>356</v>
      </c>
      <c r="N146" s="319" t="s">
        <v>439</v>
      </c>
      <c r="O146" s="220">
        <v>2.53E-2</v>
      </c>
      <c r="P146" s="319" t="s">
        <v>439</v>
      </c>
      <c r="Q146" s="319" t="s">
        <v>439</v>
      </c>
      <c r="R146" s="484"/>
      <c r="S146" s="481"/>
    </row>
    <row r="147" spans="1:19" x14ac:dyDescent="0.3">
      <c r="A147" s="523"/>
      <c r="B147" s="480" t="s">
        <v>367</v>
      </c>
      <c r="C147" s="219" t="s">
        <v>324</v>
      </c>
      <c r="D147" s="220">
        <v>0.22450000000000001</v>
      </c>
      <c r="E147" s="220">
        <v>0.1429</v>
      </c>
      <c r="F147" s="220">
        <v>7.3000000000000001E-3</v>
      </c>
      <c r="G147" s="220">
        <v>-9.5999999999999992E-3</v>
      </c>
      <c r="H147" s="220">
        <v>-1.7000000000000001E-2</v>
      </c>
      <c r="I147" s="220">
        <v>5.1400000000000001E-2</v>
      </c>
      <c r="J147" s="220">
        <v>-4.2799999999999998E-2</v>
      </c>
      <c r="K147" s="220">
        <v>9.4200000000000006E-2</v>
      </c>
      <c r="L147" s="220" t="s">
        <v>333</v>
      </c>
      <c r="M147" s="319" t="s">
        <v>334</v>
      </c>
      <c r="N147" s="319">
        <v>0</v>
      </c>
      <c r="O147" s="220">
        <v>6.4999999999999997E-3</v>
      </c>
      <c r="P147" s="319" t="s">
        <v>439</v>
      </c>
      <c r="Q147" s="319" t="s">
        <v>439</v>
      </c>
      <c r="R147" s="482" t="s">
        <v>439</v>
      </c>
      <c r="S147" s="334" t="s">
        <v>439</v>
      </c>
    </row>
    <row r="148" spans="1:19" x14ac:dyDescent="0.3">
      <c r="A148" s="523"/>
      <c r="B148" s="478" t="s">
        <v>367</v>
      </c>
      <c r="C148" s="219" t="s">
        <v>322</v>
      </c>
      <c r="D148" s="220">
        <v>0.2157</v>
      </c>
      <c r="E148" s="220">
        <v>0.15690000000000001</v>
      </c>
      <c r="F148" s="220">
        <v>2.4500000000000001E-2</v>
      </c>
      <c r="G148" s="220">
        <v>-2.7E-2</v>
      </c>
      <c r="H148" s="220">
        <v>-5.1499999999999997E-2</v>
      </c>
      <c r="I148" s="220">
        <v>0.15629999999999999</v>
      </c>
      <c r="J148" s="220">
        <v>-0.12509999999999999</v>
      </c>
      <c r="K148" s="220">
        <v>0.28139999999999998</v>
      </c>
      <c r="L148" s="220" t="s">
        <v>333</v>
      </c>
      <c r="M148" s="319" t="s">
        <v>356</v>
      </c>
      <c r="N148" s="319" t="s">
        <v>439</v>
      </c>
      <c r="O148" s="220">
        <v>1.1000000000000001E-3</v>
      </c>
      <c r="P148" s="319" t="s">
        <v>439</v>
      </c>
      <c r="Q148" s="319" t="s">
        <v>439</v>
      </c>
      <c r="R148" s="483"/>
      <c r="S148" s="475"/>
    </row>
    <row r="149" spans="1:19" x14ac:dyDescent="0.3">
      <c r="A149" s="523"/>
      <c r="B149" s="479" t="s">
        <v>367</v>
      </c>
      <c r="C149" s="219" t="s">
        <v>323</v>
      </c>
      <c r="D149" s="220">
        <v>0.2056</v>
      </c>
      <c r="E149" s="220">
        <v>0.1333</v>
      </c>
      <c r="F149" s="220">
        <v>2.5000000000000001E-2</v>
      </c>
      <c r="G149" s="220">
        <v>-7.7799999999999994E-2</v>
      </c>
      <c r="H149" s="220">
        <v>-0.1028</v>
      </c>
      <c r="I149" s="220">
        <v>0.18770000000000001</v>
      </c>
      <c r="J149" s="220">
        <v>-0.3785</v>
      </c>
      <c r="K149" s="220">
        <v>0.56620000000000004</v>
      </c>
      <c r="L149" s="220" t="s">
        <v>333</v>
      </c>
      <c r="M149" s="319" t="s">
        <v>356</v>
      </c>
      <c r="N149" s="319" t="s">
        <v>439</v>
      </c>
      <c r="O149" s="220">
        <v>3.2300000000000002E-2</v>
      </c>
      <c r="P149" s="319" t="s">
        <v>439</v>
      </c>
      <c r="Q149" s="319" t="s">
        <v>439</v>
      </c>
      <c r="R149" s="484"/>
      <c r="S149" s="481"/>
    </row>
    <row r="150" spans="1:19" x14ac:dyDescent="0.3">
      <c r="A150" s="523"/>
      <c r="B150" s="480" t="s">
        <v>409</v>
      </c>
      <c r="C150" s="219" t="s">
        <v>324</v>
      </c>
      <c r="D150" s="220">
        <v>0.22450000000000001</v>
      </c>
      <c r="E150" s="220">
        <v>0.1837</v>
      </c>
      <c r="F150" s="220">
        <v>3.5999999999999999E-3</v>
      </c>
      <c r="G150" s="220">
        <v>-9.5999999999999992E-3</v>
      </c>
      <c r="H150" s="220">
        <v>-1.32E-2</v>
      </c>
      <c r="I150" s="220">
        <v>1.9400000000000001E-2</v>
      </c>
      <c r="J150" s="220">
        <v>-4.2799999999999998E-2</v>
      </c>
      <c r="K150" s="220">
        <v>6.2199999999999998E-2</v>
      </c>
      <c r="L150" s="220" t="s">
        <v>333</v>
      </c>
      <c r="M150" s="319" t="s">
        <v>334</v>
      </c>
      <c r="N150" s="319">
        <v>0</v>
      </c>
      <c r="O150" s="220">
        <v>3.2000000000000001E-2</v>
      </c>
      <c r="P150" s="319" t="s">
        <v>439</v>
      </c>
      <c r="Q150" s="319" t="s">
        <v>439</v>
      </c>
      <c r="R150" s="482" t="s">
        <v>439</v>
      </c>
      <c r="S150" s="334" t="s">
        <v>439</v>
      </c>
    </row>
    <row r="151" spans="1:19" x14ac:dyDescent="0.3">
      <c r="A151" s="523"/>
      <c r="B151" s="478" t="s">
        <v>409</v>
      </c>
      <c r="C151" s="219" t="s">
        <v>322</v>
      </c>
      <c r="D151" s="220">
        <v>0.2157</v>
      </c>
      <c r="E151" s="220">
        <v>0.17649999999999999</v>
      </c>
      <c r="F151" s="220">
        <v>6.4999999999999997E-3</v>
      </c>
      <c r="G151" s="220">
        <v>-2.7E-2</v>
      </c>
      <c r="H151" s="220">
        <v>-3.3500000000000002E-2</v>
      </c>
      <c r="I151" s="220">
        <v>3.6999999999999998E-2</v>
      </c>
      <c r="J151" s="220">
        <v>-0.12509999999999999</v>
      </c>
      <c r="K151" s="220">
        <v>0.16220000000000001</v>
      </c>
      <c r="L151" s="220" t="s">
        <v>333</v>
      </c>
      <c r="M151" s="319" t="s">
        <v>356</v>
      </c>
      <c r="N151" s="319" t="s">
        <v>439</v>
      </c>
      <c r="O151" s="220">
        <v>2.6100000000000002E-2</v>
      </c>
      <c r="P151" s="319" t="s">
        <v>439</v>
      </c>
      <c r="Q151" s="319" t="s">
        <v>439</v>
      </c>
      <c r="R151" s="483"/>
      <c r="S151" s="475"/>
    </row>
    <row r="152" spans="1:19" x14ac:dyDescent="0.3">
      <c r="A152" s="523"/>
      <c r="B152" s="479" t="s">
        <v>409</v>
      </c>
      <c r="C152" s="219" t="s">
        <v>323</v>
      </c>
      <c r="D152" s="220">
        <v>0.2056</v>
      </c>
      <c r="E152" s="220">
        <v>0.16669999999999999</v>
      </c>
      <c r="F152" s="220">
        <v>0</v>
      </c>
      <c r="G152" s="220">
        <v>-7.7799999999999994E-2</v>
      </c>
      <c r="H152" s="220">
        <v>-7.7799999999999994E-2</v>
      </c>
      <c r="I152" s="220">
        <v>0</v>
      </c>
      <c r="J152" s="220">
        <v>-0.3785</v>
      </c>
      <c r="K152" s="220">
        <v>0.3785</v>
      </c>
      <c r="L152" s="220" t="s">
        <v>335</v>
      </c>
      <c r="M152" s="319" t="s">
        <v>356</v>
      </c>
      <c r="N152" s="319" t="s">
        <v>439</v>
      </c>
      <c r="O152" s="220">
        <v>0.1138</v>
      </c>
      <c r="P152" s="319">
        <v>0</v>
      </c>
      <c r="Q152" s="319" t="s">
        <v>439</v>
      </c>
      <c r="R152" s="484"/>
      <c r="S152" s="481"/>
    </row>
    <row r="153" spans="1:19" x14ac:dyDescent="0.3">
      <c r="A153" s="523"/>
      <c r="B153" s="480" t="s">
        <v>360</v>
      </c>
      <c r="C153" s="219" t="s">
        <v>324</v>
      </c>
      <c r="D153" s="220">
        <v>0.22450000000000001</v>
      </c>
      <c r="E153" s="220">
        <v>0.28570000000000001</v>
      </c>
      <c r="F153" s="220">
        <v>8.5000000000000006E-3</v>
      </c>
      <c r="G153" s="220">
        <v>-9.5999999999999992E-3</v>
      </c>
      <c r="H153" s="220">
        <v>-1.8100000000000002E-2</v>
      </c>
      <c r="I153" s="220">
        <v>2.9600000000000001E-2</v>
      </c>
      <c r="J153" s="220">
        <v>-4.2799999999999998E-2</v>
      </c>
      <c r="K153" s="220">
        <v>7.2400000000000006E-2</v>
      </c>
      <c r="L153" s="220" t="s">
        <v>333</v>
      </c>
      <c r="M153" s="319" t="s">
        <v>334</v>
      </c>
      <c r="N153" s="319">
        <v>0</v>
      </c>
      <c r="O153" s="220">
        <v>2.9899999999999999E-2</v>
      </c>
      <c r="P153" s="319" t="s">
        <v>439</v>
      </c>
      <c r="Q153" s="319" t="s">
        <v>439</v>
      </c>
      <c r="R153" s="482" t="s">
        <v>439</v>
      </c>
      <c r="S153" s="334" t="s">
        <v>439</v>
      </c>
    </row>
    <row r="154" spans="1:19" x14ac:dyDescent="0.3">
      <c r="A154" s="523"/>
      <c r="B154" s="478" t="s">
        <v>360</v>
      </c>
      <c r="C154" s="219" t="s">
        <v>322</v>
      </c>
      <c r="D154" s="220">
        <v>0.2157</v>
      </c>
      <c r="E154" s="220">
        <v>0.29409999999999997</v>
      </c>
      <c r="F154" s="220">
        <v>2.6200000000000001E-2</v>
      </c>
      <c r="G154" s="220">
        <v>-2.7E-2</v>
      </c>
      <c r="H154" s="220">
        <v>-5.3100000000000001E-2</v>
      </c>
      <c r="I154" s="220">
        <v>8.8900000000000007E-2</v>
      </c>
      <c r="J154" s="220">
        <v>-0.12509999999999999</v>
      </c>
      <c r="K154" s="220">
        <v>0.21410000000000001</v>
      </c>
      <c r="L154" s="220" t="s">
        <v>333</v>
      </c>
      <c r="M154" s="319" t="s">
        <v>356</v>
      </c>
      <c r="N154" s="319" t="s">
        <v>439</v>
      </c>
      <c r="O154" s="220">
        <v>5.3400000000000003E-2</v>
      </c>
      <c r="P154" s="319" t="s">
        <v>439</v>
      </c>
      <c r="Q154" s="319" t="s">
        <v>439</v>
      </c>
      <c r="R154" s="483"/>
      <c r="S154" s="475"/>
    </row>
    <row r="155" spans="1:19" ht="15" thickBot="1" x14ac:dyDescent="0.35">
      <c r="A155" s="524"/>
      <c r="B155" s="505" t="s">
        <v>360</v>
      </c>
      <c r="C155" s="223" t="s">
        <v>323</v>
      </c>
      <c r="D155" s="224">
        <v>0.2056</v>
      </c>
      <c r="E155" s="224">
        <v>0.3</v>
      </c>
      <c r="F155" s="224">
        <v>9.1600000000000001E-2</v>
      </c>
      <c r="G155" s="224">
        <v>-7.7799999999999994E-2</v>
      </c>
      <c r="H155" s="224">
        <v>-0.1694</v>
      </c>
      <c r="I155" s="224">
        <v>0.30549999999999999</v>
      </c>
      <c r="J155" s="224">
        <v>-0.3785</v>
      </c>
      <c r="K155" s="224">
        <v>0.68400000000000005</v>
      </c>
      <c r="L155" s="224" t="s">
        <v>333</v>
      </c>
      <c r="M155" s="322" t="s">
        <v>356</v>
      </c>
      <c r="N155" s="322" t="s">
        <v>439</v>
      </c>
      <c r="O155" s="224">
        <v>5.8299999999999998E-2</v>
      </c>
      <c r="P155" s="322" t="s">
        <v>439</v>
      </c>
      <c r="Q155" s="322" t="s">
        <v>439</v>
      </c>
      <c r="R155" s="506"/>
      <c r="S155" s="476"/>
    </row>
    <row r="156" spans="1:19" x14ac:dyDescent="0.3">
      <c r="A156" s="522" t="s">
        <v>372</v>
      </c>
      <c r="B156" s="496" t="s">
        <v>319</v>
      </c>
      <c r="C156" s="508" t="s">
        <v>324</v>
      </c>
      <c r="D156" s="509">
        <v>0.36840000000000001</v>
      </c>
      <c r="E156" s="509">
        <v>6.7367999999999997</v>
      </c>
      <c r="F156" s="509">
        <v>3.61E-2</v>
      </c>
      <c r="G156" s="509">
        <v>5.0000000000000001E-4</v>
      </c>
      <c r="H156" s="509">
        <v>-3.56E-2</v>
      </c>
      <c r="I156" s="509">
        <v>5.4000000000000003E-3</v>
      </c>
      <c r="J156" s="509">
        <v>1.1999999999999999E-3</v>
      </c>
      <c r="K156" s="509">
        <v>4.1000000000000003E-3</v>
      </c>
      <c r="L156" s="509" t="s">
        <v>335</v>
      </c>
      <c r="M156" s="499" t="s">
        <v>354</v>
      </c>
      <c r="N156" s="499">
        <v>2</v>
      </c>
      <c r="O156" s="509">
        <v>0.1661</v>
      </c>
      <c r="P156" s="499">
        <v>0</v>
      </c>
      <c r="Q156" s="499">
        <v>2</v>
      </c>
      <c r="R156" s="500">
        <v>8</v>
      </c>
      <c r="S156" s="501">
        <v>2</v>
      </c>
    </row>
    <row r="157" spans="1:19" x14ac:dyDescent="0.3">
      <c r="A157" s="523"/>
      <c r="B157" s="490" t="s">
        <v>319</v>
      </c>
      <c r="C157" s="494" t="s">
        <v>322</v>
      </c>
      <c r="D157" s="495">
        <v>0.36840000000000001</v>
      </c>
      <c r="E157" s="495">
        <v>6.7367999999999997</v>
      </c>
      <c r="F157" s="495">
        <v>0.1099</v>
      </c>
      <c r="G157" s="495">
        <v>2.8999999999999998E-3</v>
      </c>
      <c r="H157" s="495">
        <v>-0.107</v>
      </c>
      <c r="I157" s="495">
        <v>1.6299999999999999E-2</v>
      </c>
      <c r="J157" s="495">
        <v>7.9000000000000008E-3</v>
      </c>
      <c r="K157" s="495">
        <v>8.3999999999999995E-3</v>
      </c>
      <c r="L157" s="495" t="s">
        <v>335</v>
      </c>
      <c r="M157" s="488" t="s">
        <v>354</v>
      </c>
      <c r="N157" s="488">
        <v>2</v>
      </c>
      <c r="O157" s="495">
        <v>0.21659999999999999</v>
      </c>
      <c r="P157" s="488">
        <v>1</v>
      </c>
      <c r="Q157" s="488">
        <v>3</v>
      </c>
      <c r="R157" s="491"/>
      <c r="S157" s="502"/>
    </row>
    <row r="158" spans="1:19" x14ac:dyDescent="0.3">
      <c r="A158" s="523"/>
      <c r="B158" s="492" t="s">
        <v>319</v>
      </c>
      <c r="C158" s="494" t="s">
        <v>323</v>
      </c>
      <c r="D158" s="495">
        <v>0.36109999999999998</v>
      </c>
      <c r="E158" s="495">
        <v>6.7</v>
      </c>
      <c r="F158" s="495">
        <v>0.21690000000000001</v>
      </c>
      <c r="G158" s="495">
        <v>-5.5999999999999999E-3</v>
      </c>
      <c r="H158" s="495">
        <v>-0.2225</v>
      </c>
      <c r="I158" s="495">
        <v>3.2399999999999998E-2</v>
      </c>
      <c r="J158" s="495">
        <v>-1.54E-2</v>
      </c>
      <c r="K158" s="495">
        <v>4.7800000000000002E-2</v>
      </c>
      <c r="L158" s="495" t="s">
        <v>333</v>
      </c>
      <c r="M158" s="488" t="s">
        <v>355</v>
      </c>
      <c r="N158" s="488">
        <v>1</v>
      </c>
      <c r="O158" s="495">
        <v>0.68930000000000002</v>
      </c>
      <c r="P158" s="488">
        <v>2</v>
      </c>
      <c r="Q158" s="488">
        <v>3</v>
      </c>
      <c r="R158" s="493"/>
      <c r="S158" s="503"/>
    </row>
    <row r="159" spans="1:19" x14ac:dyDescent="0.3">
      <c r="A159" s="523"/>
      <c r="B159" s="485" t="s">
        <v>371</v>
      </c>
      <c r="C159" s="494" t="s">
        <v>324</v>
      </c>
      <c r="D159" s="495">
        <v>0.36840000000000001</v>
      </c>
      <c r="E159" s="495">
        <v>1.2456</v>
      </c>
      <c r="F159" s="495">
        <v>-2.9999999999999997E-4</v>
      </c>
      <c r="G159" s="495">
        <v>5.0000000000000001E-4</v>
      </c>
      <c r="H159" s="495">
        <v>6.9999999999999999E-4</v>
      </c>
      <c r="I159" s="495">
        <v>-2.0000000000000001E-4</v>
      </c>
      <c r="J159" s="495">
        <v>1.1999999999999999E-3</v>
      </c>
      <c r="K159" s="495">
        <v>1.4E-3</v>
      </c>
      <c r="L159" s="495" t="s">
        <v>333</v>
      </c>
      <c r="M159" s="488" t="s">
        <v>355</v>
      </c>
      <c r="N159" s="488">
        <v>1</v>
      </c>
      <c r="O159" s="495">
        <v>0.9456</v>
      </c>
      <c r="P159" s="488">
        <v>4</v>
      </c>
      <c r="Q159" s="488">
        <v>5</v>
      </c>
      <c r="R159" s="489">
        <v>13</v>
      </c>
      <c r="S159" s="504">
        <v>1</v>
      </c>
    </row>
    <row r="160" spans="1:19" x14ac:dyDescent="0.3">
      <c r="A160" s="523"/>
      <c r="B160" s="490" t="s">
        <v>371</v>
      </c>
      <c r="C160" s="494" t="s">
        <v>322</v>
      </c>
      <c r="D160" s="495">
        <v>0.36840000000000001</v>
      </c>
      <c r="E160" s="495">
        <v>1.2456</v>
      </c>
      <c r="F160" s="495">
        <v>-2.3999999999999998E-3</v>
      </c>
      <c r="G160" s="495">
        <v>2.8999999999999998E-3</v>
      </c>
      <c r="H160" s="495">
        <v>5.3E-3</v>
      </c>
      <c r="I160" s="495">
        <v>-1.9E-3</v>
      </c>
      <c r="J160" s="495">
        <v>7.9000000000000008E-3</v>
      </c>
      <c r="K160" s="495">
        <v>9.7999999999999997E-3</v>
      </c>
      <c r="L160" s="495" t="s">
        <v>333</v>
      </c>
      <c r="M160" s="488" t="s">
        <v>355</v>
      </c>
      <c r="N160" s="488">
        <v>1</v>
      </c>
      <c r="O160" s="495">
        <v>0.8669</v>
      </c>
      <c r="P160" s="488">
        <v>3</v>
      </c>
      <c r="Q160" s="488">
        <v>4</v>
      </c>
      <c r="R160" s="491"/>
      <c r="S160" s="502"/>
    </row>
    <row r="161" spans="1:19" ht="15" thickBot="1" x14ac:dyDescent="0.35">
      <c r="A161" s="524"/>
      <c r="B161" s="510" t="s">
        <v>371</v>
      </c>
      <c r="C161" s="511" t="s">
        <v>323</v>
      </c>
      <c r="D161" s="512">
        <v>0.36109999999999998</v>
      </c>
      <c r="E161" s="512">
        <v>1.2</v>
      </c>
      <c r="F161" s="512">
        <v>-7.4899999999999994E-2</v>
      </c>
      <c r="G161" s="512">
        <v>-5.5999999999999999E-3</v>
      </c>
      <c r="H161" s="512">
        <v>6.9400000000000003E-2</v>
      </c>
      <c r="I161" s="512">
        <v>-6.2399999999999997E-2</v>
      </c>
      <c r="J161" s="512">
        <v>-1.54E-2</v>
      </c>
      <c r="K161" s="512">
        <v>4.7E-2</v>
      </c>
      <c r="L161" s="512" t="s">
        <v>335</v>
      </c>
      <c r="M161" s="513" t="s">
        <v>354</v>
      </c>
      <c r="N161" s="513">
        <v>2</v>
      </c>
      <c r="O161" s="512">
        <v>0.59309999999999996</v>
      </c>
      <c r="P161" s="513">
        <v>2</v>
      </c>
      <c r="Q161" s="513">
        <v>4</v>
      </c>
      <c r="R161" s="514"/>
      <c r="S161" s="515"/>
    </row>
    <row r="162" spans="1:19" x14ac:dyDescent="0.3">
      <c r="A162" s="522" t="s">
        <v>368</v>
      </c>
      <c r="B162" s="477" t="s">
        <v>357</v>
      </c>
      <c r="C162" s="221" t="s">
        <v>324</v>
      </c>
      <c r="D162" s="222">
        <v>0.36209999999999998</v>
      </c>
      <c r="E162" s="222">
        <v>0.2414</v>
      </c>
      <c r="F162" s="222">
        <v>4.8999999999999998E-3</v>
      </c>
      <c r="G162" s="222">
        <v>-6.9999999999999999E-4</v>
      </c>
      <c r="H162" s="222">
        <v>-5.5999999999999999E-3</v>
      </c>
      <c r="I162" s="222">
        <v>2.01E-2</v>
      </c>
      <c r="J162" s="222">
        <v>-2E-3</v>
      </c>
      <c r="K162" s="222">
        <v>2.2100000000000002E-2</v>
      </c>
      <c r="L162" s="222" t="s">
        <v>333</v>
      </c>
      <c r="M162" s="321" t="s">
        <v>355</v>
      </c>
      <c r="N162" s="321">
        <v>1</v>
      </c>
      <c r="O162" s="222">
        <v>0.34710000000000002</v>
      </c>
      <c r="P162" s="321">
        <v>1</v>
      </c>
      <c r="Q162" s="321">
        <v>2</v>
      </c>
      <c r="R162" s="507" t="s">
        <v>439</v>
      </c>
      <c r="S162" s="474" t="s">
        <v>439</v>
      </c>
    </row>
    <row r="163" spans="1:19" x14ac:dyDescent="0.3">
      <c r="A163" s="523"/>
      <c r="B163" s="478" t="s">
        <v>357</v>
      </c>
      <c r="C163" s="219" t="s">
        <v>322</v>
      </c>
      <c r="D163" s="220">
        <v>0.35</v>
      </c>
      <c r="E163" s="220">
        <v>0.25</v>
      </c>
      <c r="F163" s="220">
        <v>1.5299999999999999E-2</v>
      </c>
      <c r="G163" s="220">
        <v>-5.7999999999999996E-3</v>
      </c>
      <c r="H163" s="220">
        <v>-2.1100000000000001E-2</v>
      </c>
      <c r="I163" s="220">
        <v>6.1100000000000002E-2</v>
      </c>
      <c r="J163" s="220">
        <v>-1.6500000000000001E-2</v>
      </c>
      <c r="K163" s="220">
        <v>7.7600000000000002E-2</v>
      </c>
      <c r="L163" s="220" t="s">
        <v>333</v>
      </c>
      <c r="M163" s="319" t="s">
        <v>334</v>
      </c>
      <c r="N163" s="319">
        <v>0</v>
      </c>
      <c r="O163" s="220">
        <v>0.19289999999999999</v>
      </c>
      <c r="P163" s="319">
        <v>0</v>
      </c>
      <c r="Q163" s="319">
        <v>0</v>
      </c>
      <c r="R163" s="483"/>
      <c r="S163" s="475"/>
    </row>
    <row r="164" spans="1:19" x14ac:dyDescent="0.3">
      <c r="A164" s="523"/>
      <c r="B164" s="479" t="s">
        <v>357</v>
      </c>
      <c r="C164" s="219" t="s">
        <v>323</v>
      </c>
      <c r="D164" s="220">
        <v>0.35670000000000002</v>
      </c>
      <c r="E164" s="220">
        <v>0.25</v>
      </c>
      <c r="F164" s="220">
        <v>5.8299999999999998E-2</v>
      </c>
      <c r="G164" s="220">
        <v>-0.01</v>
      </c>
      <c r="H164" s="220">
        <v>-6.83E-2</v>
      </c>
      <c r="I164" s="220">
        <v>0.23330000000000001</v>
      </c>
      <c r="J164" s="220">
        <v>-2.7900000000000001E-2</v>
      </c>
      <c r="K164" s="220">
        <v>0.26129999999999998</v>
      </c>
      <c r="L164" s="220" t="s">
        <v>333</v>
      </c>
      <c r="M164" s="319" t="s">
        <v>356</v>
      </c>
      <c r="N164" s="319" t="s">
        <v>439</v>
      </c>
      <c r="O164" s="220">
        <v>0.24490000000000001</v>
      </c>
      <c r="P164" s="319">
        <v>1</v>
      </c>
      <c r="Q164" s="319" t="s">
        <v>439</v>
      </c>
      <c r="R164" s="484"/>
      <c r="S164" s="481"/>
    </row>
    <row r="165" spans="1:19" x14ac:dyDescent="0.3">
      <c r="A165" s="523"/>
      <c r="B165" s="480" t="s">
        <v>362</v>
      </c>
      <c r="C165" s="219" t="s">
        <v>324</v>
      </c>
      <c r="D165" s="220">
        <v>0.36209999999999998</v>
      </c>
      <c r="E165" s="220">
        <v>0.22409999999999999</v>
      </c>
      <c r="F165" s="220">
        <v>5.7999999999999996E-3</v>
      </c>
      <c r="G165" s="220">
        <v>-6.9999999999999999E-4</v>
      </c>
      <c r="H165" s="220">
        <v>-6.4999999999999997E-3</v>
      </c>
      <c r="I165" s="220">
        <v>2.5700000000000001E-2</v>
      </c>
      <c r="J165" s="220">
        <v>-2E-3</v>
      </c>
      <c r="K165" s="220">
        <v>2.76E-2</v>
      </c>
      <c r="L165" s="220" t="s">
        <v>333</v>
      </c>
      <c r="M165" s="319" t="s">
        <v>355</v>
      </c>
      <c r="N165" s="319">
        <v>1</v>
      </c>
      <c r="O165" s="220">
        <v>0.28499999999999998</v>
      </c>
      <c r="P165" s="319">
        <v>1</v>
      </c>
      <c r="Q165" s="319">
        <v>2</v>
      </c>
      <c r="R165" s="482" t="s">
        <v>439</v>
      </c>
      <c r="S165" s="334" t="s">
        <v>439</v>
      </c>
    </row>
    <row r="166" spans="1:19" x14ac:dyDescent="0.3">
      <c r="A166" s="523"/>
      <c r="B166" s="478" t="s">
        <v>362</v>
      </c>
      <c r="C166" s="219" t="s">
        <v>322</v>
      </c>
      <c r="D166" s="220">
        <v>0.35</v>
      </c>
      <c r="E166" s="220">
        <v>0.2167</v>
      </c>
      <c r="F166" s="220">
        <v>1.2800000000000001E-2</v>
      </c>
      <c r="G166" s="220">
        <v>-5.7999999999999996E-3</v>
      </c>
      <c r="H166" s="220">
        <v>-1.8499999999999999E-2</v>
      </c>
      <c r="I166" s="220">
        <v>5.8999999999999997E-2</v>
      </c>
      <c r="J166" s="220">
        <v>-1.6500000000000001E-2</v>
      </c>
      <c r="K166" s="220">
        <v>7.5399999999999995E-2</v>
      </c>
      <c r="L166" s="220" t="s">
        <v>333</v>
      </c>
      <c r="M166" s="319" t="s">
        <v>334</v>
      </c>
      <c r="N166" s="319">
        <v>0</v>
      </c>
      <c r="O166" s="220">
        <v>0.29160000000000003</v>
      </c>
      <c r="P166" s="319">
        <v>1</v>
      </c>
      <c r="Q166" s="319">
        <v>1</v>
      </c>
      <c r="R166" s="483"/>
      <c r="S166" s="475"/>
    </row>
    <row r="167" spans="1:19" x14ac:dyDescent="0.3">
      <c r="A167" s="523"/>
      <c r="B167" s="479" t="s">
        <v>362</v>
      </c>
      <c r="C167" s="219" t="s">
        <v>323</v>
      </c>
      <c r="D167" s="220">
        <v>0.35670000000000002</v>
      </c>
      <c r="E167" s="220">
        <v>0.2167</v>
      </c>
      <c r="F167" s="220">
        <v>5.8299999999999998E-2</v>
      </c>
      <c r="G167" s="220">
        <v>-0.01</v>
      </c>
      <c r="H167" s="220">
        <v>-6.83E-2</v>
      </c>
      <c r="I167" s="220">
        <v>0.26929999999999998</v>
      </c>
      <c r="J167" s="220">
        <v>-2.7900000000000001E-2</v>
      </c>
      <c r="K167" s="220">
        <v>0.29720000000000002</v>
      </c>
      <c r="L167" s="220" t="s">
        <v>333</v>
      </c>
      <c r="M167" s="319" t="s">
        <v>356</v>
      </c>
      <c r="N167" s="319" t="s">
        <v>439</v>
      </c>
      <c r="O167" s="220">
        <v>0.36849999999999999</v>
      </c>
      <c r="P167" s="319">
        <v>1</v>
      </c>
      <c r="Q167" s="319" t="s">
        <v>439</v>
      </c>
      <c r="R167" s="484"/>
      <c r="S167" s="481"/>
    </row>
    <row r="168" spans="1:19" x14ac:dyDescent="0.3">
      <c r="A168" s="523"/>
      <c r="B168" s="480" t="s">
        <v>359</v>
      </c>
      <c r="C168" s="219" t="s">
        <v>324</v>
      </c>
      <c r="D168" s="220">
        <v>0.36209999999999998</v>
      </c>
      <c r="E168" s="220">
        <v>0.37930000000000003</v>
      </c>
      <c r="F168" s="220">
        <v>7.6E-3</v>
      </c>
      <c r="G168" s="220">
        <v>-6.9999999999999999E-4</v>
      </c>
      <c r="H168" s="220">
        <v>-8.3000000000000001E-3</v>
      </c>
      <c r="I168" s="220">
        <v>0.02</v>
      </c>
      <c r="J168" s="220">
        <v>-2E-3</v>
      </c>
      <c r="K168" s="220">
        <v>2.1899999999999999E-2</v>
      </c>
      <c r="L168" s="220" t="s">
        <v>333</v>
      </c>
      <c r="M168" s="319" t="s">
        <v>355</v>
      </c>
      <c r="N168" s="319">
        <v>1</v>
      </c>
      <c r="O168" s="220">
        <v>0.20349999999999999</v>
      </c>
      <c r="P168" s="319">
        <v>1</v>
      </c>
      <c r="Q168" s="319">
        <v>2</v>
      </c>
      <c r="R168" s="482" t="s">
        <v>439</v>
      </c>
      <c r="S168" s="334" t="s">
        <v>439</v>
      </c>
    </row>
    <row r="169" spans="1:19" x14ac:dyDescent="0.3">
      <c r="A169" s="523"/>
      <c r="B169" s="478" t="s">
        <v>359</v>
      </c>
      <c r="C169" s="219" t="s">
        <v>322</v>
      </c>
      <c r="D169" s="220">
        <v>0.35</v>
      </c>
      <c r="E169" s="220">
        <v>0.38329999999999997</v>
      </c>
      <c r="F169" s="220">
        <v>2.23E-2</v>
      </c>
      <c r="G169" s="220">
        <v>-5.7999999999999996E-3</v>
      </c>
      <c r="H169" s="220">
        <v>-2.81E-2</v>
      </c>
      <c r="I169" s="220">
        <v>5.8200000000000002E-2</v>
      </c>
      <c r="J169" s="220">
        <v>-1.6500000000000001E-2</v>
      </c>
      <c r="K169" s="220">
        <v>7.4700000000000003E-2</v>
      </c>
      <c r="L169" s="220" t="s">
        <v>333</v>
      </c>
      <c r="M169" s="319" t="s">
        <v>334</v>
      </c>
      <c r="N169" s="319">
        <v>0</v>
      </c>
      <c r="O169" s="220">
        <v>0.10290000000000001</v>
      </c>
      <c r="P169" s="319">
        <v>0</v>
      </c>
      <c r="Q169" s="319">
        <v>0</v>
      </c>
      <c r="R169" s="483"/>
      <c r="S169" s="475"/>
    </row>
    <row r="170" spans="1:19" x14ac:dyDescent="0.3">
      <c r="A170" s="523"/>
      <c r="B170" s="479" t="s">
        <v>359</v>
      </c>
      <c r="C170" s="219" t="s">
        <v>323</v>
      </c>
      <c r="D170" s="220">
        <v>0.35670000000000002</v>
      </c>
      <c r="E170" s="220">
        <v>0.38329999999999997</v>
      </c>
      <c r="F170" s="220">
        <v>0.1</v>
      </c>
      <c r="G170" s="220">
        <v>-0.01</v>
      </c>
      <c r="H170" s="220">
        <v>-0.11</v>
      </c>
      <c r="I170" s="220">
        <v>0.26100000000000001</v>
      </c>
      <c r="J170" s="220">
        <v>-2.7900000000000001E-2</v>
      </c>
      <c r="K170" s="220">
        <v>0.28889999999999999</v>
      </c>
      <c r="L170" s="220" t="s">
        <v>333</v>
      </c>
      <c r="M170" s="319" t="s">
        <v>356</v>
      </c>
      <c r="N170" s="319" t="s">
        <v>439</v>
      </c>
      <c r="O170" s="220">
        <v>0.1555</v>
      </c>
      <c r="P170" s="319">
        <v>0</v>
      </c>
      <c r="Q170" s="319" t="s">
        <v>439</v>
      </c>
      <c r="R170" s="484"/>
      <c r="S170" s="481"/>
    </row>
    <row r="171" spans="1:19" x14ac:dyDescent="0.3">
      <c r="A171" s="523"/>
      <c r="B171" s="485" t="s">
        <v>365</v>
      </c>
      <c r="C171" s="494" t="s">
        <v>324</v>
      </c>
      <c r="D171" s="495">
        <v>0.36209999999999998</v>
      </c>
      <c r="E171" s="495">
        <v>0.44829999999999998</v>
      </c>
      <c r="F171" s="495">
        <v>1.1999999999999999E-3</v>
      </c>
      <c r="G171" s="495">
        <v>-6.9999999999999999E-4</v>
      </c>
      <c r="H171" s="495">
        <v>-1.9E-3</v>
      </c>
      <c r="I171" s="495">
        <v>2.5999999999999999E-3</v>
      </c>
      <c r="J171" s="495">
        <v>-2E-3</v>
      </c>
      <c r="K171" s="495">
        <v>4.5999999999999999E-3</v>
      </c>
      <c r="L171" s="495" t="s">
        <v>333</v>
      </c>
      <c r="M171" s="488" t="s">
        <v>355</v>
      </c>
      <c r="N171" s="488">
        <v>1</v>
      </c>
      <c r="O171" s="495">
        <v>0.76480000000000004</v>
      </c>
      <c r="P171" s="488">
        <v>3</v>
      </c>
      <c r="Q171" s="488">
        <v>4</v>
      </c>
      <c r="R171" s="489">
        <v>15</v>
      </c>
      <c r="S171" s="504" t="s">
        <v>440</v>
      </c>
    </row>
    <row r="172" spans="1:19" x14ac:dyDescent="0.3">
      <c r="A172" s="523"/>
      <c r="B172" s="490" t="s">
        <v>365</v>
      </c>
      <c r="C172" s="494" t="s">
        <v>322</v>
      </c>
      <c r="D172" s="495">
        <v>0.35</v>
      </c>
      <c r="E172" s="495">
        <v>0.43330000000000002</v>
      </c>
      <c r="F172" s="495">
        <v>0</v>
      </c>
      <c r="G172" s="495">
        <v>-5.7999999999999996E-3</v>
      </c>
      <c r="H172" s="495">
        <v>-5.7999999999999996E-3</v>
      </c>
      <c r="I172" s="495">
        <v>0</v>
      </c>
      <c r="J172" s="495">
        <v>-1.6500000000000001E-2</v>
      </c>
      <c r="K172" s="495">
        <v>1.6400000000000001E-2</v>
      </c>
      <c r="L172" s="495" t="s">
        <v>335</v>
      </c>
      <c r="M172" s="488" t="s">
        <v>354</v>
      </c>
      <c r="N172" s="488">
        <v>2</v>
      </c>
      <c r="O172" s="495">
        <v>0.75790000000000002</v>
      </c>
      <c r="P172" s="488">
        <v>3</v>
      </c>
      <c r="Q172" s="488">
        <v>5</v>
      </c>
      <c r="R172" s="491"/>
      <c r="S172" s="502"/>
    </row>
    <row r="173" spans="1:19" x14ac:dyDescent="0.3">
      <c r="A173" s="523"/>
      <c r="B173" s="492" t="s">
        <v>365</v>
      </c>
      <c r="C173" s="494" t="s">
        <v>323</v>
      </c>
      <c r="D173" s="495">
        <v>0.35670000000000002</v>
      </c>
      <c r="E173" s="495">
        <v>0.43330000000000002</v>
      </c>
      <c r="F173" s="495">
        <v>-8.3000000000000001E-3</v>
      </c>
      <c r="G173" s="495">
        <v>-0.01</v>
      </c>
      <c r="H173" s="495">
        <v>-1.6000000000000001E-3</v>
      </c>
      <c r="I173" s="495">
        <v>-1.9300000000000001E-2</v>
      </c>
      <c r="J173" s="495">
        <v>-2.7900000000000001E-2</v>
      </c>
      <c r="K173" s="495">
        <v>8.6999999999999994E-3</v>
      </c>
      <c r="L173" s="495" t="s">
        <v>335</v>
      </c>
      <c r="M173" s="488" t="s">
        <v>354</v>
      </c>
      <c r="N173" s="488">
        <v>2</v>
      </c>
      <c r="O173" s="495">
        <v>0.97619999999999996</v>
      </c>
      <c r="P173" s="488">
        <v>4</v>
      </c>
      <c r="Q173" s="488">
        <v>6</v>
      </c>
      <c r="R173" s="493"/>
      <c r="S173" s="503"/>
    </row>
    <row r="174" spans="1:19" x14ac:dyDescent="0.3">
      <c r="A174" s="523"/>
      <c r="B174" s="485" t="s">
        <v>358</v>
      </c>
      <c r="C174" s="494" t="s">
        <v>324</v>
      </c>
      <c r="D174" s="495">
        <v>0.36209999999999998</v>
      </c>
      <c r="E174" s="495">
        <v>0.1552</v>
      </c>
      <c r="F174" s="495">
        <v>4.0000000000000002E-4</v>
      </c>
      <c r="G174" s="495">
        <v>-6.9999999999999999E-4</v>
      </c>
      <c r="H174" s="495">
        <v>-1.1000000000000001E-3</v>
      </c>
      <c r="I174" s="495">
        <v>2.5000000000000001E-3</v>
      </c>
      <c r="J174" s="495">
        <v>-2E-3</v>
      </c>
      <c r="K174" s="495">
        <v>4.4999999999999997E-3</v>
      </c>
      <c r="L174" s="495" t="s">
        <v>333</v>
      </c>
      <c r="M174" s="488" t="s">
        <v>355</v>
      </c>
      <c r="N174" s="488">
        <v>1</v>
      </c>
      <c r="O174" s="495">
        <v>0.83940000000000003</v>
      </c>
      <c r="P174" s="488">
        <v>3</v>
      </c>
      <c r="Q174" s="488">
        <v>4</v>
      </c>
      <c r="R174" s="489">
        <v>15</v>
      </c>
      <c r="S174" s="504" t="s">
        <v>440</v>
      </c>
    </row>
    <row r="175" spans="1:19" x14ac:dyDescent="0.3">
      <c r="A175" s="523"/>
      <c r="B175" s="490" t="s">
        <v>358</v>
      </c>
      <c r="C175" s="494" t="s">
        <v>322</v>
      </c>
      <c r="D175" s="495">
        <v>0.35</v>
      </c>
      <c r="E175" s="495">
        <v>0.15</v>
      </c>
      <c r="F175" s="495">
        <v>-8.0000000000000004E-4</v>
      </c>
      <c r="G175" s="495">
        <v>-5.7999999999999996E-3</v>
      </c>
      <c r="H175" s="495">
        <v>-5.0000000000000001E-3</v>
      </c>
      <c r="I175" s="495">
        <v>-5.0000000000000001E-3</v>
      </c>
      <c r="J175" s="495">
        <v>-1.6500000000000001E-2</v>
      </c>
      <c r="K175" s="495">
        <v>1.14E-2</v>
      </c>
      <c r="L175" s="495" t="s">
        <v>335</v>
      </c>
      <c r="M175" s="488" t="s">
        <v>354</v>
      </c>
      <c r="N175" s="488">
        <v>2</v>
      </c>
      <c r="O175" s="495">
        <v>0.72619999999999996</v>
      </c>
      <c r="P175" s="488">
        <v>3</v>
      </c>
      <c r="Q175" s="488">
        <v>5</v>
      </c>
      <c r="R175" s="491"/>
      <c r="S175" s="502"/>
    </row>
    <row r="176" spans="1:19" x14ac:dyDescent="0.3">
      <c r="A176" s="523"/>
      <c r="B176" s="492" t="s">
        <v>358</v>
      </c>
      <c r="C176" s="494" t="s">
        <v>323</v>
      </c>
      <c r="D176" s="495">
        <v>0.35670000000000002</v>
      </c>
      <c r="E176" s="495">
        <v>0.15</v>
      </c>
      <c r="F176" s="495">
        <v>-8.3000000000000001E-3</v>
      </c>
      <c r="G176" s="495">
        <v>-0.01</v>
      </c>
      <c r="H176" s="495">
        <v>-1.6000000000000001E-3</v>
      </c>
      <c r="I176" s="495">
        <v>-5.5599999999999997E-2</v>
      </c>
      <c r="J176" s="495">
        <v>-2.7900000000000001E-2</v>
      </c>
      <c r="K176" s="495">
        <v>2.76E-2</v>
      </c>
      <c r="L176" s="495" t="s">
        <v>335</v>
      </c>
      <c r="M176" s="488" t="s">
        <v>354</v>
      </c>
      <c r="N176" s="488">
        <v>2</v>
      </c>
      <c r="O176" s="495">
        <v>0.97599999999999998</v>
      </c>
      <c r="P176" s="488">
        <v>4</v>
      </c>
      <c r="Q176" s="488">
        <v>6</v>
      </c>
      <c r="R176" s="493"/>
      <c r="S176" s="503"/>
    </row>
    <row r="177" spans="1:19" x14ac:dyDescent="0.3">
      <c r="A177" s="523"/>
      <c r="B177" s="480" t="s">
        <v>361</v>
      </c>
      <c r="C177" s="219" t="s">
        <v>324</v>
      </c>
      <c r="D177" s="220">
        <v>0.36209999999999998</v>
      </c>
      <c r="E177" s="220">
        <v>8.6199999999999999E-2</v>
      </c>
      <c r="F177" s="220">
        <v>-3.8999999999999998E-3</v>
      </c>
      <c r="G177" s="220">
        <v>-6.9999999999999999E-4</v>
      </c>
      <c r="H177" s="220">
        <v>3.2000000000000002E-3</v>
      </c>
      <c r="I177" s="220">
        <v>-4.53E-2</v>
      </c>
      <c r="J177" s="220">
        <v>-2E-3</v>
      </c>
      <c r="K177" s="220">
        <v>4.3400000000000001E-2</v>
      </c>
      <c r="L177" s="220" t="s">
        <v>335</v>
      </c>
      <c r="M177" s="319" t="s">
        <v>354</v>
      </c>
      <c r="N177" s="319">
        <v>2</v>
      </c>
      <c r="O177" s="220">
        <v>0.5323</v>
      </c>
      <c r="P177" s="319">
        <v>2</v>
      </c>
      <c r="Q177" s="319">
        <v>4</v>
      </c>
      <c r="R177" s="482" t="s">
        <v>439</v>
      </c>
      <c r="S177" s="334" t="s">
        <v>439</v>
      </c>
    </row>
    <row r="178" spans="1:19" x14ac:dyDescent="0.3">
      <c r="A178" s="523"/>
      <c r="B178" s="478" t="s">
        <v>361</v>
      </c>
      <c r="C178" s="219" t="s">
        <v>322</v>
      </c>
      <c r="D178" s="220">
        <v>0.35</v>
      </c>
      <c r="E178" s="220">
        <v>0.1167</v>
      </c>
      <c r="F178" s="220">
        <v>-2.2000000000000001E-3</v>
      </c>
      <c r="G178" s="220">
        <v>-5.7999999999999996E-3</v>
      </c>
      <c r="H178" s="220">
        <v>-3.5000000000000001E-3</v>
      </c>
      <c r="I178" s="220">
        <v>-1.9300000000000001E-2</v>
      </c>
      <c r="J178" s="220">
        <v>-1.6500000000000001E-2</v>
      </c>
      <c r="K178" s="220">
        <v>2.8E-3</v>
      </c>
      <c r="L178" s="220" t="s">
        <v>335</v>
      </c>
      <c r="M178" s="319" t="s">
        <v>354</v>
      </c>
      <c r="N178" s="319">
        <v>2</v>
      </c>
      <c r="O178" s="220">
        <v>0.81230000000000002</v>
      </c>
      <c r="P178" s="319">
        <v>3</v>
      </c>
      <c r="Q178" s="319">
        <v>5</v>
      </c>
      <c r="R178" s="483"/>
      <c r="S178" s="475"/>
    </row>
    <row r="179" spans="1:19" x14ac:dyDescent="0.3">
      <c r="A179" s="523"/>
      <c r="B179" s="479" t="s">
        <v>361</v>
      </c>
      <c r="C179" s="219" t="s">
        <v>323</v>
      </c>
      <c r="D179" s="220">
        <v>0.35670000000000002</v>
      </c>
      <c r="E179" s="220">
        <v>0.1167</v>
      </c>
      <c r="F179" s="220">
        <v>-1.67E-2</v>
      </c>
      <c r="G179" s="220">
        <v>-0.01</v>
      </c>
      <c r="H179" s="220">
        <v>6.7000000000000002E-3</v>
      </c>
      <c r="I179" s="220">
        <v>-0.1431</v>
      </c>
      <c r="J179" s="220">
        <v>-2.7900000000000001E-2</v>
      </c>
      <c r="K179" s="220">
        <v>0.1152</v>
      </c>
      <c r="L179" s="220" t="s">
        <v>335</v>
      </c>
      <c r="M179" s="319" t="s">
        <v>356</v>
      </c>
      <c r="N179" s="319" t="s">
        <v>439</v>
      </c>
      <c r="O179" s="220">
        <v>0.90920000000000001</v>
      </c>
      <c r="P179" s="319">
        <v>4</v>
      </c>
      <c r="Q179" s="319" t="s">
        <v>439</v>
      </c>
      <c r="R179" s="484"/>
      <c r="S179" s="481"/>
    </row>
    <row r="180" spans="1:19" x14ac:dyDescent="0.3">
      <c r="A180" s="523"/>
      <c r="B180" s="485" t="s">
        <v>364</v>
      </c>
      <c r="C180" s="494" t="s">
        <v>324</v>
      </c>
      <c r="D180" s="495">
        <v>0.36209999999999998</v>
      </c>
      <c r="E180" s="495">
        <v>0.10340000000000001</v>
      </c>
      <c r="F180" s="495">
        <v>-1E-3</v>
      </c>
      <c r="G180" s="495">
        <v>-6.9999999999999999E-4</v>
      </c>
      <c r="H180" s="495">
        <v>2.9999999999999997E-4</v>
      </c>
      <c r="I180" s="495">
        <v>-9.4999999999999998E-3</v>
      </c>
      <c r="J180" s="495">
        <v>-2E-3</v>
      </c>
      <c r="K180" s="495">
        <v>7.4999999999999997E-3</v>
      </c>
      <c r="L180" s="495" t="s">
        <v>335</v>
      </c>
      <c r="M180" s="488" t="s">
        <v>354</v>
      </c>
      <c r="N180" s="488">
        <v>2</v>
      </c>
      <c r="O180" s="495">
        <v>0.95879999999999999</v>
      </c>
      <c r="P180" s="488">
        <v>4</v>
      </c>
      <c r="Q180" s="488">
        <v>6</v>
      </c>
      <c r="R180" s="489">
        <v>13</v>
      </c>
      <c r="S180" s="504">
        <v>3</v>
      </c>
    </row>
    <row r="181" spans="1:19" x14ac:dyDescent="0.3">
      <c r="A181" s="523"/>
      <c r="B181" s="490" t="s">
        <v>364</v>
      </c>
      <c r="C181" s="494" t="s">
        <v>322</v>
      </c>
      <c r="D181" s="495">
        <v>0.35</v>
      </c>
      <c r="E181" s="495">
        <v>0.1167</v>
      </c>
      <c r="F181" s="495">
        <v>1.2999999999999999E-3</v>
      </c>
      <c r="G181" s="495">
        <v>-5.7999999999999996E-3</v>
      </c>
      <c r="H181" s="495">
        <v>-7.0000000000000001E-3</v>
      </c>
      <c r="I181" s="495">
        <v>1.0800000000000001E-2</v>
      </c>
      <c r="J181" s="495">
        <v>-1.6500000000000001E-2</v>
      </c>
      <c r="K181" s="495">
        <v>2.7300000000000001E-2</v>
      </c>
      <c r="L181" s="495" t="s">
        <v>333</v>
      </c>
      <c r="M181" s="488" t="s">
        <v>355</v>
      </c>
      <c r="N181" s="488">
        <v>1</v>
      </c>
      <c r="O181" s="495">
        <v>0.62029999999999996</v>
      </c>
      <c r="P181" s="488">
        <v>2</v>
      </c>
      <c r="Q181" s="488">
        <v>3</v>
      </c>
      <c r="R181" s="491"/>
      <c r="S181" s="502"/>
    </row>
    <row r="182" spans="1:19" x14ac:dyDescent="0.3">
      <c r="A182" s="523"/>
      <c r="B182" s="492" t="s">
        <v>364</v>
      </c>
      <c r="C182" s="494" t="s">
        <v>323</v>
      </c>
      <c r="D182" s="495">
        <v>0.35670000000000002</v>
      </c>
      <c r="E182" s="495">
        <v>0.1167</v>
      </c>
      <c r="F182" s="495">
        <v>0</v>
      </c>
      <c r="G182" s="495">
        <v>-0.01</v>
      </c>
      <c r="H182" s="495">
        <v>-0.01</v>
      </c>
      <c r="I182" s="495">
        <v>1E-4</v>
      </c>
      <c r="J182" s="495">
        <v>-2.7900000000000001E-2</v>
      </c>
      <c r="K182" s="495">
        <v>2.8000000000000001E-2</v>
      </c>
      <c r="L182" s="495" t="s">
        <v>333</v>
      </c>
      <c r="M182" s="488" t="s">
        <v>355</v>
      </c>
      <c r="N182" s="488">
        <v>1</v>
      </c>
      <c r="O182" s="495">
        <v>0.84430000000000005</v>
      </c>
      <c r="P182" s="488">
        <v>3</v>
      </c>
      <c r="Q182" s="488">
        <v>4</v>
      </c>
      <c r="R182" s="493"/>
      <c r="S182" s="503"/>
    </row>
    <row r="183" spans="1:19" x14ac:dyDescent="0.3">
      <c r="A183" s="523"/>
      <c r="B183" s="480" t="s">
        <v>363</v>
      </c>
      <c r="C183" s="215" t="s">
        <v>324</v>
      </c>
      <c r="D183" s="216">
        <v>0.36209999999999998</v>
      </c>
      <c r="E183" s="216">
        <v>0.1207</v>
      </c>
      <c r="F183" s="216">
        <v>-2.5000000000000001E-3</v>
      </c>
      <c r="G183" s="216">
        <v>-6.9999999999999999E-4</v>
      </c>
      <c r="H183" s="216">
        <v>1.8E-3</v>
      </c>
      <c r="I183" s="216">
        <v>-2.06E-2</v>
      </c>
      <c r="J183" s="216">
        <v>-2E-3</v>
      </c>
      <c r="K183" s="216">
        <v>1.8700000000000001E-2</v>
      </c>
      <c r="L183" s="216" t="s">
        <v>335</v>
      </c>
      <c r="M183" s="319" t="s">
        <v>354</v>
      </c>
      <c r="N183" s="319">
        <v>2</v>
      </c>
      <c r="O183" s="216">
        <v>0.73699999999999999</v>
      </c>
      <c r="P183" s="319">
        <v>3</v>
      </c>
      <c r="Q183" s="319">
        <v>5</v>
      </c>
      <c r="R183" s="482" t="s">
        <v>439</v>
      </c>
      <c r="S183" s="334" t="s">
        <v>439</v>
      </c>
    </row>
    <row r="184" spans="1:19" x14ac:dyDescent="0.3">
      <c r="A184" s="523"/>
      <c r="B184" s="478" t="s">
        <v>363</v>
      </c>
      <c r="C184" s="215" t="s">
        <v>322</v>
      </c>
      <c r="D184" s="216">
        <v>0.35</v>
      </c>
      <c r="E184" s="216">
        <v>0.1333</v>
      </c>
      <c r="F184" s="216">
        <v>-3.0000000000000001E-3</v>
      </c>
      <c r="G184" s="216">
        <v>-5.7999999999999996E-3</v>
      </c>
      <c r="H184" s="216">
        <v>-2.8E-3</v>
      </c>
      <c r="I184" s="216">
        <v>-2.2599999999999999E-2</v>
      </c>
      <c r="J184" s="216">
        <v>-1.6500000000000001E-2</v>
      </c>
      <c r="K184" s="216">
        <v>6.1000000000000004E-3</v>
      </c>
      <c r="L184" s="216" t="s">
        <v>335</v>
      </c>
      <c r="M184" s="319" t="s">
        <v>354</v>
      </c>
      <c r="N184" s="319">
        <v>2</v>
      </c>
      <c r="O184" s="216">
        <v>0.8639</v>
      </c>
      <c r="P184" s="319">
        <v>3</v>
      </c>
      <c r="Q184" s="319">
        <v>5</v>
      </c>
      <c r="R184" s="483"/>
      <c r="S184" s="475"/>
    </row>
    <row r="185" spans="1:19" x14ac:dyDescent="0.3">
      <c r="A185" s="523"/>
      <c r="B185" s="479" t="s">
        <v>363</v>
      </c>
      <c r="C185" s="215" t="s">
        <v>323</v>
      </c>
      <c r="D185" s="216">
        <v>0.35670000000000002</v>
      </c>
      <c r="E185" s="216">
        <v>0.1333</v>
      </c>
      <c r="F185" s="216">
        <v>-3.3300000000000003E-2</v>
      </c>
      <c r="G185" s="216">
        <v>-0.01</v>
      </c>
      <c r="H185" s="216">
        <v>2.3300000000000001E-2</v>
      </c>
      <c r="I185" s="216">
        <v>-0.24979999999999999</v>
      </c>
      <c r="J185" s="216">
        <v>-2.7900000000000001E-2</v>
      </c>
      <c r="K185" s="216">
        <v>0.22189999999999999</v>
      </c>
      <c r="L185" s="216" t="s">
        <v>335</v>
      </c>
      <c r="M185" s="319" t="s">
        <v>356</v>
      </c>
      <c r="N185" s="319" t="s">
        <v>439</v>
      </c>
      <c r="O185" s="216">
        <v>0.7198</v>
      </c>
      <c r="P185" s="319">
        <v>3</v>
      </c>
      <c r="Q185" s="319" t="s">
        <v>439</v>
      </c>
      <c r="R185" s="484"/>
      <c r="S185" s="481"/>
    </row>
    <row r="186" spans="1:19" x14ac:dyDescent="0.3">
      <c r="A186" s="523"/>
      <c r="B186" s="480" t="s">
        <v>366</v>
      </c>
      <c r="C186" s="215" t="s">
        <v>324</v>
      </c>
      <c r="D186" s="216">
        <v>0.36209999999999998</v>
      </c>
      <c r="E186" s="216">
        <v>0.2414</v>
      </c>
      <c r="F186" s="216">
        <v>3.3999999999999998E-3</v>
      </c>
      <c r="G186" s="216">
        <v>-6.9999999999999999E-4</v>
      </c>
      <c r="H186" s="216">
        <v>-4.1999999999999997E-3</v>
      </c>
      <c r="I186" s="216">
        <v>1.43E-2</v>
      </c>
      <c r="J186" s="216">
        <v>-2E-3</v>
      </c>
      <c r="K186" s="216">
        <v>1.6199999999999999E-2</v>
      </c>
      <c r="L186" s="216" t="s">
        <v>333</v>
      </c>
      <c r="M186" s="319" t="s">
        <v>355</v>
      </c>
      <c r="N186" s="319">
        <v>1</v>
      </c>
      <c r="O186" s="216">
        <v>0.46920000000000001</v>
      </c>
      <c r="P186" s="319">
        <v>1</v>
      </c>
      <c r="Q186" s="319">
        <v>2</v>
      </c>
      <c r="R186" s="482" t="s">
        <v>439</v>
      </c>
      <c r="S186" s="334" t="s">
        <v>439</v>
      </c>
    </row>
    <row r="187" spans="1:19" x14ac:dyDescent="0.3">
      <c r="A187" s="523"/>
      <c r="B187" s="478" t="s">
        <v>366</v>
      </c>
      <c r="C187" s="215" t="s">
        <v>322</v>
      </c>
      <c r="D187" s="216">
        <v>0.35</v>
      </c>
      <c r="E187" s="216">
        <v>0.25</v>
      </c>
      <c r="F187" s="216">
        <v>1.0800000000000001E-2</v>
      </c>
      <c r="G187" s="216">
        <v>-5.7999999999999996E-3</v>
      </c>
      <c r="H187" s="216">
        <v>-1.66E-2</v>
      </c>
      <c r="I187" s="216">
        <v>4.3200000000000002E-2</v>
      </c>
      <c r="J187" s="216">
        <v>-1.6500000000000001E-2</v>
      </c>
      <c r="K187" s="216">
        <v>5.96E-2</v>
      </c>
      <c r="L187" s="216" t="s">
        <v>333</v>
      </c>
      <c r="M187" s="319" t="s">
        <v>334</v>
      </c>
      <c r="N187" s="319">
        <v>0</v>
      </c>
      <c r="O187" s="216">
        <v>0.27289999999999998</v>
      </c>
      <c r="P187" s="319">
        <v>1</v>
      </c>
      <c r="Q187" s="319">
        <v>1</v>
      </c>
      <c r="R187" s="483"/>
      <c r="S187" s="475"/>
    </row>
    <row r="188" spans="1:19" x14ac:dyDescent="0.3">
      <c r="A188" s="523"/>
      <c r="B188" s="479" t="s">
        <v>366</v>
      </c>
      <c r="C188" s="215" t="s">
        <v>323</v>
      </c>
      <c r="D188" s="216">
        <v>0.35670000000000002</v>
      </c>
      <c r="E188" s="216">
        <v>0.25</v>
      </c>
      <c r="F188" s="216">
        <v>0.05</v>
      </c>
      <c r="G188" s="216">
        <v>-0.01</v>
      </c>
      <c r="H188" s="216">
        <v>-5.9900000000000002E-2</v>
      </c>
      <c r="I188" s="216">
        <v>0.19989999999999999</v>
      </c>
      <c r="J188" s="216">
        <v>-2.7900000000000001E-2</v>
      </c>
      <c r="K188" s="216">
        <v>0.22789999999999999</v>
      </c>
      <c r="L188" s="216" t="s">
        <v>333</v>
      </c>
      <c r="M188" s="319" t="s">
        <v>356</v>
      </c>
      <c r="N188" s="319" t="s">
        <v>439</v>
      </c>
      <c r="O188" s="216">
        <v>0.35460000000000003</v>
      </c>
      <c r="P188" s="319">
        <v>1</v>
      </c>
      <c r="Q188" s="319" t="s">
        <v>439</v>
      </c>
      <c r="R188" s="484"/>
      <c r="S188" s="481"/>
    </row>
    <row r="189" spans="1:19" x14ac:dyDescent="0.3">
      <c r="A189" s="523"/>
      <c r="B189" s="480" t="s">
        <v>367</v>
      </c>
      <c r="C189" s="215" t="s">
        <v>324</v>
      </c>
      <c r="D189" s="216">
        <v>0.36209999999999998</v>
      </c>
      <c r="E189" s="216">
        <v>0.13789999999999999</v>
      </c>
      <c r="F189" s="216">
        <v>3.8E-3</v>
      </c>
      <c r="G189" s="216">
        <v>-6.9999999999999999E-4</v>
      </c>
      <c r="H189" s="216">
        <v>-4.4999999999999997E-3</v>
      </c>
      <c r="I189" s="216">
        <v>2.76E-2</v>
      </c>
      <c r="J189" s="216">
        <v>-2E-3</v>
      </c>
      <c r="K189" s="216">
        <v>2.9600000000000001E-2</v>
      </c>
      <c r="L189" s="216" t="s">
        <v>333</v>
      </c>
      <c r="M189" s="319" t="s">
        <v>355</v>
      </c>
      <c r="N189" s="319">
        <v>1</v>
      </c>
      <c r="O189" s="216">
        <v>0.41710000000000003</v>
      </c>
      <c r="P189" s="319">
        <v>1</v>
      </c>
      <c r="Q189" s="319">
        <v>2</v>
      </c>
      <c r="R189" s="482" t="s">
        <v>439</v>
      </c>
      <c r="S189" s="334" t="s">
        <v>439</v>
      </c>
    </row>
    <row r="190" spans="1:19" x14ac:dyDescent="0.3">
      <c r="A190" s="523"/>
      <c r="B190" s="478" t="s">
        <v>367</v>
      </c>
      <c r="C190" s="215" t="s">
        <v>322</v>
      </c>
      <c r="D190" s="216">
        <v>0.35</v>
      </c>
      <c r="E190" s="216">
        <v>0.1333</v>
      </c>
      <c r="F190" s="216">
        <v>8.9999999999999993E-3</v>
      </c>
      <c r="G190" s="216">
        <v>-5.7999999999999996E-3</v>
      </c>
      <c r="H190" s="216">
        <v>-1.4800000000000001E-2</v>
      </c>
      <c r="I190" s="216">
        <v>6.7599999999999993E-2</v>
      </c>
      <c r="J190" s="216">
        <v>-1.6500000000000001E-2</v>
      </c>
      <c r="K190" s="216">
        <v>8.4099999999999994E-2</v>
      </c>
      <c r="L190" s="216" t="s">
        <v>333</v>
      </c>
      <c r="M190" s="319" t="s">
        <v>334</v>
      </c>
      <c r="N190" s="319">
        <v>0</v>
      </c>
      <c r="O190" s="216">
        <v>0.33889999999999998</v>
      </c>
      <c r="P190" s="319">
        <v>1</v>
      </c>
      <c r="Q190" s="319">
        <v>1</v>
      </c>
      <c r="R190" s="483"/>
      <c r="S190" s="475"/>
    </row>
    <row r="191" spans="1:19" x14ac:dyDescent="0.3">
      <c r="A191" s="523"/>
      <c r="B191" s="479" t="s">
        <v>367</v>
      </c>
      <c r="C191" s="215" t="s">
        <v>323</v>
      </c>
      <c r="D191" s="216">
        <v>0.35670000000000002</v>
      </c>
      <c r="E191" s="216">
        <v>0.1333</v>
      </c>
      <c r="F191" s="216">
        <v>2.5000000000000001E-2</v>
      </c>
      <c r="G191" s="216">
        <v>-0.01</v>
      </c>
      <c r="H191" s="216">
        <v>-3.5000000000000003E-2</v>
      </c>
      <c r="I191" s="216">
        <v>0.18770000000000001</v>
      </c>
      <c r="J191" s="216">
        <v>-2.7900000000000001E-2</v>
      </c>
      <c r="K191" s="216">
        <v>0.21560000000000001</v>
      </c>
      <c r="L191" s="216" t="s">
        <v>333</v>
      </c>
      <c r="M191" s="319" t="s">
        <v>356</v>
      </c>
      <c r="N191" s="319" t="s">
        <v>439</v>
      </c>
      <c r="O191" s="216">
        <v>0.55189999999999995</v>
      </c>
      <c r="P191" s="319">
        <v>2</v>
      </c>
      <c r="Q191" s="319" t="s">
        <v>439</v>
      </c>
      <c r="R191" s="484"/>
      <c r="S191" s="481"/>
    </row>
    <row r="192" spans="1:19" x14ac:dyDescent="0.3">
      <c r="A192" s="523"/>
      <c r="B192" s="480" t="s">
        <v>360</v>
      </c>
      <c r="C192" s="215" t="s">
        <v>324</v>
      </c>
      <c r="D192" s="216">
        <v>0.36209999999999998</v>
      </c>
      <c r="E192" s="216">
        <v>0.27589999999999998</v>
      </c>
      <c r="F192" s="216">
        <v>4.1000000000000003E-3</v>
      </c>
      <c r="G192" s="216">
        <v>-6.9999999999999999E-4</v>
      </c>
      <c r="H192" s="216">
        <v>-4.7999999999999996E-3</v>
      </c>
      <c r="I192" s="216">
        <v>1.49E-2</v>
      </c>
      <c r="J192" s="216">
        <v>-2E-3</v>
      </c>
      <c r="K192" s="216">
        <v>1.6899999999999998E-2</v>
      </c>
      <c r="L192" s="216" t="s">
        <v>333</v>
      </c>
      <c r="M192" s="319" t="s">
        <v>355</v>
      </c>
      <c r="N192" s="319">
        <v>1</v>
      </c>
      <c r="O192" s="216">
        <v>0.48220000000000002</v>
      </c>
      <c r="P192" s="319">
        <v>1</v>
      </c>
      <c r="Q192" s="319">
        <v>2</v>
      </c>
      <c r="R192" s="482" t="s">
        <v>439</v>
      </c>
      <c r="S192" s="334" t="s">
        <v>439</v>
      </c>
    </row>
    <row r="193" spans="1:19" x14ac:dyDescent="0.3">
      <c r="A193" s="523"/>
      <c r="B193" s="478" t="s">
        <v>360</v>
      </c>
      <c r="C193" s="215" t="s">
        <v>322</v>
      </c>
      <c r="D193" s="216">
        <v>0.35</v>
      </c>
      <c r="E193" s="216">
        <v>0.3</v>
      </c>
      <c r="F193" s="216">
        <v>1.8599999999999998E-2</v>
      </c>
      <c r="G193" s="216">
        <v>-5.7999999999999996E-3</v>
      </c>
      <c r="H193" s="216">
        <v>-2.4299999999999999E-2</v>
      </c>
      <c r="I193" s="216">
        <v>6.1800000000000001E-2</v>
      </c>
      <c r="J193" s="216">
        <v>-1.6500000000000001E-2</v>
      </c>
      <c r="K193" s="216">
        <v>7.8299999999999995E-2</v>
      </c>
      <c r="L193" s="216" t="s">
        <v>333</v>
      </c>
      <c r="M193" s="319" t="s">
        <v>334</v>
      </c>
      <c r="N193" s="319">
        <v>0</v>
      </c>
      <c r="O193" s="216">
        <v>0.27800000000000002</v>
      </c>
      <c r="P193" s="319">
        <v>1</v>
      </c>
      <c r="Q193" s="319">
        <v>1</v>
      </c>
      <c r="R193" s="483"/>
      <c r="S193" s="475"/>
    </row>
    <row r="194" spans="1:19" ht="15" thickBot="1" x14ac:dyDescent="0.35">
      <c r="A194" s="524"/>
      <c r="B194" s="505" t="s">
        <v>360</v>
      </c>
      <c r="C194" s="217" t="s">
        <v>323</v>
      </c>
      <c r="D194" s="226">
        <v>0.35670000000000002</v>
      </c>
      <c r="E194" s="226">
        <v>0.3</v>
      </c>
      <c r="F194" s="226">
        <v>9.1600000000000001E-2</v>
      </c>
      <c r="G194" s="226">
        <v>-0.01</v>
      </c>
      <c r="H194" s="226">
        <v>-0.1016</v>
      </c>
      <c r="I194" s="226">
        <v>0.30549999999999999</v>
      </c>
      <c r="J194" s="226">
        <v>-2.7900000000000001E-2</v>
      </c>
      <c r="K194" s="226">
        <v>0.33339999999999997</v>
      </c>
      <c r="L194" s="226" t="s">
        <v>333</v>
      </c>
      <c r="M194" s="322" t="s">
        <v>356</v>
      </c>
      <c r="N194" s="322" t="s">
        <v>439</v>
      </c>
      <c r="O194" s="226">
        <v>0.26950000000000002</v>
      </c>
      <c r="P194" s="322">
        <v>1</v>
      </c>
      <c r="Q194" s="322" t="s">
        <v>439</v>
      </c>
      <c r="R194" s="506"/>
      <c r="S194" s="476"/>
    </row>
    <row r="195" spans="1:19" x14ac:dyDescent="0.3">
      <c r="A195" s="516" t="s">
        <v>353</v>
      </c>
      <c r="B195" s="477" t="s">
        <v>346</v>
      </c>
      <c r="C195" s="218" t="s">
        <v>324</v>
      </c>
      <c r="D195" s="225">
        <v>0.14749999999999999</v>
      </c>
      <c r="E195" s="225">
        <v>0.19670000000000001</v>
      </c>
      <c r="F195" s="225">
        <v>8.0000000000000004E-4</v>
      </c>
      <c r="G195" s="225">
        <v>-4.3E-3</v>
      </c>
      <c r="H195" s="225">
        <v>-5.1999999999999998E-3</v>
      </c>
      <c r="I195" s="225">
        <v>4.3E-3</v>
      </c>
      <c r="J195" s="225">
        <v>-2.9399999999999999E-2</v>
      </c>
      <c r="K195" s="225">
        <v>3.3700000000000001E-2</v>
      </c>
      <c r="L195" s="225" t="s">
        <v>333</v>
      </c>
      <c r="M195" s="321" t="s">
        <v>355</v>
      </c>
      <c r="N195" s="321">
        <v>1</v>
      </c>
      <c r="O195" s="225">
        <v>0.2344</v>
      </c>
      <c r="P195" s="321">
        <v>1</v>
      </c>
      <c r="Q195" s="321">
        <v>2</v>
      </c>
      <c r="R195" s="507" t="s">
        <v>439</v>
      </c>
      <c r="S195" s="474" t="s">
        <v>439</v>
      </c>
    </row>
    <row r="196" spans="1:19" x14ac:dyDescent="0.3">
      <c r="A196" s="517"/>
      <c r="B196" s="478" t="s">
        <v>346</v>
      </c>
      <c r="C196" s="215" t="s">
        <v>322</v>
      </c>
      <c r="D196" s="216">
        <v>0.1429</v>
      </c>
      <c r="E196" s="216">
        <v>0.1905</v>
      </c>
      <c r="F196" s="216">
        <v>0</v>
      </c>
      <c r="G196" s="216">
        <v>-1.2999999999999999E-2</v>
      </c>
      <c r="H196" s="216">
        <v>-1.2999999999999999E-2</v>
      </c>
      <c r="I196" s="216">
        <v>0</v>
      </c>
      <c r="J196" s="216">
        <v>-9.0800000000000006E-2</v>
      </c>
      <c r="K196" s="216">
        <v>9.0800000000000006E-2</v>
      </c>
      <c r="L196" s="216" t="s">
        <v>333</v>
      </c>
      <c r="M196" s="319" t="s">
        <v>334</v>
      </c>
      <c r="N196" s="319">
        <v>0</v>
      </c>
      <c r="O196" s="216">
        <v>0.2621</v>
      </c>
      <c r="P196" s="319">
        <v>1</v>
      </c>
      <c r="Q196" s="319">
        <v>1</v>
      </c>
      <c r="R196" s="483"/>
      <c r="S196" s="475"/>
    </row>
    <row r="197" spans="1:19" x14ac:dyDescent="0.3">
      <c r="A197" s="517"/>
      <c r="B197" s="479" t="s">
        <v>346</v>
      </c>
      <c r="C197" s="215" t="s">
        <v>323</v>
      </c>
      <c r="D197" s="216">
        <v>0.16200000000000001</v>
      </c>
      <c r="E197" s="216">
        <v>0.20830000000000001</v>
      </c>
      <c r="F197" s="216">
        <v>1.67E-2</v>
      </c>
      <c r="G197" s="216">
        <v>-1.8200000000000001E-2</v>
      </c>
      <c r="H197" s="216">
        <v>-3.49E-2</v>
      </c>
      <c r="I197" s="216">
        <v>8.0100000000000005E-2</v>
      </c>
      <c r="J197" s="216">
        <v>-0.1125</v>
      </c>
      <c r="K197" s="216">
        <v>0.19259999999999999</v>
      </c>
      <c r="L197" s="216" t="s">
        <v>333</v>
      </c>
      <c r="M197" s="319" t="s">
        <v>356</v>
      </c>
      <c r="N197" s="319" t="s">
        <v>439</v>
      </c>
      <c r="O197" s="216">
        <v>0.32929999999999998</v>
      </c>
      <c r="P197" s="319">
        <v>1</v>
      </c>
      <c r="Q197" s="319" t="s">
        <v>439</v>
      </c>
      <c r="R197" s="484"/>
      <c r="S197" s="481"/>
    </row>
    <row r="198" spans="1:19" x14ac:dyDescent="0.3">
      <c r="A198" s="517"/>
      <c r="B198" s="485" t="s">
        <v>347</v>
      </c>
      <c r="C198" s="486" t="s">
        <v>324</v>
      </c>
      <c r="D198" s="487">
        <v>0.14749999999999999</v>
      </c>
      <c r="E198" s="487">
        <v>0.2787</v>
      </c>
      <c r="F198" s="487">
        <v>-1.1999999999999999E-3</v>
      </c>
      <c r="G198" s="487">
        <v>-4.3E-3</v>
      </c>
      <c r="H198" s="487">
        <v>-3.2000000000000002E-3</v>
      </c>
      <c r="I198" s="487">
        <v>-4.1999999999999997E-3</v>
      </c>
      <c r="J198" s="487">
        <v>-2.9399999999999999E-2</v>
      </c>
      <c r="K198" s="487">
        <v>2.52E-2</v>
      </c>
      <c r="L198" s="487" t="s">
        <v>335</v>
      </c>
      <c r="M198" s="488" t="s">
        <v>354</v>
      </c>
      <c r="N198" s="488">
        <v>2</v>
      </c>
      <c r="O198" s="487">
        <v>0.52490000000000003</v>
      </c>
      <c r="P198" s="488">
        <v>2</v>
      </c>
      <c r="Q198" s="488">
        <v>4</v>
      </c>
      <c r="R198" s="489">
        <v>11</v>
      </c>
      <c r="S198" s="504">
        <v>1</v>
      </c>
    </row>
    <row r="199" spans="1:19" x14ac:dyDescent="0.3">
      <c r="A199" s="517"/>
      <c r="B199" s="490" t="s">
        <v>347</v>
      </c>
      <c r="C199" s="486" t="s">
        <v>322</v>
      </c>
      <c r="D199" s="487">
        <v>0.1429</v>
      </c>
      <c r="E199" s="487">
        <v>0.26979999999999998</v>
      </c>
      <c r="F199" s="487">
        <v>-4.7999999999999996E-3</v>
      </c>
      <c r="G199" s="487">
        <v>-1.2999999999999999E-2</v>
      </c>
      <c r="H199" s="487">
        <v>-8.2000000000000007E-3</v>
      </c>
      <c r="I199" s="487">
        <v>-1.77E-2</v>
      </c>
      <c r="J199" s="487">
        <v>-9.0800000000000006E-2</v>
      </c>
      <c r="K199" s="487">
        <v>7.3200000000000001E-2</v>
      </c>
      <c r="L199" s="487" t="s">
        <v>335</v>
      </c>
      <c r="M199" s="488" t="s">
        <v>336</v>
      </c>
      <c r="N199" s="488">
        <v>0</v>
      </c>
      <c r="O199" s="487">
        <v>0.58379999999999999</v>
      </c>
      <c r="P199" s="488">
        <v>2</v>
      </c>
      <c r="Q199" s="488">
        <v>2</v>
      </c>
      <c r="R199" s="491"/>
      <c r="S199" s="502"/>
    </row>
    <row r="200" spans="1:19" x14ac:dyDescent="0.3">
      <c r="A200" s="517"/>
      <c r="B200" s="492" t="s">
        <v>347</v>
      </c>
      <c r="C200" s="486" t="s">
        <v>323</v>
      </c>
      <c r="D200" s="487">
        <v>0.16200000000000001</v>
      </c>
      <c r="E200" s="487">
        <v>0.25</v>
      </c>
      <c r="F200" s="487">
        <v>-3.3300000000000003E-2</v>
      </c>
      <c r="G200" s="487">
        <v>-1.8200000000000001E-2</v>
      </c>
      <c r="H200" s="487">
        <v>1.5100000000000001E-2</v>
      </c>
      <c r="I200" s="487">
        <v>-0.1333</v>
      </c>
      <c r="J200" s="487">
        <v>-0.1125</v>
      </c>
      <c r="K200" s="487">
        <v>2.0799999999999999E-2</v>
      </c>
      <c r="L200" s="487" t="s">
        <v>335</v>
      </c>
      <c r="M200" s="488" t="s">
        <v>354</v>
      </c>
      <c r="N200" s="488">
        <v>2</v>
      </c>
      <c r="O200" s="487">
        <v>0.7127</v>
      </c>
      <c r="P200" s="488">
        <v>3</v>
      </c>
      <c r="Q200" s="488">
        <v>5</v>
      </c>
      <c r="R200" s="493"/>
      <c r="S200" s="503"/>
    </row>
    <row r="201" spans="1:19" x14ac:dyDescent="0.3">
      <c r="A201" s="517"/>
      <c r="B201" s="480" t="s">
        <v>348</v>
      </c>
      <c r="C201" s="215" t="s">
        <v>324</v>
      </c>
      <c r="D201" s="216">
        <v>0.14749999999999999</v>
      </c>
      <c r="E201" s="216">
        <v>0.54100000000000004</v>
      </c>
      <c r="F201" s="216">
        <v>0.01</v>
      </c>
      <c r="G201" s="216">
        <v>-4.3E-3</v>
      </c>
      <c r="H201" s="216">
        <v>-1.43E-2</v>
      </c>
      <c r="I201" s="216">
        <v>1.8499999999999999E-2</v>
      </c>
      <c r="J201" s="216">
        <v>-2.9399999999999999E-2</v>
      </c>
      <c r="K201" s="216">
        <v>4.7800000000000002E-2</v>
      </c>
      <c r="L201" s="216" t="s">
        <v>333</v>
      </c>
      <c r="M201" s="319" t="s">
        <v>355</v>
      </c>
      <c r="N201" s="319">
        <v>1</v>
      </c>
      <c r="O201" s="216">
        <v>1.1299999999999999E-2</v>
      </c>
      <c r="P201" s="319" t="s">
        <v>439</v>
      </c>
      <c r="Q201" s="319" t="s">
        <v>439</v>
      </c>
      <c r="R201" s="482" t="s">
        <v>439</v>
      </c>
      <c r="S201" s="334" t="s">
        <v>439</v>
      </c>
    </row>
    <row r="202" spans="1:19" x14ac:dyDescent="0.3">
      <c r="A202" s="517"/>
      <c r="B202" s="478" t="s">
        <v>348</v>
      </c>
      <c r="C202" s="215" t="s">
        <v>322</v>
      </c>
      <c r="D202" s="216">
        <v>0.1429</v>
      </c>
      <c r="E202" s="216">
        <v>0.53969999999999996</v>
      </c>
      <c r="F202" s="216">
        <v>2.6800000000000001E-2</v>
      </c>
      <c r="G202" s="216">
        <v>-1.2999999999999999E-2</v>
      </c>
      <c r="H202" s="216">
        <v>-3.9800000000000002E-2</v>
      </c>
      <c r="I202" s="216">
        <v>4.9700000000000001E-2</v>
      </c>
      <c r="J202" s="216">
        <v>-9.0800000000000006E-2</v>
      </c>
      <c r="K202" s="216">
        <v>0.14050000000000001</v>
      </c>
      <c r="L202" s="216" t="s">
        <v>333</v>
      </c>
      <c r="M202" s="319" t="s">
        <v>356</v>
      </c>
      <c r="N202" s="319" t="s">
        <v>439</v>
      </c>
      <c r="O202" s="216">
        <v>3.56E-2</v>
      </c>
      <c r="P202" s="319" t="s">
        <v>439</v>
      </c>
      <c r="Q202" s="319" t="s">
        <v>439</v>
      </c>
      <c r="R202" s="483"/>
      <c r="S202" s="475"/>
    </row>
    <row r="203" spans="1:19" x14ac:dyDescent="0.3">
      <c r="A203" s="517"/>
      <c r="B203" s="479" t="s">
        <v>348</v>
      </c>
      <c r="C203" s="215" t="s">
        <v>323</v>
      </c>
      <c r="D203" s="216">
        <v>0.16200000000000001</v>
      </c>
      <c r="E203" s="216">
        <v>0.54169999999999996</v>
      </c>
      <c r="F203" s="216">
        <v>6.9000000000000006E-2</v>
      </c>
      <c r="G203" s="216">
        <v>-1.8200000000000001E-2</v>
      </c>
      <c r="H203" s="216">
        <v>-8.72E-2</v>
      </c>
      <c r="I203" s="216">
        <v>0.12740000000000001</v>
      </c>
      <c r="J203" s="216">
        <v>-0.1125</v>
      </c>
      <c r="K203" s="216">
        <v>0.2399</v>
      </c>
      <c r="L203" s="216" t="s">
        <v>333</v>
      </c>
      <c r="M203" s="319" t="s">
        <v>356</v>
      </c>
      <c r="N203" s="319" t="s">
        <v>439</v>
      </c>
      <c r="O203" s="216">
        <v>0.28360000000000002</v>
      </c>
      <c r="P203" s="319">
        <v>1</v>
      </c>
      <c r="Q203" s="319" t="s">
        <v>439</v>
      </c>
      <c r="R203" s="484"/>
      <c r="S203" s="481"/>
    </row>
    <row r="204" spans="1:19" x14ac:dyDescent="0.3">
      <c r="A204" s="517"/>
      <c r="B204" s="480" t="s">
        <v>349</v>
      </c>
      <c r="C204" s="215" t="s">
        <v>324</v>
      </c>
      <c r="D204" s="216">
        <v>0.14749999999999999</v>
      </c>
      <c r="E204" s="216">
        <v>0.93440000000000001</v>
      </c>
      <c r="F204" s="216">
        <v>1.32E-2</v>
      </c>
      <c r="G204" s="216">
        <v>-4.3E-3</v>
      </c>
      <c r="H204" s="216">
        <v>-1.7500000000000002E-2</v>
      </c>
      <c r="I204" s="216">
        <v>1.41E-2</v>
      </c>
      <c r="J204" s="216">
        <v>-2.9399999999999999E-2</v>
      </c>
      <c r="K204" s="216">
        <v>4.3499999999999997E-2</v>
      </c>
      <c r="L204" s="216" t="s">
        <v>333</v>
      </c>
      <c r="M204" s="319" t="s">
        <v>355</v>
      </c>
      <c r="N204" s="319">
        <v>1</v>
      </c>
      <c r="O204" s="216">
        <v>1.8100000000000002E-2</v>
      </c>
      <c r="P204" s="319" t="s">
        <v>439</v>
      </c>
      <c r="Q204" s="319" t="s">
        <v>439</v>
      </c>
      <c r="R204" s="482" t="s">
        <v>439</v>
      </c>
      <c r="S204" s="334" t="s">
        <v>439</v>
      </c>
    </row>
    <row r="205" spans="1:19" x14ac:dyDescent="0.3">
      <c r="A205" s="517"/>
      <c r="B205" s="478" t="s">
        <v>349</v>
      </c>
      <c r="C205" s="215" t="s">
        <v>322</v>
      </c>
      <c r="D205" s="216">
        <v>0.1429</v>
      </c>
      <c r="E205" s="216">
        <v>0.90480000000000005</v>
      </c>
      <c r="F205" s="216">
        <v>2.7699999999999999E-2</v>
      </c>
      <c r="G205" s="216">
        <v>-1.2999999999999999E-2</v>
      </c>
      <c r="H205" s="216">
        <v>-4.07E-2</v>
      </c>
      <c r="I205" s="216">
        <v>3.0599999999999999E-2</v>
      </c>
      <c r="J205" s="216">
        <v>-9.0800000000000006E-2</v>
      </c>
      <c r="K205" s="216">
        <v>0.12139999999999999</v>
      </c>
      <c r="L205" s="216" t="s">
        <v>333</v>
      </c>
      <c r="M205" s="319" t="s">
        <v>356</v>
      </c>
      <c r="N205" s="319" t="s">
        <v>439</v>
      </c>
      <c r="O205" s="216">
        <v>7.4899999999999994E-2</v>
      </c>
      <c r="P205" s="319" t="s">
        <v>439</v>
      </c>
      <c r="Q205" s="319" t="s">
        <v>439</v>
      </c>
      <c r="R205" s="483"/>
      <c r="S205" s="475"/>
    </row>
    <row r="206" spans="1:19" x14ac:dyDescent="0.3">
      <c r="A206" s="517"/>
      <c r="B206" s="479" t="s">
        <v>349</v>
      </c>
      <c r="C206" s="215" t="s">
        <v>323</v>
      </c>
      <c r="D206" s="216">
        <v>0.16200000000000001</v>
      </c>
      <c r="E206" s="216">
        <v>0.93059999999999998</v>
      </c>
      <c r="F206" s="216">
        <v>9.2799999999999994E-2</v>
      </c>
      <c r="G206" s="216">
        <v>-1.8200000000000001E-2</v>
      </c>
      <c r="H206" s="216">
        <v>-0.111</v>
      </c>
      <c r="I206" s="216">
        <v>9.9699999999999997E-2</v>
      </c>
      <c r="J206" s="216">
        <v>-0.1125</v>
      </c>
      <c r="K206" s="216">
        <v>0.2122</v>
      </c>
      <c r="L206" s="216" t="s">
        <v>333</v>
      </c>
      <c r="M206" s="319" t="s">
        <v>356</v>
      </c>
      <c r="N206" s="319" t="s">
        <v>439</v>
      </c>
      <c r="O206" s="216">
        <v>0.29670000000000002</v>
      </c>
      <c r="P206" s="319">
        <v>1</v>
      </c>
      <c r="Q206" s="319" t="s">
        <v>439</v>
      </c>
      <c r="R206" s="484"/>
      <c r="S206" s="481"/>
    </row>
    <row r="207" spans="1:19" x14ac:dyDescent="0.3">
      <c r="A207" s="517"/>
      <c r="B207" s="480" t="s">
        <v>350</v>
      </c>
      <c r="C207" s="215" t="s">
        <v>324</v>
      </c>
      <c r="D207" s="216">
        <v>0.14749999999999999</v>
      </c>
      <c r="E207" s="216">
        <v>0.3115</v>
      </c>
      <c r="F207" s="216">
        <v>-3.0999999999999999E-3</v>
      </c>
      <c r="G207" s="216">
        <v>-4.3E-3</v>
      </c>
      <c r="H207" s="216">
        <v>-1.2999999999999999E-3</v>
      </c>
      <c r="I207" s="216">
        <v>-9.7999999999999997E-3</v>
      </c>
      <c r="J207" s="216">
        <v>-2.9399999999999999E-2</v>
      </c>
      <c r="K207" s="216">
        <v>1.95E-2</v>
      </c>
      <c r="L207" s="216" t="s">
        <v>335</v>
      </c>
      <c r="M207" s="319" t="s">
        <v>354</v>
      </c>
      <c r="N207" s="319">
        <v>2</v>
      </c>
      <c r="O207" s="216">
        <v>0.80179999999999996</v>
      </c>
      <c r="P207" s="319">
        <v>3</v>
      </c>
      <c r="Q207" s="319">
        <v>5</v>
      </c>
      <c r="R207" s="482" t="s">
        <v>439</v>
      </c>
      <c r="S207" s="334" t="s">
        <v>439</v>
      </c>
    </row>
    <row r="208" spans="1:19" x14ac:dyDescent="0.3">
      <c r="A208" s="517"/>
      <c r="B208" s="478" t="s">
        <v>350</v>
      </c>
      <c r="C208" s="215" t="s">
        <v>322</v>
      </c>
      <c r="D208" s="216">
        <v>0.1429</v>
      </c>
      <c r="E208" s="216">
        <v>0.30159999999999998</v>
      </c>
      <c r="F208" s="216">
        <v>-1.0800000000000001E-2</v>
      </c>
      <c r="G208" s="216">
        <v>-1.2999999999999999E-2</v>
      </c>
      <c r="H208" s="216">
        <v>-2.2000000000000001E-3</v>
      </c>
      <c r="I208" s="216">
        <v>-3.5900000000000001E-2</v>
      </c>
      <c r="J208" s="216">
        <v>-9.0800000000000006E-2</v>
      </c>
      <c r="K208" s="216">
        <v>5.5E-2</v>
      </c>
      <c r="L208" s="216" t="s">
        <v>335</v>
      </c>
      <c r="M208" s="319" t="s">
        <v>336</v>
      </c>
      <c r="N208" s="319">
        <v>0</v>
      </c>
      <c r="O208" s="216">
        <v>0.87119999999999997</v>
      </c>
      <c r="P208" s="319">
        <v>3</v>
      </c>
      <c r="Q208" s="319">
        <v>3</v>
      </c>
      <c r="R208" s="483"/>
      <c r="S208" s="475"/>
    </row>
    <row r="209" spans="1:19" x14ac:dyDescent="0.3">
      <c r="A209" s="517"/>
      <c r="B209" s="479" t="s">
        <v>350</v>
      </c>
      <c r="C209" s="215" t="s">
        <v>323</v>
      </c>
      <c r="D209" s="216">
        <v>0.16200000000000001</v>
      </c>
      <c r="E209" s="216">
        <v>0.34720000000000001</v>
      </c>
      <c r="F209" s="216">
        <v>2.3999999999999998E-3</v>
      </c>
      <c r="G209" s="216">
        <v>-1.8200000000000001E-2</v>
      </c>
      <c r="H209" s="216">
        <v>-2.06E-2</v>
      </c>
      <c r="I209" s="216">
        <v>6.8999999999999999E-3</v>
      </c>
      <c r="J209" s="216">
        <v>-0.1125</v>
      </c>
      <c r="K209" s="216">
        <v>0.11940000000000001</v>
      </c>
      <c r="L209" s="216" t="s">
        <v>333</v>
      </c>
      <c r="M209" s="319" t="s">
        <v>356</v>
      </c>
      <c r="N209" s="319" t="s">
        <v>439</v>
      </c>
      <c r="O209" s="216">
        <v>0.63329999999999997</v>
      </c>
      <c r="P209" s="319">
        <v>2</v>
      </c>
      <c r="Q209" s="319" t="s">
        <v>439</v>
      </c>
      <c r="R209" s="484"/>
      <c r="S209" s="481"/>
    </row>
    <row r="210" spans="1:19" x14ac:dyDescent="0.3">
      <c r="A210" s="517"/>
      <c r="B210" s="485" t="s">
        <v>351</v>
      </c>
      <c r="C210" s="486" t="s">
        <v>324</v>
      </c>
      <c r="D210" s="487">
        <v>0.14749999999999999</v>
      </c>
      <c r="E210" s="487">
        <v>0.70489999999999997</v>
      </c>
      <c r="F210" s="487">
        <v>-1.0800000000000001E-2</v>
      </c>
      <c r="G210" s="487">
        <v>-4.3E-3</v>
      </c>
      <c r="H210" s="487">
        <v>6.4999999999999997E-3</v>
      </c>
      <c r="I210" s="487">
        <v>-1.54E-2</v>
      </c>
      <c r="J210" s="487">
        <v>-2.9399999999999999E-2</v>
      </c>
      <c r="K210" s="487">
        <v>1.4E-2</v>
      </c>
      <c r="L210" s="487" t="s">
        <v>335</v>
      </c>
      <c r="M210" s="488" t="s">
        <v>354</v>
      </c>
      <c r="N210" s="488">
        <v>2</v>
      </c>
      <c r="O210" s="487">
        <v>0.34150000000000003</v>
      </c>
      <c r="P210" s="488">
        <v>1</v>
      </c>
      <c r="Q210" s="488">
        <v>3</v>
      </c>
      <c r="R210" s="489">
        <v>9</v>
      </c>
      <c r="S210" s="504">
        <v>2</v>
      </c>
    </row>
    <row r="211" spans="1:19" x14ac:dyDescent="0.3">
      <c r="A211" s="517"/>
      <c r="B211" s="490" t="s">
        <v>351</v>
      </c>
      <c r="C211" s="486" t="s">
        <v>322</v>
      </c>
      <c r="D211" s="487">
        <v>0.1429</v>
      </c>
      <c r="E211" s="487">
        <v>0.71430000000000005</v>
      </c>
      <c r="F211" s="487">
        <v>-2.5999999999999999E-2</v>
      </c>
      <c r="G211" s="487">
        <v>-1.2999999999999999E-2</v>
      </c>
      <c r="H211" s="487">
        <v>1.2999999999999999E-2</v>
      </c>
      <c r="I211" s="487">
        <v>-3.6400000000000002E-2</v>
      </c>
      <c r="J211" s="487">
        <v>-9.0800000000000006E-2</v>
      </c>
      <c r="K211" s="487">
        <v>5.45E-2</v>
      </c>
      <c r="L211" s="487" t="s">
        <v>335</v>
      </c>
      <c r="M211" s="488" t="s">
        <v>336</v>
      </c>
      <c r="N211" s="488">
        <v>0</v>
      </c>
      <c r="O211" s="487">
        <v>0.51639999999999997</v>
      </c>
      <c r="P211" s="488">
        <v>2</v>
      </c>
      <c r="Q211" s="488">
        <v>2</v>
      </c>
      <c r="R211" s="491"/>
      <c r="S211" s="502"/>
    </row>
    <row r="212" spans="1:19" x14ac:dyDescent="0.3">
      <c r="A212" s="517"/>
      <c r="B212" s="492" t="s">
        <v>351</v>
      </c>
      <c r="C212" s="486" t="s">
        <v>323</v>
      </c>
      <c r="D212" s="487">
        <v>0.16200000000000001</v>
      </c>
      <c r="E212" s="487">
        <v>0.77780000000000005</v>
      </c>
      <c r="F212" s="487">
        <v>-1.9E-2</v>
      </c>
      <c r="G212" s="487">
        <v>-1.8200000000000001E-2</v>
      </c>
      <c r="H212" s="487">
        <v>8.0000000000000004E-4</v>
      </c>
      <c r="I212" s="487">
        <v>-2.4400000000000002E-2</v>
      </c>
      <c r="J212" s="487">
        <v>-0.1125</v>
      </c>
      <c r="K212" s="487">
        <v>8.8099999999999998E-2</v>
      </c>
      <c r="L212" s="487" t="s">
        <v>335</v>
      </c>
      <c r="M212" s="488" t="s">
        <v>336</v>
      </c>
      <c r="N212" s="488">
        <v>0</v>
      </c>
      <c r="O212" s="487">
        <v>0.99360000000000004</v>
      </c>
      <c r="P212" s="488">
        <v>4</v>
      </c>
      <c r="Q212" s="488">
        <v>4</v>
      </c>
      <c r="R212" s="493"/>
      <c r="S212" s="503"/>
    </row>
    <row r="213" spans="1:19" x14ac:dyDescent="0.3">
      <c r="A213" s="517"/>
      <c r="B213" s="480" t="s">
        <v>352</v>
      </c>
      <c r="C213" s="215" t="s">
        <v>324</v>
      </c>
      <c r="D213" s="216">
        <v>0.14749999999999999</v>
      </c>
      <c r="E213" s="216">
        <v>1.1475</v>
      </c>
      <c r="F213" s="216">
        <v>1.06E-2</v>
      </c>
      <c r="G213" s="216">
        <v>-4.3E-3</v>
      </c>
      <c r="H213" s="216">
        <v>-1.4999999999999999E-2</v>
      </c>
      <c r="I213" s="216">
        <v>9.2999999999999992E-3</v>
      </c>
      <c r="J213" s="216">
        <v>-2.9399999999999999E-2</v>
      </c>
      <c r="K213" s="216">
        <v>3.8600000000000002E-2</v>
      </c>
      <c r="L213" s="216" t="s">
        <v>333</v>
      </c>
      <c r="M213" s="319" t="s">
        <v>355</v>
      </c>
      <c r="N213" s="319">
        <v>1</v>
      </c>
      <c r="O213" s="216">
        <v>8.1199999999999994E-2</v>
      </c>
      <c r="P213" s="319" t="s">
        <v>439</v>
      </c>
      <c r="Q213" s="319" t="s">
        <v>439</v>
      </c>
      <c r="R213" s="482" t="s">
        <v>439</v>
      </c>
      <c r="S213" s="334" t="s">
        <v>439</v>
      </c>
    </row>
    <row r="214" spans="1:19" x14ac:dyDescent="0.3">
      <c r="A214" s="517"/>
      <c r="B214" s="478"/>
      <c r="C214" s="215" t="s">
        <v>322</v>
      </c>
      <c r="D214" s="216">
        <v>0.1429</v>
      </c>
      <c r="E214" s="216">
        <v>1.1746000000000001</v>
      </c>
      <c r="F214" s="216">
        <v>3.6400000000000002E-2</v>
      </c>
      <c r="G214" s="216">
        <v>-1.2999999999999999E-2</v>
      </c>
      <c r="H214" s="216">
        <v>-4.9399999999999999E-2</v>
      </c>
      <c r="I214" s="216">
        <v>3.1E-2</v>
      </c>
      <c r="J214" s="216">
        <v>-9.0800000000000006E-2</v>
      </c>
      <c r="K214" s="216">
        <v>0.12180000000000001</v>
      </c>
      <c r="L214" s="216" t="s">
        <v>333</v>
      </c>
      <c r="M214" s="319" t="s">
        <v>356</v>
      </c>
      <c r="N214" s="319" t="s">
        <v>439</v>
      </c>
      <c r="O214" s="216">
        <v>9.8500000000000004E-2</v>
      </c>
      <c r="P214" s="319" t="s">
        <v>439</v>
      </c>
      <c r="Q214" s="319" t="s">
        <v>439</v>
      </c>
      <c r="R214" s="483"/>
      <c r="S214" s="475"/>
    </row>
    <row r="215" spans="1:19" ht="15" thickBot="1" x14ac:dyDescent="0.35">
      <c r="A215" s="518"/>
      <c r="B215" s="505"/>
      <c r="C215" s="217" t="s">
        <v>323</v>
      </c>
      <c r="D215" s="226">
        <v>0.16200000000000001</v>
      </c>
      <c r="E215" s="226">
        <v>1.1667000000000001</v>
      </c>
      <c r="F215" s="226">
        <v>0.1</v>
      </c>
      <c r="G215" s="226">
        <v>-1.8200000000000001E-2</v>
      </c>
      <c r="H215" s="226">
        <v>-0.1182</v>
      </c>
      <c r="I215" s="226">
        <v>8.5699999999999998E-2</v>
      </c>
      <c r="J215" s="226">
        <v>-0.1125</v>
      </c>
      <c r="K215" s="226">
        <v>0.19819999999999999</v>
      </c>
      <c r="L215" s="226" t="s">
        <v>333</v>
      </c>
      <c r="M215" s="322" t="s">
        <v>356</v>
      </c>
      <c r="N215" s="322" t="s">
        <v>439</v>
      </c>
      <c r="O215" s="226">
        <v>0.22989999999999999</v>
      </c>
      <c r="P215" s="322">
        <v>1</v>
      </c>
      <c r="Q215" s="322" t="s">
        <v>439</v>
      </c>
      <c r="R215" s="506"/>
      <c r="S215" s="476"/>
    </row>
  </sheetData>
  <mergeCells count="221">
    <mergeCell ref="B210:B212"/>
    <mergeCell ref="R204:R206"/>
    <mergeCell ref="R207:R209"/>
    <mergeCell ref="R210:R212"/>
    <mergeCell ref="R213:R215"/>
    <mergeCell ref="B213:B215"/>
    <mergeCell ref="B57:B59"/>
    <mergeCell ref="B60:B62"/>
    <mergeCell ref="B63:B65"/>
    <mergeCell ref="B66:B68"/>
    <mergeCell ref="B69:B71"/>
    <mergeCell ref="B72:B74"/>
    <mergeCell ref="B75:B77"/>
    <mergeCell ref="B78:B80"/>
    <mergeCell ref="B81:B83"/>
    <mergeCell ref="B84:B86"/>
    <mergeCell ref="B87:B89"/>
    <mergeCell ref="B90:B92"/>
    <mergeCell ref="B93:B95"/>
    <mergeCell ref="B96:B98"/>
    <mergeCell ref="B99:B101"/>
    <mergeCell ref="B102:B104"/>
    <mergeCell ref="B105:B107"/>
    <mergeCell ref="B132:B134"/>
    <mergeCell ref="B135:B137"/>
    <mergeCell ref="B138:B140"/>
    <mergeCell ref="B201:B203"/>
    <mergeCell ref="B204:B206"/>
    <mergeCell ref="B207:B209"/>
    <mergeCell ref="S204:S206"/>
    <mergeCell ref="S207:S209"/>
    <mergeCell ref="S210:S212"/>
    <mergeCell ref="S213:S215"/>
    <mergeCell ref="A162:A194"/>
    <mergeCell ref="A195:A215"/>
    <mergeCell ref="B141:B143"/>
    <mergeCell ref="R141:R143"/>
    <mergeCell ref="S141:S143"/>
    <mergeCell ref="A1:S1"/>
    <mergeCell ref="B21:B23"/>
    <mergeCell ref="B24:B26"/>
    <mergeCell ref="B27:B29"/>
    <mergeCell ref="B30:B32"/>
    <mergeCell ref="R21:R23"/>
    <mergeCell ref="R24:R26"/>
    <mergeCell ref="R27:R29"/>
    <mergeCell ref="R30:R32"/>
    <mergeCell ref="S21:S23"/>
    <mergeCell ref="S24:S26"/>
    <mergeCell ref="S27:S29"/>
    <mergeCell ref="S30:S32"/>
    <mergeCell ref="A21:A68"/>
    <mergeCell ref="A69:A89"/>
    <mergeCell ref="A90:A155"/>
    <mergeCell ref="S129:S131"/>
    <mergeCell ref="R132:R134"/>
    <mergeCell ref="S132:S134"/>
    <mergeCell ref="R135:R137"/>
    <mergeCell ref="S135:S137"/>
    <mergeCell ref="R138:R140"/>
    <mergeCell ref="S138:S140"/>
    <mergeCell ref="B108:B110"/>
    <mergeCell ref="R108:R110"/>
    <mergeCell ref="S108:S110"/>
    <mergeCell ref="B111:B113"/>
    <mergeCell ref="R111:R113"/>
    <mergeCell ref="S111:S113"/>
    <mergeCell ref="B114:B116"/>
    <mergeCell ref="R114:R116"/>
    <mergeCell ref="S114:S116"/>
    <mergeCell ref="B117:B119"/>
    <mergeCell ref="R117:R119"/>
    <mergeCell ref="S117:S119"/>
    <mergeCell ref="B120:B122"/>
    <mergeCell ref="R120:R122"/>
    <mergeCell ref="S120:S122"/>
    <mergeCell ref="B123:B125"/>
    <mergeCell ref="R123:R125"/>
    <mergeCell ref="S123:S125"/>
    <mergeCell ref="B126:B128"/>
    <mergeCell ref="R126:R128"/>
    <mergeCell ref="S126:S128"/>
    <mergeCell ref="B129:B131"/>
    <mergeCell ref="R129:R131"/>
    <mergeCell ref="R96:R98"/>
    <mergeCell ref="S96:S98"/>
    <mergeCell ref="R99:R101"/>
    <mergeCell ref="S99:S101"/>
    <mergeCell ref="R102:R104"/>
    <mergeCell ref="S102:S104"/>
    <mergeCell ref="R105:R107"/>
    <mergeCell ref="S105:S107"/>
    <mergeCell ref="S198:S200"/>
    <mergeCell ref="R201:R203"/>
    <mergeCell ref="S201:S203"/>
    <mergeCell ref="R78:R80"/>
    <mergeCell ref="S78:S80"/>
    <mergeCell ref="R81:R83"/>
    <mergeCell ref="S81:S83"/>
    <mergeCell ref="R84:R86"/>
    <mergeCell ref="S84:S86"/>
    <mergeCell ref="R87:R89"/>
    <mergeCell ref="S87:S89"/>
    <mergeCell ref="R90:R92"/>
    <mergeCell ref="S90:S92"/>
    <mergeCell ref="R93:R95"/>
    <mergeCell ref="S93:S95"/>
    <mergeCell ref="B177:B179"/>
    <mergeCell ref="R177:R179"/>
    <mergeCell ref="S177:S179"/>
    <mergeCell ref="B180:B182"/>
    <mergeCell ref="R180:R182"/>
    <mergeCell ref="S180:S182"/>
    <mergeCell ref="B183:B185"/>
    <mergeCell ref="R183:R185"/>
    <mergeCell ref="S183:S185"/>
    <mergeCell ref="B186:B188"/>
    <mergeCell ref="R186:R188"/>
    <mergeCell ref="S186:S188"/>
    <mergeCell ref="B189:B191"/>
    <mergeCell ref="R189:R191"/>
    <mergeCell ref="S189:S191"/>
    <mergeCell ref="B192:B194"/>
    <mergeCell ref="R192:R194"/>
    <mergeCell ref="S192:S194"/>
    <mergeCell ref="B195:B197"/>
    <mergeCell ref="R195:R197"/>
    <mergeCell ref="S195:S197"/>
    <mergeCell ref="B198:B200"/>
    <mergeCell ref="R198:R200"/>
    <mergeCell ref="R165:R167"/>
    <mergeCell ref="S165:S167"/>
    <mergeCell ref="B168:B170"/>
    <mergeCell ref="R168:R170"/>
    <mergeCell ref="S168:S170"/>
    <mergeCell ref="B171:B173"/>
    <mergeCell ref="R171:R173"/>
    <mergeCell ref="S171:S173"/>
    <mergeCell ref="B174:B176"/>
    <mergeCell ref="R174:R176"/>
    <mergeCell ref="S174:S176"/>
    <mergeCell ref="B144:B146"/>
    <mergeCell ref="R144:R146"/>
    <mergeCell ref="S144:S146"/>
    <mergeCell ref="B147:B149"/>
    <mergeCell ref="R147:R149"/>
    <mergeCell ref="S147:S149"/>
    <mergeCell ref="B150:B152"/>
    <mergeCell ref="R150:R152"/>
    <mergeCell ref="S150:S152"/>
    <mergeCell ref="B153:B155"/>
    <mergeCell ref="R153:R155"/>
    <mergeCell ref="S153:S155"/>
    <mergeCell ref="B156:B158"/>
    <mergeCell ref="R156:R158"/>
    <mergeCell ref="S156:S158"/>
    <mergeCell ref="B159:B161"/>
    <mergeCell ref="R159:R161"/>
    <mergeCell ref="S159:S161"/>
    <mergeCell ref="B162:B164"/>
    <mergeCell ref="R162:R164"/>
    <mergeCell ref="S162:S164"/>
    <mergeCell ref="B165:B167"/>
    <mergeCell ref="S54:S56"/>
    <mergeCell ref="R57:R59"/>
    <mergeCell ref="S57:S59"/>
    <mergeCell ref="R60:R62"/>
    <mergeCell ref="S60:S62"/>
    <mergeCell ref="R63:R65"/>
    <mergeCell ref="S63:S65"/>
    <mergeCell ref="R66:R68"/>
    <mergeCell ref="S66:S68"/>
    <mergeCell ref="R69:R71"/>
    <mergeCell ref="S69:S71"/>
    <mergeCell ref="R72:R74"/>
    <mergeCell ref="S72:S74"/>
    <mergeCell ref="R75:R77"/>
    <mergeCell ref="S75:S77"/>
    <mergeCell ref="B33:B35"/>
    <mergeCell ref="R33:R35"/>
    <mergeCell ref="S33:S35"/>
    <mergeCell ref="B36:B38"/>
    <mergeCell ref="R36:R38"/>
    <mergeCell ref="S36:S38"/>
    <mergeCell ref="B39:B41"/>
    <mergeCell ref="R39:R41"/>
    <mergeCell ref="S39:S41"/>
    <mergeCell ref="B42:B44"/>
    <mergeCell ref="R42:R44"/>
    <mergeCell ref="S42:S44"/>
    <mergeCell ref="B45:B47"/>
    <mergeCell ref="R45:R47"/>
    <mergeCell ref="S45:S47"/>
    <mergeCell ref="B48:B50"/>
    <mergeCell ref="R48:R50"/>
    <mergeCell ref="S48:S50"/>
    <mergeCell ref="B51:B53"/>
    <mergeCell ref="R51:R53"/>
    <mergeCell ref="S51:S53"/>
    <mergeCell ref="B54:B56"/>
    <mergeCell ref="R54:R56"/>
    <mergeCell ref="A3:A20"/>
    <mergeCell ref="B3:B5"/>
    <mergeCell ref="R3:R5"/>
    <mergeCell ref="S3:S5"/>
    <mergeCell ref="B6:B8"/>
    <mergeCell ref="R6:R8"/>
    <mergeCell ref="S6:S8"/>
    <mergeCell ref="B9:B11"/>
    <mergeCell ref="R9:R11"/>
    <mergeCell ref="S9:S11"/>
    <mergeCell ref="B12:B14"/>
    <mergeCell ref="R12:R14"/>
    <mergeCell ref="S12:S14"/>
    <mergeCell ref="B15:B17"/>
    <mergeCell ref="R15:R17"/>
    <mergeCell ref="S15:S17"/>
    <mergeCell ref="B18:B20"/>
    <mergeCell ref="R18:R20"/>
    <mergeCell ref="S18:S20"/>
    <mergeCell ref="A156:A161"/>
  </mergeCells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1B1B1-EA6F-4FA7-9AB7-9D9F599E1E96}">
  <dimension ref="A1:C8"/>
  <sheetViews>
    <sheetView workbookViewId="0">
      <selection activeCell="G13" sqref="G13"/>
    </sheetView>
  </sheetViews>
  <sheetFormatPr defaultRowHeight="14.5" x14ac:dyDescent="0.3"/>
  <cols>
    <col min="1" max="1" width="15" style="233" bestFit="1" customWidth="1"/>
    <col min="2" max="2" width="17.3984375" style="233" bestFit="1" customWidth="1"/>
    <col min="3" max="16384" width="8.796875" style="233"/>
  </cols>
  <sheetData>
    <row r="1" spans="1:3" ht="16.5" x14ac:dyDescent="0.45">
      <c r="A1" s="317" t="s">
        <v>157</v>
      </c>
      <c r="B1" s="317" t="s">
        <v>62</v>
      </c>
      <c r="C1" s="317" t="s">
        <v>186</v>
      </c>
    </row>
    <row r="2" spans="1:3" ht="16.5" x14ac:dyDescent="0.45">
      <c r="A2" s="317" t="s">
        <v>3</v>
      </c>
      <c r="B2" s="318" t="s">
        <v>260</v>
      </c>
      <c r="C2" s="317">
        <v>1</v>
      </c>
    </row>
    <row r="3" spans="1:3" ht="16.5" x14ac:dyDescent="0.45">
      <c r="A3" s="317" t="s">
        <v>4</v>
      </c>
      <c r="B3" s="318" t="s">
        <v>264</v>
      </c>
      <c r="C3" s="317">
        <v>2</v>
      </c>
    </row>
    <row r="4" spans="1:3" ht="16.5" x14ac:dyDescent="0.45">
      <c r="A4" s="317" t="s">
        <v>34</v>
      </c>
      <c r="B4" s="318" t="s">
        <v>196</v>
      </c>
      <c r="C4" s="317">
        <v>3</v>
      </c>
    </row>
    <row r="5" spans="1:3" ht="16.5" x14ac:dyDescent="0.45">
      <c r="A5" s="317" t="s">
        <v>35</v>
      </c>
      <c r="B5" s="318" t="s">
        <v>413</v>
      </c>
      <c r="C5" s="317">
        <v>4</v>
      </c>
    </row>
    <row r="6" spans="1:3" ht="16.5" x14ac:dyDescent="0.45">
      <c r="A6" s="317" t="s">
        <v>31</v>
      </c>
      <c r="B6" s="318" t="s">
        <v>192</v>
      </c>
      <c r="C6" s="317">
        <v>5</v>
      </c>
    </row>
    <row r="7" spans="1:3" ht="16.5" x14ac:dyDescent="0.45">
      <c r="A7" s="317" t="s">
        <v>70</v>
      </c>
      <c r="B7" s="318" t="s">
        <v>213</v>
      </c>
      <c r="C7" s="317">
        <v>6</v>
      </c>
    </row>
    <row r="8" spans="1:3" ht="16.5" x14ac:dyDescent="0.45">
      <c r="A8" s="317" t="s">
        <v>67</v>
      </c>
      <c r="B8" s="318" t="s">
        <v>196</v>
      </c>
      <c r="C8" s="317">
        <v>7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3A0C5-081D-423C-B841-C49A8A4B7734}">
  <dimension ref="A1:C15"/>
  <sheetViews>
    <sheetView workbookViewId="0">
      <selection activeCell="B6" sqref="B6"/>
    </sheetView>
  </sheetViews>
  <sheetFormatPr defaultRowHeight="14.5" x14ac:dyDescent="0.3"/>
  <cols>
    <col min="1" max="1" width="15" style="233" bestFit="1" customWidth="1"/>
    <col min="2" max="2" width="17.3984375" style="233" bestFit="1" customWidth="1"/>
    <col min="3" max="16384" width="8.796875" style="233"/>
  </cols>
  <sheetData>
    <row r="1" spans="1:3" ht="16.5" x14ac:dyDescent="0.45">
      <c r="A1" s="317" t="s">
        <v>157</v>
      </c>
      <c r="B1" s="317" t="s">
        <v>62</v>
      </c>
      <c r="C1" s="317" t="s">
        <v>186</v>
      </c>
    </row>
    <row r="2" spans="1:3" ht="16.5" x14ac:dyDescent="0.45">
      <c r="A2" s="317" t="s">
        <v>3</v>
      </c>
      <c r="B2" s="318" t="s">
        <v>260</v>
      </c>
      <c r="C2" s="317">
        <v>1</v>
      </c>
    </row>
    <row r="3" spans="1:3" ht="16.5" x14ac:dyDescent="0.45">
      <c r="A3" s="317" t="s">
        <v>3</v>
      </c>
      <c r="B3" s="318" t="s">
        <v>266</v>
      </c>
      <c r="C3" s="317">
        <v>1</v>
      </c>
    </row>
    <row r="4" spans="1:3" ht="16.5" x14ac:dyDescent="0.45">
      <c r="A4" s="317" t="s">
        <v>4</v>
      </c>
      <c r="B4" s="318" t="s">
        <v>260</v>
      </c>
      <c r="C4" s="317">
        <v>2</v>
      </c>
    </row>
    <row r="5" spans="1:3" ht="16.5" x14ac:dyDescent="0.45">
      <c r="A5" s="317" t="s">
        <v>4</v>
      </c>
      <c r="B5" s="318" t="s">
        <v>264</v>
      </c>
      <c r="C5" s="317">
        <v>2</v>
      </c>
    </row>
    <row r="6" spans="1:3" ht="16.5" x14ac:dyDescent="0.45">
      <c r="A6" s="317" t="s">
        <v>34</v>
      </c>
      <c r="B6" s="318" t="s">
        <v>295</v>
      </c>
      <c r="C6" s="317">
        <v>3</v>
      </c>
    </row>
    <row r="7" spans="1:3" ht="16.5" x14ac:dyDescent="0.45">
      <c r="A7" s="317" t="s">
        <v>34</v>
      </c>
      <c r="B7" s="318" t="s">
        <v>196</v>
      </c>
      <c r="C7" s="317">
        <v>3</v>
      </c>
    </row>
    <row r="8" spans="1:3" ht="16.5" x14ac:dyDescent="0.45">
      <c r="A8" s="317" t="s">
        <v>35</v>
      </c>
      <c r="B8" s="318" t="s">
        <v>413</v>
      </c>
      <c r="C8" s="317">
        <v>4</v>
      </c>
    </row>
    <row r="9" spans="1:3" ht="16.5" x14ac:dyDescent="0.45">
      <c r="A9" s="317" t="s">
        <v>35</v>
      </c>
      <c r="B9" s="318" t="s">
        <v>431</v>
      </c>
      <c r="C9" s="317">
        <v>4</v>
      </c>
    </row>
    <row r="10" spans="1:3" ht="16.5" x14ac:dyDescent="0.45">
      <c r="A10" s="317" t="s">
        <v>31</v>
      </c>
      <c r="B10" s="318" t="s">
        <v>192</v>
      </c>
      <c r="C10" s="317">
        <v>5</v>
      </c>
    </row>
    <row r="11" spans="1:3" ht="16.5" x14ac:dyDescent="0.45">
      <c r="A11" s="317" t="s">
        <v>31</v>
      </c>
      <c r="B11" s="318" t="s">
        <v>205</v>
      </c>
      <c r="C11" s="317">
        <v>5</v>
      </c>
    </row>
    <row r="12" spans="1:3" ht="16.5" x14ac:dyDescent="0.45">
      <c r="A12" s="317" t="s">
        <v>70</v>
      </c>
      <c r="B12" s="318" t="s">
        <v>213</v>
      </c>
      <c r="C12" s="317">
        <v>6</v>
      </c>
    </row>
    <row r="13" spans="1:3" ht="16.5" x14ac:dyDescent="0.45">
      <c r="A13" s="317" t="s">
        <v>70</v>
      </c>
      <c r="B13" s="318" t="s">
        <v>204</v>
      </c>
      <c r="C13" s="317">
        <v>6</v>
      </c>
    </row>
    <row r="14" spans="1:3" ht="16.5" x14ac:dyDescent="0.45">
      <c r="A14" s="317" t="s">
        <v>67</v>
      </c>
      <c r="B14" s="318" t="s">
        <v>196</v>
      </c>
      <c r="C14" s="317">
        <v>7</v>
      </c>
    </row>
    <row r="15" spans="1:3" ht="16.5" x14ac:dyDescent="0.45">
      <c r="A15" s="317" t="s">
        <v>67</v>
      </c>
      <c r="B15" s="318" t="s">
        <v>197</v>
      </c>
      <c r="C15" s="317">
        <v>7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A5DBF-7F01-4964-B8DD-8528FB16A803}">
  <dimension ref="A1:P72"/>
  <sheetViews>
    <sheetView topLeftCell="A7" zoomScale="94" zoomScaleNormal="60" workbookViewId="0">
      <selection activeCell="I23" sqref="I22:I23"/>
    </sheetView>
  </sheetViews>
  <sheetFormatPr defaultRowHeight="14.5" x14ac:dyDescent="0.3"/>
  <cols>
    <col min="1" max="1" width="15" bestFit="1" customWidth="1"/>
    <col min="2" max="2" width="17.3984375" bestFit="1" customWidth="1"/>
  </cols>
  <sheetData>
    <row r="1" spans="1:3" ht="16.5" x14ac:dyDescent="0.45">
      <c r="A1" s="317" t="s">
        <v>157</v>
      </c>
      <c r="B1" s="317" t="s">
        <v>62</v>
      </c>
      <c r="C1" s="317" t="s">
        <v>186</v>
      </c>
    </row>
    <row r="2" spans="1:3" ht="16.5" x14ac:dyDescent="0.45">
      <c r="A2" s="317" t="s">
        <v>3</v>
      </c>
      <c r="B2" s="317" t="s">
        <v>263</v>
      </c>
      <c r="C2" s="317">
        <v>1</v>
      </c>
    </row>
    <row r="3" spans="1:3" ht="16.5" x14ac:dyDescent="0.45">
      <c r="A3" s="317" t="s">
        <v>3</v>
      </c>
      <c r="B3" s="318" t="s">
        <v>185</v>
      </c>
      <c r="C3" s="317">
        <v>1</v>
      </c>
    </row>
    <row r="4" spans="1:3" ht="16.5" x14ac:dyDescent="0.45">
      <c r="A4" s="317" t="s">
        <v>3</v>
      </c>
      <c r="B4" s="318" t="s">
        <v>264</v>
      </c>
      <c r="C4" s="317">
        <v>1</v>
      </c>
    </row>
    <row r="5" spans="1:3" s="214" customFormat="1" ht="16.5" x14ac:dyDescent="0.45">
      <c r="A5" s="317" t="s">
        <v>3</v>
      </c>
      <c r="B5" s="318" t="s">
        <v>266</v>
      </c>
      <c r="C5" s="317">
        <v>1</v>
      </c>
    </row>
    <row r="6" spans="1:3" ht="16.5" x14ac:dyDescent="0.45">
      <c r="A6" s="317" t="s">
        <v>3</v>
      </c>
      <c r="B6" s="318" t="s">
        <v>260</v>
      </c>
      <c r="C6" s="317">
        <v>1</v>
      </c>
    </row>
    <row r="7" spans="1:3" s="214" customFormat="1" ht="16.5" x14ac:dyDescent="0.45">
      <c r="A7" s="317" t="s">
        <v>3</v>
      </c>
      <c r="B7" s="318" t="s">
        <v>205</v>
      </c>
      <c r="C7" s="317">
        <v>1</v>
      </c>
    </row>
    <row r="8" spans="1:3" s="233" customFormat="1" ht="16.5" x14ac:dyDescent="0.45">
      <c r="A8" s="317" t="s">
        <v>4</v>
      </c>
      <c r="B8" s="318" t="s">
        <v>196</v>
      </c>
      <c r="C8" s="317">
        <v>2</v>
      </c>
    </row>
    <row r="9" spans="1:3" s="233" customFormat="1" ht="16.5" x14ac:dyDescent="0.45">
      <c r="A9" s="317" t="s">
        <v>4</v>
      </c>
      <c r="B9" s="318" t="s">
        <v>200</v>
      </c>
      <c r="C9" s="317">
        <v>2</v>
      </c>
    </row>
    <row r="10" spans="1:3" s="233" customFormat="1" ht="16.5" x14ac:dyDescent="0.45">
      <c r="A10" s="317" t="s">
        <v>4</v>
      </c>
      <c r="B10" s="318" t="s">
        <v>197</v>
      </c>
      <c r="C10" s="317">
        <v>2</v>
      </c>
    </row>
    <row r="11" spans="1:3" s="233" customFormat="1" ht="16.5" x14ac:dyDescent="0.45">
      <c r="A11" s="317" t="s">
        <v>4</v>
      </c>
      <c r="B11" s="318" t="s">
        <v>269</v>
      </c>
      <c r="C11" s="317">
        <v>2</v>
      </c>
    </row>
    <row r="12" spans="1:3" s="233" customFormat="1" ht="16.5" x14ac:dyDescent="0.45">
      <c r="A12" s="317" t="s">
        <v>4</v>
      </c>
      <c r="B12" s="318" t="s">
        <v>264</v>
      </c>
      <c r="C12" s="317">
        <v>2</v>
      </c>
    </row>
    <row r="13" spans="1:3" s="233" customFormat="1" ht="16.5" x14ac:dyDescent="0.45">
      <c r="A13" s="317" t="s">
        <v>4</v>
      </c>
      <c r="B13" s="318" t="s">
        <v>268</v>
      </c>
      <c r="C13" s="317">
        <v>2</v>
      </c>
    </row>
    <row r="14" spans="1:3" s="233" customFormat="1" ht="16.5" x14ac:dyDescent="0.45">
      <c r="A14" s="317" t="s">
        <v>4</v>
      </c>
      <c r="B14" s="318" t="s">
        <v>295</v>
      </c>
      <c r="C14" s="317">
        <v>2</v>
      </c>
    </row>
    <row r="15" spans="1:3" s="233" customFormat="1" ht="16.5" x14ac:dyDescent="0.45">
      <c r="A15" s="317" t="s">
        <v>4</v>
      </c>
      <c r="B15" s="318" t="s">
        <v>297</v>
      </c>
      <c r="C15" s="317">
        <v>2</v>
      </c>
    </row>
    <row r="16" spans="1:3" ht="16.5" x14ac:dyDescent="0.45">
      <c r="A16" s="317" t="s">
        <v>4</v>
      </c>
      <c r="B16" s="318" t="s">
        <v>222</v>
      </c>
      <c r="C16" s="317">
        <v>2</v>
      </c>
    </row>
    <row r="17" spans="1:16" ht="16.5" x14ac:dyDescent="0.45">
      <c r="A17" s="317" t="s">
        <v>4</v>
      </c>
      <c r="B17" s="318" t="s">
        <v>223</v>
      </c>
      <c r="C17" s="317">
        <v>2</v>
      </c>
    </row>
    <row r="18" spans="1:16" ht="16.5" x14ac:dyDescent="0.45">
      <c r="A18" s="317" t="s">
        <v>4</v>
      </c>
      <c r="B18" s="318" t="s">
        <v>294</v>
      </c>
      <c r="C18" s="317">
        <v>2</v>
      </c>
    </row>
    <row r="19" spans="1:16" ht="16.5" x14ac:dyDescent="0.45">
      <c r="A19" s="317" t="s">
        <v>4</v>
      </c>
      <c r="B19" s="318" t="s">
        <v>260</v>
      </c>
      <c r="C19" s="317">
        <v>2</v>
      </c>
    </row>
    <row r="20" spans="1:16" ht="16.5" x14ac:dyDescent="0.45">
      <c r="A20" s="317" t="s">
        <v>4</v>
      </c>
      <c r="B20" s="318" t="s">
        <v>205</v>
      </c>
      <c r="C20" s="317">
        <v>2</v>
      </c>
    </row>
    <row r="21" spans="1:16" ht="16.5" x14ac:dyDescent="0.45">
      <c r="A21" s="317" t="s">
        <v>4</v>
      </c>
      <c r="B21" s="318" t="s">
        <v>266</v>
      </c>
      <c r="C21" s="317">
        <v>2</v>
      </c>
    </row>
    <row r="22" spans="1:16" ht="16.5" x14ac:dyDescent="0.45">
      <c r="A22" s="317" t="s">
        <v>4</v>
      </c>
      <c r="B22" s="318" t="s">
        <v>263</v>
      </c>
      <c r="C22" s="317">
        <v>2</v>
      </c>
    </row>
    <row r="23" spans="1:16" ht="16.5" x14ac:dyDescent="0.45">
      <c r="A23" s="317" t="s">
        <v>4</v>
      </c>
      <c r="B23" s="318" t="s">
        <v>185</v>
      </c>
      <c r="C23" s="317">
        <v>2</v>
      </c>
    </row>
    <row r="24" spans="1:16" ht="16.5" x14ac:dyDescent="0.45">
      <c r="A24" s="317" t="s">
        <v>34</v>
      </c>
      <c r="B24" s="318" t="s">
        <v>269</v>
      </c>
      <c r="C24" s="317">
        <v>3</v>
      </c>
    </row>
    <row r="25" spans="1:16" ht="17" x14ac:dyDescent="0.45">
      <c r="A25" s="317" t="s">
        <v>34</v>
      </c>
      <c r="B25" s="318" t="s">
        <v>196</v>
      </c>
      <c r="C25" s="317">
        <v>3</v>
      </c>
      <c r="P25" s="316"/>
    </row>
    <row r="26" spans="1:16" ht="17" x14ac:dyDescent="0.45">
      <c r="A26" s="317" t="s">
        <v>34</v>
      </c>
      <c r="B26" s="318" t="s">
        <v>200</v>
      </c>
      <c r="C26" s="317">
        <v>3</v>
      </c>
      <c r="P26" s="316"/>
    </row>
    <row r="27" spans="1:16" ht="17" x14ac:dyDescent="0.45">
      <c r="A27" s="317" t="s">
        <v>34</v>
      </c>
      <c r="B27" s="318" t="s">
        <v>197</v>
      </c>
      <c r="C27" s="317">
        <v>3</v>
      </c>
      <c r="P27" s="316"/>
    </row>
    <row r="28" spans="1:16" ht="17" x14ac:dyDescent="0.45">
      <c r="A28" s="317" t="s">
        <v>34</v>
      </c>
      <c r="B28" s="318" t="s">
        <v>268</v>
      </c>
      <c r="C28" s="317">
        <v>3</v>
      </c>
      <c r="P28" s="316"/>
    </row>
    <row r="29" spans="1:16" ht="16.5" x14ac:dyDescent="0.45">
      <c r="A29" s="317" t="s">
        <v>34</v>
      </c>
      <c r="B29" s="318" t="s">
        <v>295</v>
      </c>
      <c r="C29" s="317">
        <v>3</v>
      </c>
    </row>
    <row r="30" spans="1:16" ht="16.5" x14ac:dyDescent="0.45">
      <c r="A30" s="317" t="s">
        <v>34</v>
      </c>
      <c r="B30" s="318" t="s">
        <v>297</v>
      </c>
      <c r="C30" s="317">
        <v>3</v>
      </c>
    </row>
    <row r="31" spans="1:16" s="233" customFormat="1" ht="16.5" x14ac:dyDescent="0.45">
      <c r="A31" s="317" t="s">
        <v>35</v>
      </c>
      <c r="B31" s="318" t="s">
        <v>412</v>
      </c>
      <c r="C31" s="317">
        <v>4</v>
      </c>
    </row>
    <row r="32" spans="1:16" s="233" customFormat="1" ht="16.5" x14ac:dyDescent="0.45">
      <c r="A32" s="317" t="s">
        <v>35</v>
      </c>
      <c r="B32" s="318" t="s">
        <v>414</v>
      </c>
      <c r="C32" s="317">
        <v>4</v>
      </c>
    </row>
    <row r="33" spans="1:14" s="233" customFormat="1" ht="16.5" x14ac:dyDescent="0.45">
      <c r="A33" s="317" t="s">
        <v>35</v>
      </c>
      <c r="B33" s="318" t="s">
        <v>416</v>
      </c>
      <c r="C33" s="317">
        <v>4</v>
      </c>
    </row>
    <row r="34" spans="1:14" s="233" customFormat="1" ht="16.5" x14ac:dyDescent="0.45">
      <c r="A34" s="317" t="s">
        <v>35</v>
      </c>
      <c r="B34" s="318" t="s">
        <v>418</v>
      </c>
      <c r="C34" s="317">
        <v>4</v>
      </c>
    </row>
    <row r="35" spans="1:14" s="233" customFormat="1" ht="16.5" x14ac:dyDescent="0.45">
      <c r="A35" s="317" t="s">
        <v>35</v>
      </c>
      <c r="B35" s="318" t="s">
        <v>420</v>
      </c>
      <c r="C35" s="317">
        <v>4</v>
      </c>
    </row>
    <row r="36" spans="1:14" s="233" customFormat="1" ht="16.5" x14ac:dyDescent="0.45">
      <c r="A36" s="317" t="s">
        <v>35</v>
      </c>
      <c r="B36" s="318" t="s">
        <v>422</v>
      </c>
      <c r="C36" s="317">
        <v>4</v>
      </c>
    </row>
    <row r="37" spans="1:14" s="233" customFormat="1" ht="16.5" x14ac:dyDescent="0.45">
      <c r="A37" s="317" t="s">
        <v>35</v>
      </c>
      <c r="B37" s="318" t="s">
        <v>428</v>
      </c>
      <c r="C37" s="317">
        <v>4</v>
      </c>
    </row>
    <row r="38" spans="1:14" s="233" customFormat="1" ht="16.5" x14ac:dyDescent="0.45">
      <c r="A38" s="317" t="s">
        <v>35</v>
      </c>
      <c r="B38" s="318" t="s">
        <v>426</v>
      </c>
      <c r="C38" s="317">
        <v>4</v>
      </c>
    </row>
    <row r="39" spans="1:14" s="233" customFormat="1" ht="16.5" x14ac:dyDescent="0.45">
      <c r="A39" s="317" t="s">
        <v>35</v>
      </c>
      <c r="B39" s="318" t="s">
        <v>424</v>
      </c>
      <c r="C39" s="317">
        <v>4</v>
      </c>
    </row>
    <row r="40" spans="1:14" s="233" customFormat="1" ht="16.5" x14ac:dyDescent="0.45">
      <c r="A40" s="317" t="s">
        <v>35</v>
      </c>
      <c r="B40" s="318" t="s">
        <v>430</v>
      </c>
      <c r="C40" s="317">
        <v>4</v>
      </c>
    </row>
    <row r="41" spans="1:14" ht="16.5" x14ac:dyDescent="0.45">
      <c r="A41" s="317" t="s">
        <v>35</v>
      </c>
      <c r="B41" s="318" t="s">
        <v>203</v>
      </c>
      <c r="C41" s="317">
        <v>4</v>
      </c>
    </row>
    <row r="42" spans="1:14" ht="16.5" x14ac:dyDescent="0.45">
      <c r="A42" s="317" t="s">
        <v>35</v>
      </c>
      <c r="B42" s="318" t="s">
        <v>204</v>
      </c>
      <c r="C42" s="317">
        <v>4</v>
      </c>
    </row>
    <row r="43" spans="1:14" ht="16.5" x14ac:dyDescent="0.45">
      <c r="A43" s="317" t="s">
        <v>35</v>
      </c>
      <c r="B43" s="318" t="s">
        <v>208</v>
      </c>
      <c r="C43" s="317">
        <v>4</v>
      </c>
    </row>
    <row r="44" spans="1:14" ht="16.5" x14ac:dyDescent="0.45">
      <c r="A44" s="317" t="s">
        <v>35</v>
      </c>
      <c r="B44" s="318" t="s">
        <v>209</v>
      </c>
      <c r="C44" s="317">
        <v>4</v>
      </c>
    </row>
    <row r="45" spans="1:14" ht="16.5" x14ac:dyDescent="0.45">
      <c r="A45" s="317" t="s">
        <v>35</v>
      </c>
      <c r="B45" s="318" t="s">
        <v>210</v>
      </c>
      <c r="C45" s="317">
        <v>4</v>
      </c>
    </row>
    <row r="46" spans="1:14" ht="16.5" x14ac:dyDescent="0.45">
      <c r="A46" s="317" t="s">
        <v>35</v>
      </c>
      <c r="B46" s="318" t="s">
        <v>211</v>
      </c>
      <c r="C46" s="317">
        <v>4</v>
      </c>
    </row>
    <row r="47" spans="1:14" ht="16.5" x14ac:dyDescent="0.45">
      <c r="A47" s="317" t="s">
        <v>35</v>
      </c>
      <c r="B47" s="318" t="s">
        <v>212</v>
      </c>
      <c r="C47" s="317">
        <v>4</v>
      </c>
    </row>
    <row r="48" spans="1:14" ht="17" x14ac:dyDescent="0.45">
      <c r="A48" s="317" t="s">
        <v>35</v>
      </c>
      <c r="B48" s="318" t="s">
        <v>213</v>
      </c>
      <c r="C48" s="317">
        <v>4</v>
      </c>
      <c r="N48" s="316"/>
    </row>
    <row r="49" spans="1:14" ht="17" x14ac:dyDescent="0.45">
      <c r="A49" s="317" t="s">
        <v>35</v>
      </c>
      <c r="B49" s="318" t="s">
        <v>214</v>
      </c>
      <c r="C49" s="317">
        <v>4</v>
      </c>
      <c r="N49" s="316"/>
    </row>
    <row r="50" spans="1:14" ht="17" x14ac:dyDescent="0.45">
      <c r="A50" s="317" t="s">
        <v>35</v>
      </c>
      <c r="B50" s="318" t="s">
        <v>215</v>
      </c>
      <c r="C50" s="317">
        <v>4</v>
      </c>
      <c r="N50" s="316"/>
    </row>
    <row r="51" spans="1:14" ht="17" x14ac:dyDescent="0.45">
      <c r="A51" s="317" t="s">
        <v>35</v>
      </c>
      <c r="B51" s="318" t="s">
        <v>216</v>
      </c>
      <c r="C51" s="317">
        <v>4</v>
      </c>
      <c r="N51" s="316"/>
    </row>
    <row r="52" spans="1:14" s="233" customFormat="1" ht="16.5" x14ac:dyDescent="0.45">
      <c r="A52" s="317" t="s">
        <v>35</v>
      </c>
      <c r="B52" s="318" t="s">
        <v>409</v>
      </c>
      <c r="C52" s="317">
        <v>4</v>
      </c>
    </row>
    <row r="53" spans="1:14" s="233" customFormat="1" ht="17" x14ac:dyDescent="0.45">
      <c r="A53" s="317" t="s">
        <v>31</v>
      </c>
      <c r="B53" s="318" t="s">
        <v>205</v>
      </c>
      <c r="C53" s="317">
        <v>5</v>
      </c>
      <c r="N53" s="316"/>
    </row>
    <row r="54" spans="1:14" ht="16.5" x14ac:dyDescent="0.45">
      <c r="A54" s="317" t="s">
        <v>31</v>
      </c>
      <c r="B54" s="318" t="s">
        <v>192</v>
      </c>
      <c r="C54" s="317">
        <v>5</v>
      </c>
    </row>
    <row r="55" spans="1:14" ht="16.5" x14ac:dyDescent="0.45">
      <c r="A55" s="317" t="s">
        <v>70</v>
      </c>
      <c r="B55" s="318" t="s">
        <v>203</v>
      </c>
      <c r="C55" s="317">
        <v>6</v>
      </c>
    </row>
    <row r="56" spans="1:14" ht="16.5" x14ac:dyDescent="0.45">
      <c r="A56" s="317" t="s">
        <v>70</v>
      </c>
      <c r="B56" s="318" t="s">
        <v>204</v>
      </c>
      <c r="C56" s="317">
        <v>6</v>
      </c>
    </row>
    <row r="57" spans="1:14" ht="16.5" x14ac:dyDescent="0.45">
      <c r="A57" s="317" t="s">
        <v>70</v>
      </c>
      <c r="B57" s="318" t="s">
        <v>208</v>
      </c>
      <c r="C57" s="317">
        <v>6</v>
      </c>
    </row>
    <row r="58" spans="1:14" ht="16.5" x14ac:dyDescent="0.45">
      <c r="A58" s="317" t="s">
        <v>70</v>
      </c>
      <c r="B58" s="318" t="s">
        <v>209</v>
      </c>
      <c r="C58" s="317">
        <v>6</v>
      </c>
    </row>
    <row r="59" spans="1:14" ht="16.5" x14ac:dyDescent="0.45">
      <c r="A59" s="317" t="s">
        <v>70</v>
      </c>
      <c r="B59" s="318" t="s">
        <v>210</v>
      </c>
      <c r="C59" s="317">
        <v>6</v>
      </c>
    </row>
    <row r="60" spans="1:14" ht="16.5" x14ac:dyDescent="0.45">
      <c r="A60" s="317" t="s">
        <v>70</v>
      </c>
      <c r="B60" s="318" t="s">
        <v>211</v>
      </c>
      <c r="C60" s="317">
        <v>6</v>
      </c>
    </row>
    <row r="61" spans="1:14" ht="16.5" x14ac:dyDescent="0.45">
      <c r="A61" s="317" t="s">
        <v>70</v>
      </c>
      <c r="B61" s="318" t="s">
        <v>212</v>
      </c>
      <c r="C61" s="317">
        <v>6</v>
      </c>
    </row>
    <row r="62" spans="1:14" ht="16.5" x14ac:dyDescent="0.45">
      <c r="A62" s="317" t="s">
        <v>70</v>
      </c>
      <c r="B62" s="318" t="s">
        <v>213</v>
      </c>
      <c r="C62" s="317">
        <v>6</v>
      </c>
    </row>
    <row r="63" spans="1:14" ht="16.5" x14ac:dyDescent="0.45">
      <c r="A63" s="317" t="s">
        <v>70</v>
      </c>
      <c r="B63" s="318" t="s">
        <v>214</v>
      </c>
      <c r="C63" s="317">
        <v>6</v>
      </c>
    </row>
    <row r="64" spans="1:14" ht="16.5" x14ac:dyDescent="0.45">
      <c r="A64" s="317" t="s">
        <v>70</v>
      </c>
      <c r="B64" s="318" t="s">
        <v>215</v>
      </c>
      <c r="C64" s="317">
        <v>6</v>
      </c>
    </row>
    <row r="65" spans="1:3" ht="16.5" x14ac:dyDescent="0.45">
      <c r="A65" s="317" t="s">
        <v>70</v>
      </c>
      <c r="B65" s="318" t="s">
        <v>216</v>
      </c>
      <c r="C65" s="317">
        <v>6</v>
      </c>
    </row>
    <row r="66" spans="1:3" ht="16.5" x14ac:dyDescent="0.45">
      <c r="A66" s="317" t="s">
        <v>67</v>
      </c>
      <c r="B66" s="318" t="s">
        <v>269</v>
      </c>
      <c r="C66" s="317">
        <v>7</v>
      </c>
    </row>
    <row r="67" spans="1:3" ht="16.5" x14ac:dyDescent="0.45">
      <c r="A67" s="317" t="s">
        <v>67</v>
      </c>
      <c r="B67" s="318" t="s">
        <v>196</v>
      </c>
      <c r="C67" s="317">
        <v>7</v>
      </c>
    </row>
    <row r="68" spans="1:3" ht="16.5" x14ac:dyDescent="0.45">
      <c r="A68" s="317" t="s">
        <v>67</v>
      </c>
      <c r="B68" s="318" t="s">
        <v>200</v>
      </c>
      <c r="C68" s="317">
        <v>7</v>
      </c>
    </row>
    <row r="69" spans="1:3" ht="16.5" x14ac:dyDescent="0.45">
      <c r="A69" s="317" t="s">
        <v>67</v>
      </c>
      <c r="B69" s="318" t="s">
        <v>197</v>
      </c>
      <c r="C69" s="317">
        <v>7</v>
      </c>
    </row>
    <row r="70" spans="1:3" ht="16.5" x14ac:dyDescent="0.45">
      <c r="A70" s="317" t="s">
        <v>67</v>
      </c>
      <c r="B70" s="318" t="s">
        <v>268</v>
      </c>
      <c r="C70" s="317">
        <v>7</v>
      </c>
    </row>
    <row r="71" spans="1:3" ht="16.5" x14ac:dyDescent="0.45">
      <c r="A71" s="317" t="s">
        <v>67</v>
      </c>
      <c r="B71" s="318" t="s">
        <v>295</v>
      </c>
      <c r="C71" s="317">
        <v>7</v>
      </c>
    </row>
    <row r="72" spans="1:3" ht="16.5" x14ac:dyDescent="0.45">
      <c r="A72" s="317" t="s">
        <v>67</v>
      </c>
      <c r="B72" s="318" t="s">
        <v>297</v>
      </c>
      <c r="C72" s="317">
        <v>7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8DFA3-1143-46BC-8C60-8CB87812D352}">
  <dimension ref="A1:BV79"/>
  <sheetViews>
    <sheetView topLeftCell="A55" zoomScale="84" workbookViewId="0">
      <selection activeCell="A80" sqref="A80"/>
    </sheetView>
  </sheetViews>
  <sheetFormatPr defaultRowHeight="14.5" x14ac:dyDescent="0.3"/>
  <cols>
    <col min="1" max="1" width="18.09765625" style="233" bestFit="1" customWidth="1"/>
    <col min="2" max="2" width="67.19921875" style="233" bestFit="1" customWidth="1"/>
    <col min="3" max="16384" width="8.796875" style="233"/>
  </cols>
  <sheetData>
    <row r="1" spans="1:74" ht="17" thickBot="1" x14ac:dyDescent="0.5">
      <c r="A1" s="11" t="s">
        <v>131</v>
      </c>
      <c r="B1" s="20" t="s">
        <v>132</v>
      </c>
      <c r="C1" s="6" t="s">
        <v>71</v>
      </c>
      <c r="D1" s="6" t="s">
        <v>72</v>
      </c>
      <c r="E1" s="6" t="s">
        <v>73</v>
      </c>
      <c r="F1" s="6" t="s">
        <v>74</v>
      </c>
      <c r="G1" s="6" t="s">
        <v>75</v>
      </c>
      <c r="H1" s="6" t="s">
        <v>76</v>
      </c>
      <c r="I1" s="6" t="s">
        <v>77</v>
      </c>
      <c r="J1" s="6" t="s">
        <v>78</v>
      </c>
      <c r="K1" s="6" t="s">
        <v>79</v>
      </c>
      <c r="L1" s="6" t="s">
        <v>80</v>
      </c>
      <c r="M1" s="6" t="s">
        <v>81</v>
      </c>
      <c r="N1" s="6" t="s">
        <v>82</v>
      </c>
      <c r="O1" s="6" t="s">
        <v>168</v>
      </c>
      <c r="P1" s="6" t="s">
        <v>169</v>
      </c>
      <c r="Q1" s="6" t="s">
        <v>170</v>
      </c>
      <c r="R1" s="6" t="s">
        <v>171</v>
      </c>
      <c r="S1" s="6" t="s">
        <v>172</v>
      </c>
      <c r="T1" s="6" t="s">
        <v>173</v>
      </c>
      <c r="U1" s="6" t="s">
        <v>174</v>
      </c>
      <c r="V1" s="6" t="s">
        <v>175</v>
      </c>
      <c r="W1" s="6" t="s">
        <v>176</v>
      </c>
      <c r="X1" s="6" t="s">
        <v>177</v>
      </c>
      <c r="Y1" s="6" t="s">
        <v>178</v>
      </c>
      <c r="Z1" s="6" t="s">
        <v>179</v>
      </c>
      <c r="AA1" s="12" t="s">
        <v>83</v>
      </c>
      <c r="AB1" s="12" t="s">
        <v>84</v>
      </c>
      <c r="AC1" s="12" t="s">
        <v>85</v>
      </c>
      <c r="AD1" s="12" t="s">
        <v>86</v>
      </c>
      <c r="AE1" s="12" t="s">
        <v>87</v>
      </c>
      <c r="AF1" s="12" t="s">
        <v>88</v>
      </c>
      <c r="AG1" s="12" t="s">
        <v>89</v>
      </c>
      <c r="AH1" s="12" t="s">
        <v>90</v>
      </c>
      <c r="AI1" s="12" t="s">
        <v>91</v>
      </c>
      <c r="AJ1" s="12" t="s">
        <v>92</v>
      </c>
      <c r="AK1" s="12" t="s">
        <v>93</v>
      </c>
      <c r="AL1" s="12" t="s">
        <v>94</v>
      </c>
      <c r="AM1" s="6" t="s">
        <v>95</v>
      </c>
      <c r="AN1" s="6" t="s">
        <v>96</v>
      </c>
      <c r="AO1" s="6" t="s">
        <v>97</v>
      </c>
      <c r="AP1" s="6" t="s">
        <v>98</v>
      </c>
      <c r="AQ1" s="6" t="s">
        <v>99</v>
      </c>
      <c r="AR1" s="6" t="s">
        <v>100</v>
      </c>
      <c r="AS1" s="6" t="s">
        <v>101</v>
      </c>
      <c r="AT1" s="6" t="s">
        <v>102</v>
      </c>
      <c r="AU1" s="6" t="s">
        <v>103</v>
      </c>
      <c r="AV1" s="6" t="s">
        <v>104</v>
      </c>
      <c r="AW1" s="6" t="s">
        <v>105</v>
      </c>
      <c r="AX1" s="6" t="s">
        <v>106</v>
      </c>
      <c r="AY1" s="6" t="s">
        <v>107</v>
      </c>
      <c r="AZ1" s="6" t="s">
        <v>108</v>
      </c>
      <c r="BA1" s="6" t="s">
        <v>109</v>
      </c>
      <c r="BB1" s="6" t="s">
        <v>110</v>
      </c>
      <c r="BC1" s="6" t="s">
        <v>111</v>
      </c>
      <c r="BD1" s="6" t="s">
        <v>112</v>
      </c>
      <c r="BE1" s="6" t="s">
        <v>113</v>
      </c>
      <c r="BF1" s="6" t="s">
        <v>114</v>
      </c>
      <c r="BG1" s="6" t="s">
        <v>115</v>
      </c>
      <c r="BH1" s="6" t="s">
        <v>116</v>
      </c>
      <c r="BI1" s="6" t="s">
        <v>117</v>
      </c>
      <c r="BJ1" s="6" t="s">
        <v>118</v>
      </c>
      <c r="BK1" s="6" t="s">
        <v>119</v>
      </c>
      <c r="BL1" s="6" t="s">
        <v>120</v>
      </c>
      <c r="BM1" s="6" t="s">
        <v>121</v>
      </c>
      <c r="BN1" s="6" t="s">
        <v>122</v>
      </c>
      <c r="BO1" s="6" t="s">
        <v>123</v>
      </c>
      <c r="BP1" s="6" t="s">
        <v>124</v>
      </c>
      <c r="BQ1" s="6" t="s">
        <v>125</v>
      </c>
      <c r="BR1" s="6" t="s">
        <v>126</v>
      </c>
      <c r="BS1" s="6" t="s">
        <v>127</v>
      </c>
      <c r="BT1" s="6" t="s">
        <v>128</v>
      </c>
      <c r="BU1" s="6" t="s">
        <v>129</v>
      </c>
      <c r="BV1" s="6" t="s">
        <v>130</v>
      </c>
    </row>
    <row r="2" spans="1:74" ht="17" thickBot="1" x14ac:dyDescent="0.5">
      <c r="A2" s="74" t="s">
        <v>3</v>
      </c>
      <c r="B2" s="239" t="s">
        <v>403</v>
      </c>
      <c r="C2" s="207">
        <v>5</v>
      </c>
      <c r="D2" s="208">
        <v>1</v>
      </c>
      <c r="E2" s="208">
        <v>4</v>
      </c>
      <c r="F2" s="208">
        <v>2</v>
      </c>
      <c r="G2" s="208">
        <v>2</v>
      </c>
      <c r="H2" s="208">
        <v>1</v>
      </c>
      <c r="I2" s="208">
        <v>1</v>
      </c>
      <c r="J2" s="208">
        <v>2</v>
      </c>
      <c r="K2" s="208">
        <v>3</v>
      </c>
      <c r="L2" s="208">
        <v>1</v>
      </c>
      <c r="M2" s="208">
        <v>3</v>
      </c>
      <c r="N2" s="209">
        <v>2</v>
      </c>
      <c r="O2" s="208">
        <v>7</v>
      </c>
      <c r="P2" s="208">
        <v>1</v>
      </c>
      <c r="Q2" s="208">
        <v>1</v>
      </c>
      <c r="R2" s="208">
        <v>3</v>
      </c>
      <c r="S2" s="208">
        <v>1</v>
      </c>
      <c r="T2" s="208">
        <v>2</v>
      </c>
      <c r="U2" s="208">
        <v>4</v>
      </c>
      <c r="V2" s="208">
        <v>1</v>
      </c>
      <c r="W2" s="208">
        <v>3</v>
      </c>
      <c r="X2" s="210">
        <v>1</v>
      </c>
      <c r="Y2" s="210">
        <v>1</v>
      </c>
      <c r="Z2" s="211">
        <v>3</v>
      </c>
      <c r="AA2" s="212">
        <v>2</v>
      </c>
      <c r="AB2" s="210">
        <v>2</v>
      </c>
      <c r="AC2" s="210">
        <v>4</v>
      </c>
      <c r="AD2" s="210">
        <v>3</v>
      </c>
      <c r="AE2" s="210">
        <v>2</v>
      </c>
      <c r="AF2" s="210">
        <v>3</v>
      </c>
      <c r="AG2" s="210">
        <v>2</v>
      </c>
      <c r="AH2" s="210">
        <v>1</v>
      </c>
      <c r="AI2" s="210">
        <v>3</v>
      </c>
      <c r="AJ2" s="210">
        <v>3</v>
      </c>
      <c r="AK2" s="210">
        <v>2</v>
      </c>
      <c r="AL2" s="211">
        <v>4</v>
      </c>
      <c r="AM2" s="240">
        <v>5</v>
      </c>
      <c r="AN2" s="241">
        <v>4</v>
      </c>
      <c r="AO2" s="241">
        <v>4</v>
      </c>
      <c r="AP2" s="344" t="s">
        <v>57</v>
      </c>
      <c r="AQ2" s="345"/>
      <c r="AR2" s="338" t="s">
        <v>30</v>
      </c>
      <c r="AS2" s="339"/>
      <c r="AT2" s="208">
        <v>3</v>
      </c>
      <c r="AU2" s="208">
        <v>4</v>
      </c>
      <c r="AV2" s="208">
        <v>1</v>
      </c>
      <c r="AW2" s="208">
        <v>0</v>
      </c>
      <c r="AX2" s="208">
        <v>3</v>
      </c>
      <c r="AY2" s="242">
        <v>3</v>
      </c>
      <c r="AZ2" s="208">
        <v>0</v>
      </c>
      <c r="BA2" s="208">
        <v>4</v>
      </c>
      <c r="BB2" s="208">
        <v>1</v>
      </c>
      <c r="BC2" s="208">
        <v>0</v>
      </c>
      <c r="BD2" s="208">
        <v>4</v>
      </c>
      <c r="BE2" s="208">
        <v>1</v>
      </c>
      <c r="BF2" s="208">
        <v>1</v>
      </c>
      <c r="BG2" s="208">
        <v>3</v>
      </c>
      <c r="BH2" s="208">
        <v>1</v>
      </c>
      <c r="BI2" s="208">
        <v>2</v>
      </c>
      <c r="BJ2" s="209">
        <v>1</v>
      </c>
      <c r="BK2" s="208">
        <v>3</v>
      </c>
      <c r="BL2" s="208">
        <v>3</v>
      </c>
      <c r="BM2" s="208">
        <v>1</v>
      </c>
      <c r="BN2" s="208">
        <v>3</v>
      </c>
      <c r="BO2" s="208">
        <v>2</v>
      </c>
      <c r="BP2" s="208">
        <v>5</v>
      </c>
      <c r="BQ2" s="208">
        <v>0</v>
      </c>
      <c r="BR2" s="208">
        <v>1</v>
      </c>
      <c r="BS2" s="208">
        <v>3</v>
      </c>
      <c r="BT2" s="210">
        <v>2</v>
      </c>
      <c r="BU2" s="210">
        <v>0</v>
      </c>
      <c r="BV2" s="213">
        <v>1</v>
      </c>
    </row>
    <row r="3" spans="1:74" ht="17" thickBot="1" x14ac:dyDescent="0.5">
      <c r="A3" s="147" t="s">
        <v>3</v>
      </c>
      <c r="B3" s="243" t="s">
        <v>398</v>
      </c>
      <c r="C3" s="250">
        <v>5</v>
      </c>
      <c r="D3" s="251">
        <v>1</v>
      </c>
      <c r="E3" s="251">
        <v>4</v>
      </c>
      <c r="F3" s="251">
        <v>2</v>
      </c>
      <c r="G3" s="251">
        <v>2</v>
      </c>
      <c r="H3" s="251">
        <v>1</v>
      </c>
      <c r="I3" s="251">
        <v>1</v>
      </c>
      <c r="J3" s="251">
        <v>1</v>
      </c>
      <c r="K3" s="251">
        <v>3</v>
      </c>
      <c r="L3" s="251">
        <v>1</v>
      </c>
      <c r="M3" s="251">
        <v>3</v>
      </c>
      <c r="N3" s="252">
        <v>1</v>
      </c>
      <c r="O3" s="251">
        <v>6</v>
      </c>
      <c r="P3" s="251">
        <v>0</v>
      </c>
      <c r="Q3" s="251">
        <v>1</v>
      </c>
      <c r="R3" s="251">
        <v>3</v>
      </c>
      <c r="S3" s="251">
        <v>1</v>
      </c>
      <c r="T3" s="251">
        <v>2</v>
      </c>
      <c r="U3" s="251">
        <v>4</v>
      </c>
      <c r="V3" s="251">
        <v>1</v>
      </c>
      <c r="W3" s="251">
        <v>3</v>
      </c>
      <c r="X3" s="253">
        <v>1</v>
      </c>
      <c r="Y3" s="253">
        <v>1</v>
      </c>
      <c r="Z3" s="254">
        <v>3</v>
      </c>
      <c r="AA3" s="255">
        <v>2</v>
      </c>
      <c r="AB3" s="253">
        <v>2</v>
      </c>
      <c r="AC3" s="253">
        <v>4</v>
      </c>
      <c r="AD3" s="253">
        <v>3</v>
      </c>
      <c r="AE3" s="253">
        <v>2</v>
      </c>
      <c r="AF3" s="253">
        <v>3</v>
      </c>
      <c r="AG3" s="253">
        <v>2</v>
      </c>
      <c r="AH3" s="253">
        <v>1</v>
      </c>
      <c r="AI3" s="253">
        <v>2</v>
      </c>
      <c r="AJ3" s="253">
        <v>2</v>
      </c>
      <c r="AK3" s="253">
        <v>2</v>
      </c>
      <c r="AL3" s="254">
        <v>3</v>
      </c>
      <c r="AM3" s="256">
        <v>5</v>
      </c>
      <c r="AN3" s="251">
        <v>3</v>
      </c>
      <c r="AO3" s="257">
        <v>3</v>
      </c>
      <c r="AP3" s="346"/>
      <c r="AQ3" s="347"/>
      <c r="AR3" s="340"/>
      <c r="AS3" s="341"/>
      <c r="AT3" s="250">
        <v>3</v>
      </c>
      <c r="AU3" s="251">
        <v>3</v>
      </c>
      <c r="AV3" s="251">
        <v>1</v>
      </c>
      <c r="AW3" s="251">
        <v>0</v>
      </c>
      <c r="AX3" s="251">
        <v>3</v>
      </c>
      <c r="AY3" s="256">
        <v>2</v>
      </c>
      <c r="AZ3" s="251">
        <v>0</v>
      </c>
      <c r="BA3" s="251">
        <v>3</v>
      </c>
      <c r="BB3" s="251">
        <v>1</v>
      </c>
      <c r="BC3" s="251">
        <v>0</v>
      </c>
      <c r="BD3" s="251">
        <v>4</v>
      </c>
      <c r="BE3" s="251">
        <v>0</v>
      </c>
      <c r="BF3" s="251">
        <v>1</v>
      </c>
      <c r="BG3" s="251">
        <v>2</v>
      </c>
      <c r="BH3" s="251">
        <v>1</v>
      </c>
      <c r="BI3" s="251">
        <v>1</v>
      </c>
      <c r="BJ3" s="252">
        <v>1</v>
      </c>
      <c r="BK3" s="251">
        <v>2</v>
      </c>
      <c r="BL3" s="251">
        <v>3</v>
      </c>
      <c r="BM3" s="251">
        <v>0</v>
      </c>
      <c r="BN3" s="251">
        <v>3</v>
      </c>
      <c r="BO3" s="251">
        <v>2</v>
      </c>
      <c r="BP3" s="251">
        <v>4</v>
      </c>
      <c r="BQ3" s="251">
        <v>0</v>
      </c>
      <c r="BR3" s="251">
        <v>1</v>
      </c>
      <c r="BS3" s="251">
        <v>3</v>
      </c>
      <c r="BT3" s="253">
        <v>2</v>
      </c>
      <c r="BU3" s="253">
        <v>0</v>
      </c>
      <c r="BV3" s="266">
        <v>1</v>
      </c>
    </row>
    <row r="4" spans="1:74" ht="17" thickBot="1" x14ac:dyDescent="0.5">
      <c r="A4" s="147" t="s">
        <v>3</v>
      </c>
      <c r="B4" s="243" t="s">
        <v>404</v>
      </c>
      <c r="C4" s="258">
        <v>1</v>
      </c>
      <c r="D4" s="259">
        <v>0</v>
      </c>
      <c r="E4" s="259">
        <v>1</v>
      </c>
      <c r="F4" s="259">
        <v>0</v>
      </c>
      <c r="G4" s="259">
        <v>0</v>
      </c>
      <c r="H4" s="259">
        <v>0</v>
      </c>
      <c r="I4" s="259">
        <v>0</v>
      </c>
      <c r="J4" s="259">
        <v>0</v>
      </c>
      <c r="K4" s="259">
        <v>1</v>
      </c>
      <c r="L4" s="259">
        <v>0</v>
      </c>
      <c r="M4" s="259">
        <v>0</v>
      </c>
      <c r="N4" s="260">
        <v>0</v>
      </c>
      <c r="O4" s="259">
        <v>1</v>
      </c>
      <c r="P4" s="259">
        <v>0</v>
      </c>
      <c r="Q4" s="259">
        <v>0</v>
      </c>
      <c r="R4" s="259">
        <v>0</v>
      </c>
      <c r="S4" s="259">
        <v>0</v>
      </c>
      <c r="T4" s="259">
        <v>0</v>
      </c>
      <c r="U4" s="259">
        <v>0</v>
      </c>
      <c r="V4" s="259">
        <v>0</v>
      </c>
      <c r="W4" s="259">
        <v>1</v>
      </c>
      <c r="X4" s="261">
        <v>1</v>
      </c>
      <c r="Y4" s="261">
        <v>1</v>
      </c>
      <c r="Z4" s="262">
        <v>1</v>
      </c>
      <c r="AA4" s="263">
        <v>0</v>
      </c>
      <c r="AB4" s="261">
        <v>0</v>
      </c>
      <c r="AC4" s="261">
        <v>2</v>
      </c>
      <c r="AD4" s="261">
        <v>1</v>
      </c>
      <c r="AE4" s="261">
        <v>0</v>
      </c>
      <c r="AF4" s="261">
        <v>2</v>
      </c>
      <c r="AG4" s="261">
        <v>0</v>
      </c>
      <c r="AH4" s="261">
        <v>1</v>
      </c>
      <c r="AI4" s="261">
        <v>0</v>
      </c>
      <c r="AJ4" s="261">
        <v>0</v>
      </c>
      <c r="AK4" s="261">
        <v>0</v>
      </c>
      <c r="AL4" s="262">
        <v>2</v>
      </c>
      <c r="AM4" s="264">
        <v>1</v>
      </c>
      <c r="AN4" s="259">
        <v>0</v>
      </c>
      <c r="AO4" s="265">
        <v>1</v>
      </c>
      <c r="AP4" s="346"/>
      <c r="AQ4" s="347"/>
      <c r="AR4" s="340"/>
      <c r="AS4" s="341"/>
      <c r="AT4" s="258">
        <v>0</v>
      </c>
      <c r="AU4" s="259">
        <v>1</v>
      </c>
      <c r="AV4" s="259">
        <v>1</v>
      </c>
      <c r="AW4" s="259">
        <v>0</v>
      </c>
      <c r="AX4" s="259">
        <v>0</v>
      </c>
      <c r="AY4" s="264">
        <v>0</v>
      </c>
      <c r="AZ4" s="259">
        <v>0</v>
      </c>
      <c r="BA4" s="259">
        <v>2</v>
      </c>
      <c r="BB4" s="259">
        <v>0</v>
      </c>
      <c r="BC4" s="259">
        <v>0</v>
      </c>
      <c r="BD4" s="259">
        <v>0</v>
      </c>
      <c r="BE4" s="259">
        <v>0</v>
      </c>
      <c r="BF4" s="259">
        <v>0</v>
      </c>
      <c r="BG4" s="259">
        <v>0</v>
      </c>
      <c r="BH4" s="259">
        <v>1</v>
      </c>
      <c r="BI4" s="259">
        <v>0</v>
      </c>
      <c r="BJ4" s="260">
        <v>0</v>
      </c>
      <c r="BK4" s="259">
        <v>0</v>
      </c>
      <c r="BL4" s="259">
        <v>0</v>
      </c>
      <c r="BM4" s="259">
        <v>0</v>
      </c>
      <c r="BN4" s="259">
        <v>1</v>
      </c>
      <c r="BO4" s="259">
        <v>0</v>
      </c>
      <c r="BP4" s="259">
        <v>0</v>
      </c>
      <c r="BQ4" s="259">
        <v>0</v>
      </c>
      <c r="BR4" s="259">
        <v>0</v>
      </c>
      <c r="BS4" s="259">
        <v>0</v>
      </c>
      <c r="BT4" s="261">
        <v>1</v>
      </c>
      <c r="BU4" s="261">
        <v>0</v>
      </c>
      <c r="BV4" s="267">
        <v>1</v>
      </c>
    </row>
    <row r="5" spans="1:74" ht="17" thickBot="1" x14ac:dyDescent="0.35">
      <c r="A5" s="147" t="s">
        <v>3</v>
      </c>
      <c r="B5" s="243" t="s">
        <v>399</v>
      </c>
      <c r="C5" s="272">
        <v>5</v>
      </c>
      <c r="D5" s="273">
        <v>1</v>
      </c>
      <c r="E5" s="273">
        <v>4</v>
      </c>
      <c r="F5" s="273">
        <v>2</v>
      </c>
      <c r="G5" s="273">
        <v>2</v>
      </c>
      <c r="H5" s="273">
        <v>1</v>
      </c>
      <c r="I5" s="273">
        <v>1</v>
      </c>
      <c r="J5" s="273">
        <v>2</v>
      </c>
      <c r="K5" s="273">
        <v>3</v>
      </c>
      <c r="L5" s="273">
        <v>1</v>
      </c>
      <c r="M5" s="273">
        <v>3</v>
      </c>
      <c r="N5" s="275">
        <v>1</v>
      </c>
      <c r="O5" s="273">
        <v>6</v>
      </c>
      <c r="P5" s="273">
        <v>0</v>
      </c>
      <c r="Q5" s="273">
        <v>1</v>
      </c>
      <c r="R5" s="273">
        <v>3</v>
      </c>
      <c r="S5" s="273">
        <v>1</v>
      </c>
      <c r="T5" s="273">
        <v>2</v>
      </c>
      <c r="U5" s="273">
        <v>4</v>
      </c>
      <c r="V5" s="273">
        <v>1</v>
      </c>
      <c r="W5" s="273">
        <v>3</v>
      </c>
      <c r="X5" s="273">
        <v>1</v>
      </c>
      <c r="Y5" s="273">
        <v>1</v>
      </c>
      <c r="Z5" s="275">
        <v>3</v>
      </c>
      <c r="AA5" s="273">
        <v>2</v>
      </c>
      <c r="AB5" s="273">
        <v>2</v>
      </c>
      <c r="AC5" s="273">
        <v>4</v>
      </c>
      <c r="AD5" s="273">
        <v>3</v>
      </c>
      <c r="AE5" s="273">
        <v>2</v>
      </c>
      <c r="AF5" s="273">
        <v>3</v>
      </c>
      <c r="AG5" s="273">
        <v>2</v>
      </c>
      <c r="AH5" s="273">
        <v>1</v>
      </c>
      <c r="AI5" s="273">
        <v>2</v>
      </c>
      <c r="AJ5" s="273">
        <v>2</v>
      </c>
      <c r="AK5" s="273">
        <v>2</v>
      </c>
      <c r="AL5" s="275">
        <v>3</v>
      </c>
      <c r="AM5" s="274">
        <v>5</v>
      </c>
      <c r="AN5" s="273">
        <v>4</v>
      </c>
      <c r="AO5" s="276">
        <v>3</v>
      </c>
      <c r="AP5" s="346"/>
      <c r="AQ5" s="347"/>
      <c r="AR5" s="340"/>
      <c r="AS5" s="341"/>
      <c r="AT5" s="272">
        <v>3</v>
      </c>
      <c r="AU5" s="273">
        <v>3</v>
      </c>
      <c r="AV5" s="273">
        <v>1</v>
      </c>
      <c r="AW5" s="273">
        <v>0</v>
      </c>
      <c r="AX5" s="273">
        <v>3</v>
      </c>
      <c r="AY5" s="274">
        <v>2</v>
      </c>
      <c r="AZ5" s="273">
        <v>0</v>
      </c>
      <c r="BA5" s="273">
        <v>3</v>
      </c>
      <c r="BB5" s="273">
        <v>1</v>
      </c>
      <c r="BC5" s="273">
        <v>0</v>
      </c>
      <c r="BD5" s="273">
        <v>4</v>
      </c>
      <c r="BE5" s="273">
        <v>0</v>
      </c>
      <c r="BF5" s="273">
        <v>1</v>
      </c>
      <c r="BG5" s="273">
        <v>2</v>
      </c>
      <c r="BH5" s="273">
        <v>1</v>
      </c>
      <c r="BI5" s="273">
        <v>1</v>
      </c>
      <c r="BJ5" s="275">
        <v>1</v>
      </c>
      <c r="BK5" s="273">
        <v>2</v>
      </c>
      <c r="BL5" s="273">
        <v>3</v>
      </c>
      <c r="BM5" s="273">
        <v>0</v>
      </c>
      <c r="BN5" s="273">
        <v>3</v>
      </c>
      <c r="BO5" s="273">
        <v>2</v>
      </c>
      <c r="BP5" s="273">
        <v>4</v>
      </c>
      <c r="BQ5" s="273">
        <v>0</v>
      </c>
      <c r="BR5" s="273">
        <v>1</v>
      </c>
      <c r="BS5" s="273">
        <v>3</v>
      </c>
      <c r="BT5" s="273">
        <v>2</v>
      </c>
      <c r="BU5" s="273">
        <v>0</v>
      </c>
      <c r="BV5" s="276">
        <v>1</v>
      </c>
    </row>
    <row r="6" spans="1:74" ht="17" thickBot="1" x14ac:dyDescent="0.35">
      <c r="A6" s="147" t="s">
        <v>3</v>
      </c>
      <c r="B6" s="243" t="s">
        <v>400</v>
      </c>
      <c r="C6" s="245">
        <v>4</v>
      </c>
      <c r="D6" s="246">
        <v>1</v>
      </c>
      <c r="E6" s="246">
        <v>3</v>
      </c>
      <c r="F6" s="246">
        <v>2</v>
      </c>
      <c r="G6" s="246">
        <v>2</v>
      </c>
      <c r="H6" s="246">
        <v>1</v>
      </c>
      <c r="I6" s="246">
        <v>1</v>
      </c>
      <c r="J6" s="246">
        <v>1</v>
      </c>
      <c r="K6" s="246">
        <v>2</v>
      </c>
      <c r="L6" s="246">
        <v>1</v>
      </c>
      <c r="M6" s="246">
        <v>2</v>
      </c>
      <c r="N6" s="247">
        <v>2</v>
      </c>
      <c r="O6" s="246">
        <v>6</v>
      </c>
      <c r="P6" s="246">
        <v>1</v>
      </c>
      <c r="Q6" s="246">
        <v>1</v>
      </c>
      <c r="R6" s="246">
        <v>3</v>
      </c>
      <c r="S6" s="246">
        <v>1</v>
      </c>
      <c r="T6" s="246">
        <v>2</v>
      </c>
      <c r="U6" s="246">
        <v>3</v>
      </c>
      <c r="V6" s="246">
        <v>1</v>
      </c>
      <c r="W6" s="246">
        <v>2</v>
      </c>
      <c r="X6" s="246">
        <v>0</v>
      </c>
      <c r="Y6" s="246">
        <v>0</v>
      </c>
      <c r="Z6" s="247">
        <v>2</v>
      </c>
      <c r="AA6" s="246">
        <v>2</v>
      </c>
      <c r="AB6" s="246">
        <v>2</v>
      </c>
      <c r="AC6" s="246">
        <v>2</v>
      </c>
      <c r="AD6" s="246">
        <v>2</v>
      </c>
      <c r="AE6" s="246">
        <v>2</v>
      </c>
      <c r="AF6" s="246">
        <v>1</v>
      </c>
      <c r="AG6" s="246">
        <v>2</v>
      </c>
      <c r="AH6" s="246">
        <v>0</v>
      </c>
      <c r="AI6" s="246">
        <v>2</v>
      </c>
      <c r="AJ6" s="246">
        <v>3</v>
      </c>
      <c r="AK6" s="246">
        <v>1</v>
      </c>
      <c r="AL6" s="247">
        <v>1</v>
      </c>
      <c r="AM6" s="248">
        <v>4</v>
      </c>
      <c r="AN6" s="246">
        <v>3</v>
      </c>
      <c r="AO6" s="249">
        <v>2</v>
      </c>
      <c r="AP6" s="346"/>
      <c r="AQ6" s="347"/>
      <c r="AR6" s="340"/>
      <c r="AS6" s="341"/>
      <c r="AT6" s="245">
        <v>3</v>
      </c>
      <c r="AU6" s="246">
        <v>3</v>
      </c>
      <c r="AV6" s="246">
        <v>0</v>
      </c>
      <c r="AW6" s="246">
        <v>0</v>
      </c>
      <c r="AX6" s="246">
        <v>2</v>
      </c>
      <c r="AY6" s="248">
        <v>2</v>
      </c>
      <c r="AZ6" s="246">
        <v>0</v>
      </c>
      <c r="BA6" s="246">
        <v>1</v>
      </c>
      <c r="BB6" s="246">
        <v>1</v>
      </c>
      <c r="BC6" s="246">
        <v>0</v>
      </c>
      <c r="BD6" s="246">
        <v>4</v>
      </c>
      <c r="BE6" s="246">
        <v>1</v>
      </c>
      <c r="BF6" s="246">
        <v>0</v>
      </c>
      <c r="BG6" s="246">
        <v>2</v>
      </c>
      <c r="BH6" s="246">
        <v>0</v>
      </c>
      <c r="BI6" s="246">
        <v>1</v>
      </c>
      <c r="BJ6" s="247">
        <v>1</v>
      </c>
      <c r="BK6" s="246">
        <v>2</v>
      </c>
      <c r="BL6" s="246">
        <v>2</v>
      </c>
      <c r="BM6" s="246">
        <v>1</v>
      </c>
      <c r="BN6" s="246">
        <v>2</v>
      </c>
      <c r="BO6" s="246">
        <v>1</v>
      </c>
      <c r="BP6" s="246">
        <v>4</v>
      </c>
      <c r="BQ6" s="246">
        <v>0</v>
      </c>
      <c r="BR6" s="246">
        <v>1</v>
      </c>
      <c r="BS6" s="246">
        <v>2</v>
      </c>
      <c r="BT6" s="246">
        <v>1</v>
      </c>
      <c r="BU6" s="246">
        <v>0</v>
      </c>
      <c r="BV6" s="249">
        <v>0</v>
      </c>
    </row>
    <row r="7" spans="1:74" ht="17" thickBot="1" x14ac:dyDescent="0.35">
      <c r="A7" s="279" t="s">
        <v>3</v>
      </c>
      <c r="B7" s="244" t="s">
        <v>405</v>
      </c>
      <c r="C7" s="277">
        <v>4</v>
      </c>
      <c r="D7" s="268">
        <v>1</v>
      </c>
      <c r="E7" s="268">
        <v>3</v>
      </c>
      <c r="F7" s="268">
        <v>2</v>
      </c>
      <c r="G7" s="268">
        <v>2</v>
      </c>
      <c r="H7" s="268">
        <v>1</v>
      </c>
      <c r="I7" s="268">
        <v>1</v>
      </c>
      <c r="J7" s="268">
        <v>1</v>
      </c>
      <c r="K7" s="268">
        <v>3</v>
      </c>
      <c r="L7" s="268">
        <v>1</v>
      </c>
      <c r="M7" s="268">
        <v>2</v>
      </c>
      <c r="N7" s="270">
        <v>2</v>
      </c>
      <c r="O7" s="268">
        <v>6</v>
      </c>
      <c r="P7" s="268">
        <v>1</v>
      </c>
      <c r="Q7" s="268">
        <v>1</v>
      </c>
      <c r="R7" s="268">
        <v>3</v>
      </c>
      <c r="S7" s="268">
        <v>1</v>
      </c>
      <c r="T7" s="268">
        <v>2</v>
      </c>
      <c r="U7" s="268">
        <v>3</v>
      </c>
      <c r="V7" s="268">
        <v>1</v>
      </c>
      <c r="W7" s="268">
        <v>2</v>
      </c>
      <c r="X7" s="268">
        <v>0</v>
      </c>
      <c r="Y7" s="268">
        <v>0</v>
      </c>
      <c r="Z7" s="270">
        <v>2</v>
      </c>
      <c r="AA7" s="268">
        <v>2</v>
      </c>
      <c r="AB7" s="268">
        <v>2</v>
      </c>
      <c r="AC7" s="268">
        <v>2</v>
      </c>
      <c r="AD7" s="268">
        <v>2</v>
      </c>
      <c r="AE7" s="268">
        <v>2</v>
      </c>
      <c r="AF7" s="268">
        <v>1</v>
      </c>
      <c r="AG7" s="268">
        <v>2</v>
      </c>
      <c r="AH7" s="268">
        <v>0</v>
      </c>
      <c r="AI7" s="268">
        <v>2</v>
      </c>
      <c r="AJ7" s="268">
        <v>3</v>
      </c>
      <c r="AK7" s="268">
        <v>1</v>
      </c>
      <c r="AL7" s="270">
        <v>1</v>
      </c>
      <c r="AM7" s="269">
        <v>4</v>
      </c>
      <c r="AN7" s="268">
        <v>3</v>
      </c>
      <c r="AO7" s="268">
        <v>2</v>
      </c>
      <c r="AP7" s="348"/>
      <c r="AQ7" s="349"/>
      <c r="AR7" s="342"/>
      <c r="AS7" s="343"/>
      <c r="AT7" s="268">
        <v>3</v>
      </c>
      <c r="AU7" s="268">
        <v>3</v>
      </c>
      <c r="AV7" s="268">
        <v>0</v>
      </c>
      <c r="AW7" s="268">
        <v>0</v>
      </c>
      <c r="AX7" s="268">
        <v>2</v>
      </c>
      <c r="AY7" s="269">
        <v>2</v>
      </c>
      <c r="AZ7" s="268">
        <v>0</v>
      </c>
      <c r="BA7" s="268">
        <v>1</v>
      </c>
      <c r="BB7" s="268">
        <v>1</v>
      </c>
      <c r="BC7" s="268">
        <v>0</v>
      </c>
      <c r="BD7" s="268">
        <v>4</v>
      </c>
      <c r="BE7" s="268">
        <v>1</v>
      </c>
      <c r="BF7" s="268">
        <v>0</v>
      </c>
      <c r="BG7" s="268">
        <v>2</v>
      </c>
      <c r="BH7" s="268">
        <v>0</v>
      </c>
      <c r="BI7" s="268">
        <v>1</v>
      </c>
      <c r="BJ7" s="270">
        <v>1</v>
      </c>
      <c r="BK7" s="268">
        <v>2</v>
      </c>
      <c r="BL7" s="268">
        <v>2</v>
      </c>
      <c r="BM7" s="268">
        <v>1</v>
      </c>
      <c r="BN7" s="268">
        <v>2</v>
      </c>
      <c r="BO7" s="268">
        <v>1</v>
      </c>
      <c r="BP7" s="268">
        <v>4</v>
      </c>
      <c r="BQ7" s="268">
        <v>0</v>
      </c>
      <c r="BR7" s="268">
        <v>1</v>
      </c>
      <c r="BS7" s="268">
        <v>2</v>
      </c>
      <c r="BT7" s="268">
        <v>1</v>
      </c>
      <c r="BU7" s="268">
        <v>0</v>
      </c>
      <c r="BV7" s="271">
        <v>0</v>
      </c>
    </row>
    <row r="8" spans="1:74" ht="17" thickBot="1" x14ac:dyDescent="0.5">
      <c r="A8" s="74" t="s">
        <v>4</v>
      </c>
      <c r="B8" s="239" t="s">
        <v>403</v>
      </c>
      <c r="C8" s="207">
        <v>1</v>
      </c>
      <c r="D8" s="208">
        <v>1</v>
      </c>
      <c r="E8" s="208">
        <v>1</v>
      </c>
      <c r="F8" s="208">
        <v>1</v>
      </c>
      <c r="G8" s="208">
        <v>0</v>
      </c>
      <c r="H8" s="208">
        <v>3</v>
      </c>
      <c r="I8" s="208">
        <v>2</v>
      </c>
      <c r="J8" s="208">
        <v>3</v>
      </c>
      <c r="K8" s="208">
        <v>1</v>
      </c>
      <c r="L8" s="208">
        <v>2</v>
      </c>
      <c r="M8" s="208">
        <v>1</v>
      </c>
      <c r="N8" s="209">
        <v>4</v>
      </c>
      <c r="O8" s="208">
        <v>3</v>
      </c>
      <c r="P8" s="208">
        <v>2</v>
      </c>
      <c r="Q8" s="208">
        <v>4</v>
      </c>
      <c r="R8" s="208">
        <v>4</v>
      </c>
      <c r="S8" s="208">
        <v>3</v>
      </c>
      <c r="T8" s="208">
        <v>4</v>
      </c>
      <c r="U8" s="208">
        <v>2</v>
      </c>
      <c r="V8" s="208">
        <v>1</v>
      </c>
      <c r="W8" s="208">
        <v>5</v>
      </c>
      <c r="X8" s="210">
        <v>2</v>
      </c>
      <c r="Y8" s="210">
        <v>2</v>
      </c>
      <c r="Z8" s="211">
        <v>1</v>
      </c>
      <c r="AA8" s="212">
        <v>7</v>
      </c>
      <c r="AB8" s="210">
        <v>3</v>
      </c>
      <c r="AC8" s="210">
        <v>4</v>
      </c>
      <c r="AD8" s="210">
        <v>5</v>
      </c>
      <c r="AE8" s="210">
        <v>1</v>
      </c>
      <c r="AF8" s="210">
        <v>4</v>
      </c>
      <c r="AG8" s="210">
        <v>3</v>
      </c>
      <c r="AH8" s="210">
        <v>3</v>
      </c>
      <c r="AI8" s="210">
        <v>2</v>
      </c>
      <c r="AJ8" s="210">
        <v>1</v>
      </c>
      <c r="AK8" s="344" t="s">
        <v>57</v>
      </c>
      <c r="AL8" s="345"/>
      <c r="AM8" s="338" t="s">
        <v>30</v>
      </c>
      <c r="AN8" s="339"/>
      <c r="AO8" s="208">
        <v>1</v>
      </c>
      <c r="AP8" s="208">
        <v>1</v>
      </c>
      <c r="AQ8" s="208">
        <v>2</v>
      </c>
      <c r="AR8" s="208">
        <v>1</v>
      </c>
      <c r="AS8" s="208">
        <v>2</v>
      </c>
      <c r="AT8" s="208">
        <v>2</v>
      </c>
      <c r="AU8" s="208">
        <v>0</v>
      </c>
      <c r="AV8" s="208">
        <v>2</v>
      </c>
      <c r="AW8" s="208">
        <v>3</v>
      </c>
      <c r="AX8" s="209">
        <v>2</v>
      </c>
      <c r="AY8" s="242">
        <v>2</v>
      </c>
      <c r="AZ8" s="208">
        <v>2</v>
      </c>
      <c r="BA8" s="208">
        <v>3</v>
      </c>
      <c r="BB8" s="208">
        <v>1</v>
      </c>
      <c r="BC8" s="208">
        <v>1</v>
      </c>
      <c r="BD8" s="208">
        <v>1</v>
      </c>
      <c r="BE8" s="208">
        <v>0</v>
      </c>
      <c r="BF8" s="208">
        <v>3</v>
      </c>
      <c r="BG8" s="208">
        <v>1</v>
      </c>
      <c r="BH8" s="208">
        <v>1</v>
      </c>
      <c r="BI8" s="208">
        <v>2</v>
      </c>
      <c r="BJ8" s="209">
        <v>3</v>
      </c>
      <c r="BK8" s="208">
        <v>4</v>
      </c>
      <c r="BL8" s="208">
        <v>2</v>
      </c>
      <c r="BM8" s="208">
        <v>0</v>
      </c>
      <c r="BN8" s="208">
        <v>4</v>
      </c>
      <c r="BO8" s="208">
        <v>4</v>
      </c>
      <c r="BP8" s="208">
        <v>4</v>
      </c>
      <c r="BQ8" s="208">
        <v>3</v>
      </c>
      <c r="BR8" s="208">
        <v>5</v>
      </c>
      <c r="BS8" s="208">
        <v>5</v>
      </c>
      <c r="BT8" s="210">
        <v>3</v>
      </c>
      <c r="BU8" s="210">
        <v>4</v>
      </c>
      <c r="BV8" s="213">
        <v>3</v>
      </c>
    </row>
    <row r="9" spans="1:74" ht="17" thickBot="1" x14ac:dyDescent="0.5">
      <c r="A9" s="147" t="s">
        <v>4</v>
      </c>
      <c r="B9" s="243" t="s">
        <v>398</v>
      </c>
      <c r="C9" s="250">
        <v>1</v>
      </c>
      <c r="D9" s="251">
        <v>1</v>
      </c>
      <c r="E9" s="251">
        <v>1</v>
      </c>
      <c r="F9" s="251">
        <v>1</v>
      </c>
      <c r="G9" s="251">
        <v>0</v>
      </c>
      <c r="H9" s="251">
        <v>3</v>
      </c>
      <c r="I9" s="251">
        <v>2</v>
      </c>
      <c r="J9" s="251">
        <v>3</v>
      </c>
      <c r="K9" s="251">
        <v>1</v>
      </c>
      <c r="L9" s="251">
        <v>2</v>
      </c>
      <c r="M9" s="251">
        <v>0</v>
      </c>
      <c r="N9" s="252">
        <v>3</v>
      </c>
      <c r="O9" s="251">
        <v>3</v>
      </c>
      <c r="P9" s="251">
        <v>2</v>
      </c>
      <c r="Q9" s="251">
        <v>4</v>
      </c>
      <c r="R9" s="251">
        <v>2</v>
      </c>
      <c r="S9" s="251">
        <v>3</v>
      </c>
      <c r="T9" s="251">
        <v>4</v>
      </c>
      <c r="U9" s="251">
        <v>2</v>
      </c>
      <c r="V9" s="251">
        <v>1</v>
      </c>
      <c r="W9" s="251">
        <v>4</v>
      </c>
      <c r="X9" s="253">
        <v>2</v>
      </c>
      <c r="Y9" s="253">
        <v>2</v>
      </c>
      <c r="Z9" s="254">
        <v>1</v>
      </c>
      <c r="AA9" s="255">
        <v>7</v>
      </c>
      <c r="AB9" s="253">
        <v>3</v>
      </c>
      <c r="AC9" s="253">
        <v>4</v>
      </c>
      <c r="AD9" s="253">
        <v>5</v>
      </c>
      <c r="AE9" s="253">
        <v>1</v>
      </c>
      <c r="AF9" s="253">
        <v>4</v>
      </c>
      <c r="AG9" s="253">
        <v>2</v>
      </c>
      <c r="AH9" s="253">
        <v>3</v>
      </c>
      <c r="AI9" s="253">
        <v>1</v>
      </c>
      <c r="AJ9" s="253">
        <v>1</v>
      </c>
      <c r="AK9" s="346"/>
      <c r="AL9" s="347"/>
      <c r="AM9" s="340"/>
      <c r="AN9" s="341"/>
      <c r="AO9" s="251">
        <v>1</v>
      </c>
      <c r="AP9" s="251">
        <v>1</v>
      </c>
      <c r="AQ9" s="251">
        <v>2</v>
      </c>
      <c r="AR9" s="251">
        <v>1</v>
      </c>
      <c r="AS9" s="251">
        <v>2</v>
      </c>
      <c r="AT9" s="251">
        <v>2</v>
      </c>
      <c r="AU9" s="251">
        <v>0</v>
      </c>
      <c r="AV9" s="251">
        <v>2</v>
      </c>
      <c r="AW9" s="251">
        <v>3</v>
      </c>
      <c r="AX9" s="252">
        <v>2</v>
      </c>
      <c r="AY9" s="256">
        <v>1</v>
      </c>
      <c r="AZ9" s="251">
        <v>2</v>
      </c>
      <c r="BA9" s="251">
        <v>3</v>
      </c>
      <c r="BB9" s="251">
        <v>1</v>
      </c>
      <c r="BC9" s="251">
        <v>1</v>
      </c>
      <c r="BD9" s="251">
        <v>1</v>
      </c>
      <c r="BE9" s="251">
        <v>0</v>
      </c>
      <c r="BF9" s="251">
        <v>3</v>
      </c>
      <c r="BG9" s="251">
        <v>1</v>
      </c>
      <c r="BH9" s="251">
        <v>1</v>
      </c>
      <c r="BI9" s="251">
        <v>2</v>
      </c>
      <c r="BJ9" s="252">
        <v>3</v>
      </c>
      <c r="BK9" s="251">
        <v>4</v>
      </c>
      <c r="BL9" s="251">
        <v>2</v>
      </c>
      <c r="BM9" s="251">
        <v>0</v>
      </c>
      <c r="BN9" s="251">
        <v>4</v>
      </c>
      <c r="BO9" s="251">
        <v>3</v>
      </c>
      <c r="BP9" s="251">
        <v>4</v>
      </c>
      <c r="BQ9" s="251">
        <v>3</v>
      </c>
      <c r="BR9" s="251">
        <v>5</v>
      </c>
      <c r="BS9" s="251">
        <v>5</v>
      </c>
      <c r="BT9" s="253">
        <v>3</v>
      </c>
      <c r="BU9" s="253">
        <v>4</v>
      </c>
      <c r="BV9" s="266">
        <v>2</v>
      </c>
    </row>
    <row r="10" spans="1:74" ht="17" thickBot="1" x14ac:dyDescent="0.5">
      <c r="A10" s="147" t="s">
        <v>4</v>
      </c>
      <c r="B10" s="243" t="s">
        <v>404</v>
      </c>
      <c r="C10" s="258">
        <v>0</v>
      </c>
      <c r="D10" s="259">
        <v>0</v>
      </c>
      <c r="E10" s="259">
        <v>0</v>
      </c>
      <c r="F10" s="259">
        <v>0</v>
      </c>
      <c r="G10" s="259">
        <v>0</v>
      </c>
      <c r="H10" s="259">
        <v>2</v>
      </c>
      <c r="I10" s="259">
        <v>1</v>
      </c>
      <c r="J10" s="259">
        <v>0</v>
      </c>
      <c r="K10" s="259">
        <v>0</v>
      </c>
      <c r="L10" s="259">
        <v>0</v>
      </c>
      <c r="M10" s="259">
        <v>0</v>
      </c>
      <c r="N10" s="260">
        <v>1</v>
      </c>
      <c r="O10" s="259">
        <v>1</v>
      </c>
      <c r="P10" s="259">
        <v>0</v>
      </c>
      <c r="Q10" s="259">
        <v>0</v>
      </c>
      <c r="R10" s="259">
        <v>0</v>
      </c>
      <c r="S10" s="259">
        <v>2</v>
      </c>
      <c r="T10" s="259">
        <v>1</v>
      </c>
      <c r="U10" s="259">
        <v>0</v>
      </c>
      <c r="V10" s="259">
        <v>1</v>
      </c>
      <c r="W10" s="259">
        <v>1</v>
      </c>
      <c r="X10" s="261">
        <v>1</v>
      </c>
      <c r="Y10" s="261">
        <v>1</v>
      </c>
      <c r="Z10" s="262">
        <v>1</v>
      </c>
      <c r="AA10" s="263">
        <v>1</v>
      </c>
      <c r="AB10" s="261">
        <v>0</v>
      </c>
      <c r="AC10" s="261">
        <v>2</v>
      </c>
      <c r="AD10" s="261">
        <v>2</v>
      </c>
      <c r="AE10" s="261">
        <v>0</v>
      </c>
      <c r="AF10" s="261">
        <v>2</v>
      </c>
      <c r="AG10" s="261">
        <v>1</v>
      </c>
      <c r="AH10" s="261">
        <v>0</v>
      </c>
      <c r="AI10" s="261">
        <v>0</v>
      </c>
      <c r="AJ10" s="261">
        <v>0</v>
      </c>
      <c r="AK10" s="346"/>
      <c r="AL10" s="347"/>
      <c r="AM10" s="340"/>
      <c r="AN10" s="341"/>
      <c r="AO10" s="259">
        <v>1</v>
      </c>
      <c r="AP10" s="259">
        <v>0</v>
      </c>
      <c r="AQ10" s="259">
        <v>1</v>
      </c>
      <c r="AR10" s="259">
        <v>0</v>
      </c>
      <c r="AS10" s="259">
        <v>0</v>
      </c>
      <c r="AT10" s="259">
        <v>0</v>
      </c>
      <c r="AU10" s="259">
        <v>0</v>
      </c>
      <c r="AV10" s="259">
        <v>1</v>
      </c>
      <c r="AW10" s="259">
        <v>0</v>
      </c>
      <c r="AX10" s="260">
        <v>0</v>
      </c>
      <c r="AY10" s="264">
        <v>0</v>
      </c>
      <c r="AZ10" s="259">
        <v>0</v>
      </c>
      <c r="BA10" s="259">
        <v>1</v>
      </c>
      <c r="BB10" s="259">
        <v>0</v>
      </c>
      <c r="BC10" s="259">
        <v>0</v>
      </c>
      <c r="BD10" s="259">
        <v>0</v>
      </c>
      <c r="BE10" s="259">
        <v>0</v>
      </c>
      <c r="BF10" s="259">
        <v>0</v>
      </c>
      <c r="BG10" s="259">
        <v>1</v>
      </c>
      <c r="BH10" s="259">
        <v>1</v>
      </c>
      <c r="BI10" s="259">
        <v>0</v>
      </c>
      <c r="BJ10" s="260">
        <v>0</v>
      </c>
      <c r="BK10" s="259">
        <v>0</v>
      </c>
      <c r="BL10" s="259">
        <v>0</v>
      </c>
      <c r="BM10" s="259">
        <v>0</v>
      </c>
      <c r="BN10" s="259">
        <v>0</v>
      </c>
      <c r="BO10" s="259">
        <v>1</v>
      </c>
      <c r="BP10" s="259">
        <v>0</v>
      </c>
      <c r="BQ10" s="259">
        <v>2</v>
      </c>
      <c r="BR10" s="259">
        <v>2</v>
      </c>
      <c r="BS10" s="259">
        <v>2</v>
      </c>
      <c r="BT10" s="261">
        <v>0</v>
      </c>
      <c r="BU10" s="261">
        <v>1</v>
      </c>
      <c r="BV10" s="267">
        <v>0</v>
      </c>
    </row>
    <row r="11" spans="1:74" ht="17" thickBot="1" x14ac:dyDescent="0.35">
      <c r="A11" s="147" t="s">
        <v>4</v>
      </c>
      <c r="B11" s="243" t="s">
        <v>399</v>
      </c>
      <c r="C11" s="272">
        <v>1</v>
      </c>
      <c r="D11" s="273">
        <v>1</v>
      </c>
      <c r="E11" s="273">
        <v>1</v>
      </c>
      <c r="F11" s="273">
        <v>1</v>
      </c>
      <c r="G11" s="273">
        <v>0</v>
      </c>
      <c r="H11" s="273">
        <v>3</v>
      </c>
      <c r="I11" s="273">
        <v>2</v>
      </c>
      <c r="J11" s="273">
        <v>3</v>
      </c>
      <c r="K11" s="273">
        <v>1</v>
      </c>
      <c r="L11" s="273">
        <v>2</v>
      </c>
      <c r="M11" s="273">
        <v>0</v>
      </c>
      <c r="N11" s="275">
        <v>3</v>
      </c>
      <c r="O11" s="273">
        <v>3</v>
      </c>
      <c r="P11" s="273">
        <v>2</v>
      </c>
      <c r="Q11" s="273">
        <v>4</v>
      </c>
      <c r="R11" s="273">
        <v>2</v>
      </c>
      <c r="S11" s="273">
        <v>3</v>
      </c>
      <c r="T11" s="273">
        <v>4</v>
      </c>
      <c r="U11" s="273">
        <v>2</v>
      </c>
      <c r="V11" s="273">
        <v>1</v>
      </c>
      <c r="W11" s="273">
        <v>4</v>
      </c>
      <c r="X11" s="273">
        <v>2</v>
      </c>
      <c r="Y11" s="273">
        <v>2</v>
      </c>
      <c r="Z11" s="275">
        <v>1</v>
      </c>
      <c r="AA11" s="273">
        <v>7</v>
      </c>
      <c r="AB11" s="273">
        <v>3</v>
      </c>
      <c r="AC11" s="273">
        <v>4</v>
      </c>
      <c r="AD11" s="273">
        <v>5</v>
      </c>
      <c r="AE11" s="273">
        <v>1</v>
      </c>
      <c r="AF11" s="273">
        <v>4</v>
      </c>
      <c r="AG11" s="273">
        <v>2</v>
      </c>
      <c r="AH11" s="273">
        <v>3</v>
      </c>
      <c r="AI11" s="273">
        <v>1</v>
      </c>
      <c r="AJ11" s="273">
        <v>1</v>
      </c>
      <c r="AK11" s="346"/>
      <c r="AL11" s="347"/>
      <c r="AM11" s="340"/>
      <c r="AN11" s="341"/>
      <c r="AO11" s="273">
        <v>1</v>
      </c>
      <c r="AP11" s="273">
        <v>1</v>
      </c>
      <c r="AQ11" s="273">
        <v>2</v>
      </c>
      <c r="AR11" s="273">
        <v>1</v>
      </c>
      <c r="AS11" s="273">
        <v>2</v>
      </c>
      <c r="AT11" s="273">
        <v>2</v>
      </c>
      <c r="AU11" s="273">
        <v>0</v>
      </c>
      <c r="AV11" s="273">
        <v>2</v>
      </c>
      <c r="AW11" s="273">
        <v>3</v>
      </c>
      <c r="AX11" s="275">
        <v>2</v>
      </c>
      <c r="AY11" s="274">
        <v>1</v>
      </c>
      <c r="AZ11" s="273">
        <v>2</v>
      </c>
      <c r="BA11" s="273">
        <v>3</v>
      </c>
      <c r="BB11" s="273">
        <v>1</v>
      </c>
      <c r="BC11" s="273">
        <v>1</v>
      </c>
      <c r="BD11" s="273">
        <v>1</v>
      </c>
      <c r="BE11" s="273">
        <v>0</v>
      </c>
      <c r="BF11" s="273">
        <v>3</v>
      </c>
      <c r="BG11" s="273">
        <v>1</v>
      </c>
      <c r="BH11" s="273">
        <v>1</v>
      </c>
      <c r="BI11" s="273">
        <v>2</v>
      </c>
      <c r="BJ11" s="275">
        <v>3</v>
      </c>
      <c r="BK11" s="273">
        <v>4</v>
      </c>
      <c r="BL11" s="273">
        <v>2</v>
      </c>
      <c r="BM11" s="273">
        <v>0</v>
      </c>
      <c r="BN11" s="273">
        <v>4</v>
      </c>
      <c r="BO11" s="273">
        <v>3</v>
      </c>
      <c r="BP11" s="273">
        <v>4</v>
      </c>
      <c r="BQ11" s="273">
        <v>3</v>
      </c>
      <c r="BR11" s="273">
        <v>5</v>
      </c>
      <c r="BS11" s="273">
        <v>5</v>
      </c>
      <c r="BT11" s="273">
        <v>3</v>
      </c>
      <c r="BU11" s="273">
        <v>4</v>
      </c>
      <c r="BV11" s="276">
        <v>2</v>
      </c>
    </row>
    <row r="12" spans="1:74" ht="17" thickBot="1" x14ac:dyDescent="0.35">
      <c r="A12" s="147" t="s">
        <v>4</v>
      </c>
      <c r="B12" s="243" t="s">
        <v>400</v>
      </c>
      <c r="C12" s="245">
        <v>0</v>
      </c>
      <c r="D12" s="246">
        <v>0</v>
      </c>
      <c r="E12" s="246">
        <v>0</v>
      </c>
      <c r="F12" s="246">
        <v>0</v>
      </c>
      <c r="G12" s="246">
        <v>0</v>
      </c>
      <c r="H12" s="246">
        <v>1</v>
      </c>
      <c r="I12" s="246">
        <v>1</v>
      </c>
      <c r="J12" s="246">
        <v>3</v>
      </c>
      <c r="K12" s="246">
        <v>1</v>
      </c>
      <c r="L12" s="246">
        <v>2</v>
      </c>
      <c r="M12" s="246">
        <v>1</v>
      </c>
      <c r="N12" s="247">
        <v>3</v>
      </c>
      <c r="O12" s="246">
        <v>2</v>
      </c>
      <c r="P12" s="246">
        <v>2</v>
      </c>
      <c r="Q12" s="246">
        <v>4</v>
      </c>
      <c r="R12" s="246">
        <v>4</v>
      </c>
      <c r="S12" s="246">
        <v>1</v>
      </c>
      <c r="T12" s="246">
        <v>3</v>
      </c>
      <c r="U12" s="246">
        <v>2</v>
      </c>
      <c r="V12" s="246">
        <v>0</v>
      </c>
      <c r="W12" s="246">
        <v>4</v>
      </c>
      <c r="X12" s="246">
        <v>1</v>
      </c>
      <c r="Y12" s="246">
        <v>1</v>
      </c>
      <c r="Z12" s="247">
        <v>0</v>
      </c>
      <c r="AA12" s="246">
        <v>6</v>
      </c>
      <c r="AB12" s="246">
        <v>3</v>
      </c>
      <c r="AC12" s="246">
        <v>2</v>
      </c>
      <c r="AD12" s="246">
        <v>3</v>
      </c>
      <c r="AE12" s="246">
        <v>0</v>
      </c>
      <c r="AF12" s="246">
        <v>2</v>
      </c>
      <c r="AG12" s="246">
        <v>1</v>
      </c>
      <c r="AH12" s="246">
        <v>2</v>
      </c>
      <c r="AI12" s="246">
        <v>2</v>
      </c>
      <c r="AJ12" s="246">
        <v>1</v>
      </c>
      <c r="AK12" s="346"/>
      <c r="AL12" s="347"/>
      <c r="AM12" s="340"/>
      <c r="AN12" s="341"/>
      <c r="AO12" s="246">
        <v>0</v>
      </c>
      <c r="AP12" s="246">
        <v>1</v>
      </c>
      <c r="AQ12" s="246">
        <v>1</v>
      </c>
      <c r="AR12" s="246">
        <v>1</v>
      </c>
      <c r="AS12" s="246">
        <v>2</v>
      </c>
      <c r="AT12" s="246">
        <v>2</v>
      </c>
      <c r="AU12" s="246">
        <v>0</v>
      </c>
      <c r="AV12" s="246">
        <v>1</v>
      </c>
      <c r="AW12" s="246">
        <v>3</v>
      </c>
      <c r="AX12" s="247">
        <v>2</v>
      </c>
      <c r="AY12" s="248">
        <v>2</v>
      </c>
      <c r="AZ12" s="246">
        <v>2</v>
      </c>
      <c r="BA12" s="246">
        <v>2</v>
      </c>
      <c r="BB12" s="246">
        <v>1</v>
      </c>
      <c r="BC12" s="246">
        <v>1</v>
      </c>
      <c r="BD12" s="246">
        <v>1</v>
      </c>
      <c r="BE12" s="246">
        <v>0</v>
      </c>
      <c r="BF12" s="246">
        <v>3</v>
      </c>
      <c r="BG12" s="246">
        <v>0</v>
      </c>
      <c r="BH12" s="246">
        <v>0</v>
      </c>
      <c r="BI12" s="246">
        <v>1</v>
      </c>
      <c r="BJ12" s="247">
        <v>3</v>
      </c>
      <c r="BK12" s="246">
        <v>4</v>
      </c>
      <c r="BL12" s="246">
        <v>1</v>
      </c>
      <c r="BM12" s="246">
        <v>0</v>
      </c>
      <c r="BN12" s="246">
        <v>4</v>
      </c>
      <c r="BO12" s="246">
        <v>2</v>
      </c>
      <c r="BP12" s="246">
        <v>2</v>
      </c>
      <c r="BQ12" s="246">
        <v>0</v>
      </c>
      <c r="BR12" s="246">
        <v>3</v>
      </c>
      <c r="BS12" s="246">
        <v>3</v>
      </c>
      <c r="BT12" s="246">
        <v>2</v>
      </c>
      <c r="BU12" s="246">
        <v>3</v>
      </c>
      <c r="BV12" s="249">
        <v>3</v>
      </c>
    </row>
    <row r="13" spans="1:74" ht="17" thickBot="1" x14ac:dyDescent="0.35">
      <c r="A13" s="279" t="s">
        <v>4</v>
      </c>
      <c r="B13" s="243" t="s">
        <v>401</v>
      </c>
      <c r="C13" s="277">
        <v>0</v>
      </c>
      <c r="D13" s="268">
        <v>0</v>
      </c>
      <c r="E13" s="268">
        <v>0</v>
      </c>
      <c r="F13" s="268">
        <v>0</v>
      </c>
      <c r="G13" s="268">
        <v>0</v>
      </c>
      <c r="H13" s="268">
        <v>1</v>
      </c>
      <c r="I13" s="268">
        <v>1</v>
      </c>
      <c r="J13" s="268">
        <v>3</v>
      </c>
      <c r="K13" s="268">
        <v>1</v>
      </c>
      <c r="L13" s="268">
        <v>2</v>
      </c>
      <c r="M13" s="268">
        <v>1</v>
      </c>
      <c r="N13" s="270">
        <v>3</v>
      </c>
      <c r="O13" s="268">
        <v>2</v>
      </c>
      <c r="P13" s="268">
        <v>2</v>
      </c>
      <c r="Q13" s="268">
        <v>4</v>
      </c>
      <c r="R13" s="268">
        <v>4</v>
      </c>
      <c r="S13" s="268">
        <v>1</v>
      </c>
      <c r="T13" s="268">
        <v>3</v>
      </c>
      <c r="U13" s="268">
        <v>2</v>
      </c>
      <c r="V13" s="268">
        <v>0</v>
      </c>
      <c r="W13" s="268">
        <v>4</v>
      </c>
      <c r="X13" s="268">
        <v>1</v>
      </c>
      <c r="Y13" s="268">
        <v>1</v>
      </c>
      <c r="Z13" s="270">
        <v>0</v>
      </c>
      <c r="AA13" s="268">
        <v>6</v>
      </c>
      <c r="AB13" s="268">
        <v>3</v>
      </c>
      <c r="AC13" s="268">
        <v>2</v>
      </c>
      <c r="AD13" s="268">
        <v>3</v>
      </c>
      <c r="AE13" s="268">
        <v>0</v>
      </c>
      <c r="AF13" s="268">
        <v>3</v>
      </c>
      <c r="AG13" s="268">
        <v>1</v>
      </c>
      <c r="AH13" s="268">
        <v>2</v>
      </c>
      <c r="AI13" s="268">
        <v>2</v>
      </c>
      <c r="AJ13" s="268">
        <v>1</v>
      </c>
      <c r="AK13" s="348"/>
      <c r="AL13" s="349"/>
      <c r="AM13" s="342"/>
      <c r="AN13" s="343"/>
      <c r="AO13" s="268">
        <v>0</v>
      </c>
      <c r="AP13" s="268">
        <v>1</v>
      </c>
      <c r="AQ13" s="268">
        <v>1</v>
      </c>
      <c r="AR13" s="268">
        <v>1</v>
      </c>
      <c r="AS13" s="268">
        <v>2</v>
      </c>
      <c r="AT13" s="268">
        <v>2</v>
      </c>
      <c r="AU13" s="268">
        <v>0</v>
      </c>
      <c r="AV13" s="268">
        <v>1</v>
      </c>
      <c r="AW13" s="268">
        <v>3</v>
      </c>
      <c r="AX13" s="270">
        <v>2</v>
      </c>
      <c r="AY13" s="269">
        <v>2</v>
      </c>
      <c r="AZ13" s="268">
        <v>2</v>
      </c>
      <c r="BA13" s="268">
        <v>2</v>
      </c>
      <c r="BB13" s="268">
        <v>1</v>
      </c>
      <c r="BC13" s="268">
        <v>1</v>
      </c>
      <c r="BD13" s="268">
        <v>1</v>
      </c>
      <c r="BE13" s="268">
        <v>0</v>
      </c>
      <c r="BF13" s="268">
        <v>3</v>
      </c>
      <c r="BG13" s="268">
        <v>0</v>
      </c>
      <c r="BH13" s="268">
        <v>0</v>
      </c>
      <c r="BI13" s="268">
        <v>1</v>
      </c>
      <c r="BJ13" s="270">
        <v>3</v>
      </c>
      <c r="BK13" s="268">
        <v>4</v>
      </c>
      <c r="BL13" s="268">
        <v>1</v>
      </c>
      <c r="BM13" s="268">
        <v>0</v>
      </c>
      <c r="BN13" s="268">
        <v>4</v>
      </c>
      <c r="BO13" s="268">
        <v>2</v>
      </c>
      <c r="BP13" s="268">
        <v>2</v>
      </c>
      <c r="BQ13" s="268">
        <v>0</v>
      </c>
      <c r="BR13" s="268">
        <v>3</v>
      </c>
      <c r="BS13" s="268">
        <v>3</v>
      </c>
      <c r="BT13" s="268">
        <v>2</v>
      </c>
      <c r="BU13" s="268">
        <v>3</v>
      </c>
      <c r="BV13" s="271">
        <v>3</v>
      </c>
    </row>
    <row r="14" spans="1:74" ht="17" thickBot="1" x14ac:dyDescent="0.5">
      <c r="A14" s="74" t="s">
        <v>34</v>
      </c>
      <c r="B14" s="239" t="s">
        <v>403</v>
      </c>
      <c r="C14" s="207">
        <v>0</v>
      </c>
      <c r="D14" s="208">
        <v>1</v>
      </c>
      <c r="E14" s="208">
        <v>1</v>
      </c>
      <c r="F14" s="208">
        <v>0</v>
      </c>
      <c r="G14" s="208">
        <v>1</v>
      </c>
      <c r="H14" s="208">
        <v>0</v>
      </c>
      <c r="I14" s="208">
        <v>2</v>
      </c>
      <c r="J14" s="208">
        <v>1</v>
      </c>
      <c r="K14" s="208">
        <v>0</v>
      </c>
      <c r="L14" s="208">
        <v>3</v>
      </c>
      <c r="M14" s="208">
        <v>4</v>
      </c>
      <c r="N14" s="209">
        <v>1</v>
      </c>
      <c r="O14" s="208">
        <v>2</v>
      </c>
      <c r="P14" s="208">
        <v>1</v>
      </c>
      <c r="Q14" s="208">
        <v>0</v>
      </c>
      <c r="R14" s="208">
        <v>3</v>
      </c>
      <c r="S14" s="208">
        <v>1</v>
      </c>
      <c r="T14" s="208">
        <v>3</v>
      </c>
      <c r="U14" s="208">
        <v>0</v>
      </c>
      <c r="V14" s="208">
        <v>1</v>
      </c>
      <c r="W14" s="208">
        <v>2</v>
      </c>
      <c r="X14" s="210">
        <v>4</v>
      </c>
      <c r="Y14" s="210">
        <v>0</v>
      </c>
      <c r="Z14" s="211">
        <v>6</v>
      </c>
      <c r="AA14" s="212">
        <v>2</v>
      </c>
      <c r="AB14" s="210">
        <v>1</v>
      </c>
      <c r="AC14" s="210">
        <v>0</v>
      </c>
      <c r="AD14" s="210">
        <v>1</v>
      </c>
      <c r="AE14" s="210">
        <v>2</v>
      </c>
      <c r="AF14" s="210">
        <v>0</v>
      </c>
      <c r="AG14" s="210">
        <v>3</v>
      </c>
      <c r="AH14" s="210">
        <v>4</v>
      </c>
      <c r="AI14" s="210">
        <v>0</v>
      </c>
      <c r="AJ14" s="210">
        <v>1</v>
      </c>
      <c r="AK14" s="210">
        <v>0</v>
      </c>
      <c r="AL14" s="211">
        <v>1</v>
      </c>
      <c r="AM14" s="242">
        <v>2</v>
      </c>
      <c r="AN14" s="208">
        <v>3</v>
      </c>
      <c r="AO14" s="208">
        <v>0</v>
      </c>
      <c r="AP14" s="208">
        <v>2</v>
      </c>
      <c r="AQ14" s="208">
        <v>1</v>
      </c>
      <c r="AR14" s="208">
        <v>3</v>
      </c>
      <c r="AS14" s="208">
        <v>2</v>
      </c>
      <c r="AT14" s="208">
        <v>3</v>
      </c>
      <c r="AU14" s="208">
        <v>1</v>
      </c>
      <c r="AV14" s="208">
        <v>4</v>
      </c>
      <c r="AW14" s="208">
        <v>1</v>
      </c>
      <c r="AX14" s="209">
        <v>2</v>
      </c>
      <c r="AY14" s="242">
        <v>2</v>
      </c>
      <c r="AZ14" s="208">
        <v>0</v>
      </c>
      <c r="BA14" s="208">
        <v>3</v>
      </c>
      <c r="BB14" s="208">
        <v>2</v>
      </c>
      <c r="BC14" s="208">
        <v>0</v>
      </c>
      <c r="BD14" s="208">
        <v>0</v>
      </c>
      <c r="BE14" s="208">
        <v>1</v>
      </c>
      <c r="BF14" s="208">
        <v>0</v>
      </c>
      <c r="BG14" s="208">
        <v>1</v>
      </c>
      <c r="BH14" s="208">
        <v>0</v>
      </c>
      <c r="BI14" s="208">
        <v>2</v>
      </c>
      <c r="BJ14" s="208">
        <v>1</v>
      </c>
      <c r="BK14" s="335" t="s">
        <v>57</v>
      </c>
      <c r="BL14" s="338" t="s">
        <v>30</v>
      </c>
      <c r="BM14" s="339"/>
      <c r="BN14" s="208">
        <v>0</v>
      </c>
      <c r="BO14" s="208">
        <v>0</v>
      </c>
      <c r="BP14" s="208">
        <v>0</v>
      </c>
      <c r="BQ14" s="208">
        <v>0</v>
      </c>
      <c r="BR14" s="208">
        <v>3</v>
      </c>
      <c r="BS14" s="208">
        <v>1</v>
      </c>
      <c r="BT14" s="208">
        <v>0</v>
      </c>
      <c r="BU14" s="210">
        <v>1</v>
      </c>
      <c r="BV14" s="278">
        <v>0</v>
      </c>
    </row>
    <row r="15" spans="1:74" ht="17" thickBot="1" x14ac:dyDescent="0.5">
      <c r="A15" s="147" t="s">
        <v>34</v>
      </c>
      <c r="B15" s="243" t="s">
        <v>398</v>
      </c>
      <c r="C15" s="250">
        <v>0</v>
      </c>
      <c r="D15" s="251">
        <v>1</v>
      </c>
      <c r="E15" s="251">
        <v>1</v>
      </c>
      <c r="F15" s="251">
        <v>0</v>
      </c>
      <c r="G15" s="251">
        <v>1</v>
      </c>
      <c r="H15" s="251">
        <v>0</v>
      </c>
      <c r="I15" s="251">
        <v>2</v>
      </c>
      <c r="J15" s="251">
        <v>1</v>
      </c>
      <c r="K15" s="251">
        <v>0</v>
      </c>
      <c r="L15" s="251">
        <v>2</v>
      </c>
      <c r="M15" s="251">
        <v>4</v>
      </c>
      <c r="N15" s="252">
        <v>1</v>
      </c>
      <c r="O15" s="251">
        <v>2</v>
      </c>
      <c r="P15" s="251">
        <v>1</v>
      </c>
      <c r="Q15" s="251">
        <v>0</v>
      </c>
      <c r="R15" s="251">
        <v>2</v>
      </c>
      <c r="S15" s="251">
        <v>1</v>
      </c>
      <c r="T15" s="251">
        <v>3</v>
      </c>
      <c r="U15" s="251">
        <v>0</v>
      </c>
      <c r="V15" s="251">
        <v>1</v>
      </c>
      <c r="W15" s="251">
        <v>2</v>
      </c>
      <c r="X15" s="253">
        <v>2</v>
      </c>
      <c r="Y15" s="253">
        <v>0</v>
      </c>
      <c r="Z15" s="254">
        <v>5</v>
      </c>
      <c r="AA15" s="255">
        <v>1</v>
      </c>
      <c r="AB15" s="253">
        <v>1</v>
      </c>
      <c r="AC15" s="253">
        <v>0</v>
      </c>
      <c r="AD15" s="253">
        <v>1</v>
      </c>
      <c r="AE15" s="253">
        <v>2</v>
      </c>
      <c r="AF15" s="253">
        <v>0</v>
      </c>
      <c r="AG15" s="253">
        <v>3</v>
      </c>
      <c r="AH15" s="253">
        <v>3</v>
      </c>
      <c r="AI15" s="253">
        <v>0</v>
      </c>
      <c r="AJ15" s="253">
        <v>1</v>
      </c>
      <c r="AK15" s="253">
        <v>0</v>
      </c>
      <c r="AL15" s="254">
        <v>1</v>
      </c>
      <c r="AM15" s="256">
        <v>0</v>
      </c>
      <c r="AN15" s="251">
        <v>3</v>
      </c>
      <c r="AO15" s="251">
        <v>0</v>
      </c>
      <c r="AP15" s="251">
        <v>2</v>
      </c>
      <c r="AQ15" s="251">
        <v>1</v>
      </c>
      <c r="AR15" s="251">
        <v>3</v>
      </c>
      <c r="AS15" s="251">
        <v>2</v>
      </c>
      <c r="AT15" s="251">
        <v>3</v>
      </c>
      <c r="AU15" s="251">
        <v>1</v>
      </c>
      <c r="AV15" s="251">
        <v>3</v>
      </c>
      <c r="AW15" s="251">
        <v>1</v>
      </c>
      <c r="AX15" s="252">
        <v>2</v>
      </c>
      <c r="AY15" s="256">
        <v>2</v>
      </c>
      <c r="AZ15" s="251">
        <v>0</v>
      </c>
      <c r="BA15" s="251">
        <v>3</v>
      </c>
      <c r="BB15" s="251">
        <v>2</v>
      </c>
      <c r="BC15" s="251">
        <v>0</v>
      </c>
      <c r="BD15" s="251">
        <v>0</v>
      </c>
      <c r="BE15" s="251">
        <v>1</v>
      </c>
      <c r="BF15" s="251">
        <v>0</v>
      </c>
      <c r="BG15" s="251">
        <v>1</v>
      </c>
      <c r="BH15" s="251">
        <v>0</v>
      </c>
      <c r="BI15" s="251">
        <v>2</v>
      </c>
      <c r="BJ15" s="251">
        <v>1</v>
      </c>
      <c r="BK15" s="336"/>
      <c r="BL15" s="340"/>
      <c r="BM15" s="341"/>
      <c r="BN15" s="251">
        <v>0</v>
      </c>
      <c r="BO15" s="251">
        <v>0</v>
      </c>
      <c r="BP15" s="251">
        <v>0</v>
      </c>
      <c r="BQ15" s="251">
        <v>0</v>
      </c>
      <c r="BR15" s="251">
        <v>3</v>
      </c>
      <c r="BS15" s="251">
        <v>1</v>
      </c>
      <c r="BT15" s="251">
        <v>0</v>
      </c>
      <c r="BU15" s="253">
        <v>1</v>
      </c>
      <c r="BV15" s="257">
        <v>0</v>
      </c>
    </row>
    <row r="16" spans="1:74" ht="17" thickBot="1" x14ac:dyDescent="0.5">
      <c r="A16" s="147" t="s">
        <v>34</v>
      </c>
      <c r="B16" s="243" t="s">
        <v>404</v>
      </c>
      <c r="C16" s="258">
        <v>0</v>
      </c>
      <c r="D16" s="259">
        <v>0</v>
      </c>
      <c r="E16" s="259">
        <v>0</v>
      </c>
      <c r="F16" s="259">
        <v>0</v>
      </c>
      <c r="G16" s="259">
        <v>0</v>
      </c>
      <c r="H16" s="259">
        <v>0</v>
      </c>
      <c r="I16" s="259">
        <v>0</v>
      </c>
      <c r="J16" s="259">
        <v>0</v>
      </c>
      <c r="K16" s="259">
        <v>0</v>
      </c>
      <c r="L16" s="259">
        <v>1</v>
      </c>
      <c r="M16" s="259">
        <v>0</v>
      </c>
      <c r="N16" s="260">
        <v>1</v>
      </c>
      <c r="O16" s="259">
        <v>0</v>
      </c>
      <c r="P16" s="259">
        <v>0</v>
      </c>
      <c r="Q16" s="259">
        <v>0</v>
      </c>
      <c r="R16" s="259">
        <v>0</v>
      </c>
      <c r="S16" s="259">
        <v>0</v>
      </c>
      <c r="T16" s="259">
        <v>0</v>
      </c>
      <c r="U16" s="259">
        <v>0</v>
      </c>
      <c r="V16" s="259">
        <v>0</v>
      </c>
      <c r="W16" s="259">
        <v>0</v>
      </c>
      <c r="X16" s="261">
        <v>0</v>
      </c>
      <c r="Y16" s="261">
        <v>0</v>
      </c>
      <c r="Z16" s="262">
        <v>0</v>
      </c>
      <c r="AA16" s="263">
        <v>0</v>
      </c>
      <c r="AB16" s="261">
        <v>0</v>
      </c>
      <c r="AC16" s="261">
        <v>0</v>
      </c>
      <c r="AD16" s="261">
        <v>0</v>
      </c>
      <c r="AE16" s="261">
        <v>0</v>
      </c>
      <c r="AF16" s="261">
        <v>0</v>
      </c>
      <c r="AG16" s="261">
        <v>0</v>
      </c>
      <c r="AH16" s="261">
        <v>0</v>
      </c>
      <c r="AI16" s="261">
        <v>0</v>
      </c>
      <c r="AJ16" s="261">
        <v>0</v>
      </c>
      <c r="AK16" s="261">
        <v>0</v>
      </c>
      <c r="AL16" s="262">
        <v>0</v>
      </c>
      <c r="AM16" s="264">
        <v>0</v>
      </c>
      <c r="AN16" s="259">
        <v>0</v>
      </c>
      <c r="AO16" s="259">
        <v>0</v>
      </c>
      <c r="AP16" s="259">
        <v>0</v>
      </c>
      <c r="AQ16" s="259">
        <v>0</v>
      </c>
      <c r="AR16" s="259">
        <v>0</v>
      </c>
      <c r="AS16" s="259">
        <v>0</v>
      </c>
      <c r="AT16" s="259">
        <v>0</v>
      </c>
      <c r="AU16" s="259">
        <v>0</v>
      </c>
      <c r="AV16" s="259">
        <v>0</v>
      </c>
      <c r="AW16" s="259">
        <v>1</v>
      </c>
      <c r="AX16" s="260">
        <v>0</v>
      </c>
      <c r="AY16" s="264">
        <v>0</v>
      </c>
      <c r="AZ16" s="259">
        <v>0</v>
      </c>
      <c r="BA16" s="259">
        <v>0</v>
      </c>
      <c r="BB16" s="259">
        <v>0</v>
      </c>
      <c r="BC16" s="259">
        <v>0</v>
      </c>
      <c r="BD16" s="259">
        <v>0</v>
      </c>
      <c r="BE16" s="259">
        <v>0</v>
      </c>
      <c r="BF16" s="259">
        <v>0</v>
      </c>
      <c r="BG16" s="259">
        <v>0</v>
      </c>
      <c r="BH16" s="259">
        <v>0</v>
      </c>
      <c r="BI16" s="259">
        <v>0</v>
      </c>
      <c r="BJ16" s="259">
        <v>0</v>
      </c>
      <c r="BK16" s="336"/>
      <c r="BL16" s="340"/>
      <c r="BM16" s="341"/>
      <c r="BN16" s="259">
        <v>0</v>
      </c>
      <c r="BO16" s="259">
        <v>0</v>
      </c>
      <c r="BP16" s="259">
        <v>0</v>
      </c>
      <c r="BQ16" s="259">
        <v>0</v>
      </c>
      <c r="BR16" s="259">
        <v>0</v>
      </c>
      <c r="BS16" s="259">
        <v>0</v>
      </c>
      <c r="BT16" s="259">
        <v>0</v>
      </c>
      <c r="BU16" s="261">
        <v>0</v>
      </c>
      <c r="BV16" s="265">
        <v>0</v>
      </c>
    </row>
    <row r="17" spans="1:74" ht="17" thickBot="1" x14ac:dyDescent="0.35">
      <c r="A17" s="147" t="s">
        <v>34</v>
      </c>
      <c r="B17" s="243" t="s">
        <v>399</v>
      </c>
      <c r="C17" s="272">
        <v>0</v>
      </c>
      <c r="D17" s="273">
        <v>1</v>
      </c>
      <c r="E17" s="273">
        <v>1</v>
      </c>
      <c r="F17" s="273">
        <v>0</v>
      </c>
      <c r="G17" s="273">
        <v>1</v>
      </c>
      <c r="H17" s="273">
        <v>0</v>
      </c>
      <c r="I17" s="273">
        <v>2</v>
      </c>
      <c r="J17" s="273">
        <v>1</v>
      </c>
      <c r="K17" s="273">
        <v>0</v>
      </c>
      <c r="L17" s="273">
        <v>2</v>
      </c>
      <c r="M17" s="273">
        <v>4</v>
      </c>
      <c r="N17" s="275">
        <v>1</v>
      </c>
      <c r="O17" s="273">
        <v>2</v>
      </c>
      <c r="P17" s="273">
        <v>1</v>
      </c>
      <c r="Q17" s="273">
        <v>0</v>
      </c>
      <c r="R17" s="273">
        <v>2</v>
      </c>
      <c r="S17" s="273">
        <v>1</v>
      </c>
      <c r="T17" s="273">
        <v>3</v>
      </c>
      <c r="U17" s="273">
        <v>0</v>
      </c>
      <c r="V17" s="273">
        <v>1</v>
      </c>
      <c r="W17" s="273">
        <v>2</v>
      </c>
      <c r="X17" s="273">
        <v>2</v>
      </c>
      <c r="Y17" s="273">
        <v>0</v>
      </c>
      <c r="Z17" s="275">
        <v>5</v>
      </c>
      <c r="AA17" s="273">
        <v>1</v>
      </c>
      <c r="AB17" s="273">
        <v>1</v>
      </c>
      <c r="AC17" s="273">
        <v>0</v>
      </c>
      <c r="AD17" s="273">
        <v>1</v>
      </c>
      <c r="AE17" s="273">
        <v>2</v>
      </c>
      <c r="AF17" s="273">
        <v>0</v>
      </c>
      <c r="AG17" s="273">
        <v>3</v>
      </c>
      <c r="AH17" s="273">
        <v>3</v>
      </c>
      <c r="AI17" s="273">
        <v>0</v>
      </c>
      <c r="AJ17" s="273">
        <v>1</v>
      </c>
      <c r="AK17" s="273">
        <v>0</v>
      </c>
      <c r="AL17" s="275">
        <v>1</v>
      </c>
      <c r="AM17" s="274">
        <v>0</v>
      </c>
      <c r="AN17" s="273">
        <v>3</v>
      </c>
      <c r="AO17" s="273">
        <v>0</v>
      </c>
      <c r="AP17" s="273">
        <v>2</v>
      </c>
      <c r="AQ17" s="273">
        <v>1</v>
      </c>
      <c r="AR17" s="273">
        <v>3</v>
      </c>
      <c r="AS17" s="273">
        <v>2</v>
      </c>
      <c r="AT17" s="273">
        <v>3</v>
      </c>
      <c r="AU17" s="273">
        <v>1</v>
      </c>
      <c r="AV17" s="273">
        <v>3</v>
      </c>
      <c r="AW17" s="273">
        <v>1</v>
      </c>
      <c r="AX17" s="275">
        <v>2</v>
      </c>
      <c r="AY17" s="274">
        <v>2</v>
      </c>
      <c r="AZ17" s="273">
        <v>0</v>
      </c>
      <c r="BA17" s="273">
        <v>3</v>
      </c>
      <c r="BB17" s="273">
        <v>2</v>
      </c>
      <c r="BC17" s="273">
        <v>0</v>
      </c>
      <c r="BD17" s="273">
        <v>0</v>
      </c>
      <c r="BE17" s="273">
        <v>1</v>
      </c>
      <c r="BF17" s="273">
        <v>0</v>
      </c>
      <c r="BG17" s="273">
        <v>1</v>
      </c>
      <c r="BH17" s="273">
        <v>0</v>
      </c>
      <c r="BI17" s="273">
        <v>2</v>
      </c>
      <c r="BJ17" s="273">
        <v>1</v>
      </c>
      <c r="BK17" s="336"/>
      <c r="BL17" s="340"/>
      <c r="BM17" s="341"/>
      <c r="BN17" s="273">
        <v>0</v>
      </c>
      <c r="BO17" s="273">
        <v>0</v>
      </c>
      <c r="BP17" s="273">
        <v>0</v>
      </c>
      <c r="BQ17" s="273">
        <v>0</v>
      </c>
      <c r="BR17" s="273">
        <v>3</v>
      </c>
      <c r="BS17" s="273">
        <v>1</v>
      </c>
      <c r="BT17" s="273">
        <v>0</v>
      </c>
      <c r="BU17" s="273">
        <v>1</v>
      </c>
      <c r="BV17" s="276">
        <v>0</v>
      </c>
    </row>
    <row r="18" spans="1:74" ht="17" thickBot="1" x14ac:dyDescent="0.35">
      <c r="A18" s="147" t="s">
        <v>34</v>
      </c>
      <c r="B18" s="243" t="s">
        <v>400</v>
      </c>
      <c r="C18" s="245">
        <v>0</v>
      </c>
      <c r="D18" s="246">
        <v>1</v>
      </c>
      <c r="E18" s="246">
        <v>1</v>
      </c>
      <c r="F18" s="246">
        <v>0</v>
      </c>
      <c r="G18" s="246">
        <v>1</v>
      </c>
      <c r="H18" s="246">
        <v>0</v>
      </c>
      <c r="I18" s="246">
        <v>2</v>
      </c>
      <c r="J18" s="246">
        <v>1</v>
      </c>
      <c r="K18" s="246">
        <v>0</v>
      </c>
      <c r="L18" s="246">
        <v>2</v>
      </c>
      <c r="M18" s="246">
        <v>4</v>
      </c>
      <c r="N18" s="247">
        <v>0</v>
      </c>
      <c r="O18" s="246">
        <v>2</v>
      </c>
      <c r="P18" s="246">
        <v>0</v>
      </c>
      <c r="Q18" s="246">
        <v>0</v>
      </c>
      <c r="R18" s="246">
        <v>3</v>
      </c>
      <c r="S18" s="246">
        <v>1</v>
      </c>
      <c r="T18" s="246">
        <v>2</v>
      </c>
      <c r="U18" s="246">
        <v>0</v>
      </c>
      <c r="V18" s="246">
        <v>1</v>
      </c>
      <c r="W18" s="246">
        <v>2</v>
      </c>
      <c r="X18" s="246">
        <v>4</v>
      </c>
      <c r="Y18" s="246">
        <v>0</v>
      </c>
      <c r="Z18" s="247">
        <v>5</v>
      </c>
      <c r="AA18" s="246">
        <v>2</v>
      </c>
      <c r="AB18" s="246">
        <v>1</v>
      </c>
      <c r="AC18" s="246">
        <v>0</v>
      </c>
      <c r="AD18" s="246">
        <v>1</v>
      </c>
      <c r="AE18" s="246">
        <v>2</v>
      </c>
      <c r="AF18" s="246">
        <v>0</v>
      </c>
      <c r="AG18" s="246">
        <v>3</v>
      </c>
      <c r="AH18" s="246">
        <v>3</v>
      </c>
      <c r="AI18" s="246">
        <v>0</v>
      </c>
      <c r="AJ18" s="246">
        <v>1</v>
      </c>
      <c r="AK18" s="246">
        <v>0</v>
      </c>
      <c r="AL18" s="247">
        <v>1</v>
      </c>
      <c r="AM18" s="248">
        <v>2</v>
      </c>
      <c r="AN18" s="246">
        <v>3</v>
      </c>
      <c r="AO18" s="246">
        <v>0</v>
      </c>
      <c r="AP18" s="246">
        <v>2</v>
      </c>
      <c r="AQ18" s="246">
        <v>1</v>
      </c>
      <c r="AR18" s="246">
        <v>3</v>
      </c>
      <c r="AS18" s="246">
        <v>2</v>
      </c>
      <c r="AT18" s="246">
        <v>2</v>
      </c>
      <c r="AU18" s="246">
        <v>1</v>
      </c>
      <c r="AV18" s="246">
        <v>4</v>
      </c>
      <c r="AW18" s="246">
        <v>0</v>
      </c>
      <c r="AX18" s="247">
        <v>2</v>
      </c>
      <c r="AY18" s="248">
        <v>2</v>
      </c>
      <c r="AZ18" s="246">
        <v>0</v>
      </c>
      <c r="BA18" s="246">
        <v>3</v>
      </c>
      <c r="BB18" s="246">
        <v>2</v>
      </c>
      <c r="BC18" s="246">
        <v>0</v>
      </c>
      <c r="BD18" s="246">
        <v>0</v>
      </c>
      <c r="BE18" s="246">
        <v>1</v>
      </c>
      <c r="BF18" s="246">
        <v>0</v>
      </c>
      <c r="BG18" s="246">
        <v>1</v>
      </c>
      <c r="BH18" s="246">
        <v>0</v>
      </c>
      <c r="BI18" s="246">
        <v>2</v>
      </c>
      <c r="BJ18" s="246">
        <v>1</v>
      </c>
      <c r="BK18" s="336"/>
      <c r="BL18" s="340"/>
      <c r="BM18" s="341"/>
      <c r="BN18" s="246">
        <v>0</v>
      </c>
      <c r="BO18" s="246">
        <v>0</v>
      </c>
      <c r="BP18" s="246">
        <v>0</v>
      </c>
      <c r="BQ18" s="246">
        <v>0</v>
      </c>
      <c r="BR18" s="246">
        <v>3</v>
      </c>
      <c r="BS18" s="246">
        <v>1</v>
      </c>
      <c r="BT18" s="246">
        <v>0</v>
      </c>
      <c r="BU18" s="246">
        <v>1</v>
      </c>
      <c r="BV18" s="249">
        <v>0</v>
      </c>
    </row>
    <row r="19" spans="1:74" ht="17" thickBot="1" x14ac:dyDescent="0.35">
      <c r="A19" s="279" t="s">
        <v>34</v>
      </c>
      <c r="B19" s="243" t="s">
        <v>401</v>
      </c>
      <c r="C19" s="277">
        <v>0</v>
      </c>
      <c r="D19" s="268">
        <v>1</v>
      </c>
      <c r="E19" s="268">
        <v>1</v>
      </c>
      <c r="F19" s="268">
        <v>0</v>
      </c>
      <c r="G19" s="268">
        <v>1</v>
      </c>
      <c r="H19" s="268">
        <v>0</v>
      </c>
      <c r="I19" s="268">
        <v>2</v>
      </c>
      <c r="J19" s="268">
        <v>1</v>
      </c>
      <c r="K19" s="268">
        <v>0</v>
      </c>
      <c r="L19" s="268">
        <v>2</v>
      </c>
      <c r="M19" s="268">
        <v>4</v>
      </c>
      <c r="N19" s="270">
        <v>0</v>
      </c>
      <c r="O19" s="268">
        <v>2</v>
      </c>
      <c r="P19" s="268">
        <v>0</v>
      </c>
      <c r="Q19" s="268">
        <v>0</v>
      </c>
      <c r="R19" s="268">
        <v>3</v>
      </c>
      <c r="S19" s="268">
        <v>1</v>
      </c>
      <c r="T19" s="268">
        <v>2</v>
      </c>
      <c r="U19" s="268">
        <v>0</v>
      </c>
      <c r="V19" s="268">
        <v>1</v>
      </c>
      <c r="W19" s="268">
        <v>2</v>
      </c>
      <c r="X19" s="268">
        <v>4</v>
      </c>
      <c r="Y19" s="268">
        <v>0</v>
      </c>
      <c r="Z19" s="270">
        <v>5</v>
      </c>
      <c r="AA19" s="268">
        <v>2</v>
      </c>
      <c r="AB19" s="268">
        <v>1</v>
      </c>
      <c r="AC19" s="268">
        <v>0</v>
      </c>
      <c r="AD19" s="268">
        <v>1</v>
      </c>
      <c r="AE19" s="268">
        <v>2</v>
      </c>
      <c r="AF19" s="268">
        <v>0</v>
      </c>
      <c r="AG19" s="268">
        <v>3</v>
      </c>
      <c r="AH19" s="268">
        <v>3</v>
      </c>
      <c r="AI19" s="268">
        <v>0</v>
      </c>
      <c r="AJ19" s="268">
        <v>1</v>
      </c>
      <c r="AK19" s="268">
        <v>0</v>
      </c>
      <c r="AL19" s="270">
        <v>1</v>
      </c>
      <c r="AM19" s="269">
        <v>2</v>
      </c>
      <c r="AN19" s="268">
        <v>3</v>
      </c>
      <c r="AO19" s="268">
        <v>0</v>
      </c>
      <c r="AP19" s="268">
        <v>2</v>
      </c>
      <c r="AQ19" s="268">
        <v>1</v>
      </c>
      <c r="AR19" s="268">
        <v>3</v>
      </c>
      <c r="AS19" s="268">
        <v>2</v>
      </c>
      <c r="AT19" s="268">
        <v>2</v>
      </c>
      <c r="AU19" s="268">
        <v>1</v>
      </c>
      <c r="AV19" s="268">
        <v>4</v>
      </c>
      <c r="AW19" s="268">
        <v>0</v>
      </c>
      <c r="AX19" s="270">
        <v>2</v>
      </c>
      <c r="AY19" s="269">
        <v>2</v>
      </c>
      <c r="AZ19" s="268">
        <v>0</v>
      </c>
      <c r="BA19" s="268">
        <v>3</v>
      </c>
      <c r="BB19" s="268">
        <v>2</v>
      </c>
      <c r="BC19" s="268">
        <v>0</v>
      </c>
      <c r="BD19" s="268">
        <v>0</v>
      </c>
      <c r="BE19" s="268">
        <v>1</v>
      </c>
      <c r="BF19" s="268">
        <v>0</v>
      </c>
      <c r="BG19" s="268">
        <v>1</v>
      </c>
      <c r="BH19" s="268">
        <v>0</v>
      </c>
      <c r="BI19" s="268">
        <v>2</v>
      </c>
      <c r="BJ19" s="268">
        <v>1</v>
      </c>
      <c r="BK19" s="337"/>
      <c r="BL19" s="342"/>
      <c r="BM19" s="343"/>
      <c r="BN19" s="268">
        <v>0</v>
      </c>
      <c r="BO19" s="268">
        <v>0</v>
      </c>
      <c r="BP19" s="268">
        <v>0</v>
      </c>
      <c r="BQ19" s="268">
        <v>0</v>
      </c>
      <c r="BR19" s="268">
        <v>3</v>
      </c>
      <c r="BS19" s="268">
        <v>1</v>
      </c>
      <c r="BT19" s="268">
        <v>0</v>
      </c>
      <c r="BU19" s="268">
        <v>1</v>
      </c>
      <c r="BV19" s="271">
        <v>0</v>
      </c>
    </row>
    <row r="20" spans="1:74" ht="17" thickBot="1" x14ac:dyDescent="0.5">
      <c r="A20" s="74" t="s">
        <v>35</v>
      </c>
      <c r="B20" s="239" t="s">
        <v>403</v>
      </c>
      <c r="C20" s="207">
        <v>1</v>
      </c>
      <c r="D20" s="208">
        <v>0</v>
      </c>
      <c r="E20" s="208">
        <v>0</v>
      </c>
      <c r="F20" s="208">
        <v>0</v>
      </c>
      <c r="G20" s="208">
        <v>2</v>
      </c>
      <c r="H20" s="208">
        <v>0</v>
      </c>
      <c r="I20" s="208">
        <v>0</v>
      </c>
      <c r="J20" s="208">
        <v>1</v>
      </c>
      <c r="K20" s="208">
        <v>0</v>
      </c>
      <c r="L20" s="208">
        <v>1</v>
      </c>
      <c r="M20" s="208">
        <v>0</v>
      </c>
      <c r="N20" s="209">
        <v>0</v>
      </c>
      <c r="O20" s="208">
        <v>0</v>
      </c>
      <c r="P20" s="208">
        <v>0</v>
      </c>
      <c r="Q20" s="208">
        <v>0</v>
      </c>
      <c r="R20" s="208">
        <v>1</v>
      </c>
      <c r="S20" s="208">
        <v>0</v>
      </c>
      <c r="T20" s="208">
        <v>0</v>
      </c>
      <c r="U20" s="208">
        <v>1</v>
      </c>
      <c r="V20" s="208">
        <v>1</v>
      </c>
      <c r="W20" s="208">
        <v>0</v>
      </c>
      <c r="X20" s="210">
        <v>0</v>
      </c>
      <c r="Y20" s="210">
        <v>0</v>
      </c>
      <c r="Z20" s="211">
        <v>0</v>
      </c>
      <c r="AA20" s="212">
        <v>0</v>
      </c>
      <c r="AB20" s="210">
        <v>0</v>
      </c>
      <c r="AC20" s="210">
        <v>0</v>
      </c>
      <c r="AD20" s="210">
        <v>0</v>
      </c>
      <c r="AE20" s="210">
        <v>1</v>
      </c>
      <c r="AF20" s="210">
        <v>0</v>
      </c>
      <c r="AG20" s="210">
        <v>1</v>
      </c>
      <c r="AH20" s="210">
        <v>0</v>
      </c>
      <c r="AI20" s="210">
        <v>0</v>
      </c>
      <c r="AJ20" s="210">
        <v>0</v>
      </c>
      <c r="AK20" s="210">
        <v>0</v>
      </c>
      <c r="AL20" s="211">
        <v>0</v>
      </c>
      <c r="AM20" s="242">
        <v>1</v>
      </c>
      <c r="AN20" s="208">
        <v>0</v>
      </c>
      <c r="AO20" s="208">
        <v>0</v>
      </c>
      <c r="AP20" s="208">
        <v>0</v>
      </c>
      <c r="AQ20" s="208">
        <v>0</v>
      </c>
      <c r="AR20" s="208">
        <v>0</v>
      </c>
      <c r="AS20" s="208">
        <v>0</v>
      </c>
      <c r="AT20" s="208">
        <v>0</v>
      </c>
      <c r="AU20" s="208">
        <v>0</v>
      </c>
      <c r="AV20" s="208">
        <v>0</v>
      </c>
      <c r="AW20" s="208">
        <v>0</v>
      </c>
      <c r="AX20" s="209">
        <v>0</v>
      </c>
      <c r="AY20" s="242">
        <v>0</v>
      </c>
      <c r="AZ20" s="335" t="s">
        <v>57</v>
      </c>
      <c r="BA20" s="338" t="s">
        <v>30</v>
      </c>
      <c r="BB20" s="339"/>
      <c r="BC20" s="208">
        <v>0</v>
      </c>
      <c r="BD20" s="208">
        <v>0</v>
      </c>
      <c r="BE20" s="208">
        <v>0</v>
      </c>
      <c r="BF20" s="208">
        <v>0</v>
      </c>
      <c r="BG20" s="208">
        <v>0</v>
      </c>
      <c r="BH20" s="208">
        <v>0</v>
      </c>
      <c r="BI20" s="208">
        <v>1</v>
      </c>
      <c r="BJ20" s="208">
        <v>0</v>
      </c>
      <c r="BK20" s="242">
        <v>0</v>
      </c>
      <c r="BL20" s="208">
        <v>0</v>
      </c>
      <c r="BM20" s="208">
        <v>0</v>
      </c>
      <c r="BN20" s="208">
        <v>0</v>
      </c>
      <c r="BO20" s="208">
        <v>0</v>
      </c>
      <c r="BP20" s="208">
        <v>1</v>
      </c>
      <c r="BQ20" s="208">
        <v>0</v>
      </c>
      <c r="BR20" s="208">
        <v>0</v>
      </c>
      <c r="BS20" s="208">
        <v>1</v>
      </c>
      <c r="BT20" s="208">
        <v>0</v>
      </c>
      <c r="BU20" s="208">
        <v>0</v>
      </c>
      <c r="BV20" s="278">
        <v>1</v>
      </c>
    </row>
    <row r="21" spans="1:74" ht="17" thickBot="1" x14ac:dyDescent="0.5">
      <c r="A21" s="147" t="s">
        <v>35</v>
      </c>
      <c r="B21" s="243" t="s">
        <v>398</v>
      </c>
      <c r="C21" s="250">
        <v>1</v>
      </c>
      <c r="D21" s="251">
        <v>0</v>
      </c>
      <c r="E21" s="251">
        <v>0</v>
      </c>
      <c r="F21" s="251">
        <v>0</v>
      </c>
      <c r="G21" s="251">
        <v>2</v>
      </c>
      <c r="H21" s="251">
        <v>0</v>
      </c>
      <c r="I21" s="251">
        <v>0</v>
      </c>
      <c r="J21" s="251">
        <v>1</v>
      </c>
      <c r="K21" s="251">
        <v>0</v>
      </c>
      <c r="L21" s="251">
        <v>1</v>
      </c>
      <c r="M21" s="251">
        <v>0</v>
      </c>
      <c r="N21" s="252">
        <v>0</v>
      </c>
      <c r="O21" s="251">
        <v>0</v>
      </c>
      <c r="P21" s="251">
        <v>0</v>
      </c>
      <c r="Q21" s="251">
        <v>0</v>
      </c>
      <c r="R21" s="251">
        <v>1</v>
      </c>
      <c r="S21" s="251">
        <v>0</v>
      </c>
      <c r="T21" s="251">
        <v>0</v>
      </c>
      <c r="U21" s="251">
        <v>1</v>
      </c>
      <c r="V21" s="251">
        <v>1</v>
      </c>
      <c r="W21" s="251">
        <v>0</v>
      </c>
      <c r="X21" s="253">
        <v>0</v>
      </c>
      <c r="Y21" s="253">
        <v>0</v>
      </c>
      <c r="Z21" s="254">
        <v>0</v>
      </c>
      <c r="AA21" s="255">
        <v>0</v>
      </c>
      <c r="AB21" s="253">
        <v>0</v>
      </c>
      <c r="AC21" s="253">
        <v>0</v>
      </c>
      <c r="AD21" s="253">
        <v>0</v>
      </c>
      <c r="AE21" s="253">
        <v>1</v>
      </c>
      <c r="AF21" s="253">
        <v>0</v>
      </c>
      <c r="AG21" s="253">
        <v>1</v>
      </c>
      <c r="AH21" s="253">
        <v>0</v>
      </c>
      <c r="AI21" s="253">
        <v>0</v>
      </c>
      <c r="AJ21" s="253">
        <v>0</v>
      </c>
      <c r="AK21" s="253">
        <v>0</v>
      </c>
      <c r="AL21" s="254">
        <v>0</v>
      </c>
      <c r="AM21" s="256">
        <v>1</v>
      </c>
      <c r="AN21" s="251">
        <v>0</v>
      </c>
      <c r="AO21" s="251">
        <v>0</v>
      </c>
      <c r="AP21" s="251">
        <v>0</v>
      </c>
      <c r="AQ21" s="251">
        <v>0</v>
      </c>
      <c r="AR21" s="251">
        <v>0</v>
      </c>
      <c r="AS21" s="251">
        <v>0</v>
      </c>
      <c r="AT21" s="251">
        <v>0</v>
      </c>
      <c r="AU21" s="251">
        <v>0</v>
      </c>
      <c r="AV21" s="251">
        <v>0</v>
      </c>
      <c r="AW21" s="251">
        <v>0</v>
      </c>
      <c r="AX21" s="252">
        <v>0</v>
      </c>
      <c r="AY21" s="256">
        <v>0</v>
      </c>
      <c r="AZ21" s="336"/>
      <c r="BA21" s="340"/>
      <c r="BB21" s="341"/>
      <c r="BC21" s="251">
        <v>0</v>
      </c>
      <c r="BD21" s="251">
        <v>0</v>
      </c>
      <c r="BE21" s="251">
        <v>0</v>
      </c>
      <c r="BF21" s="251">
        <v>0</v>
      </c>
      <c r="BG21" s="251">
        <v>0</v>
      </c>
      <c r="BH21" s="251">
        <v>0</v>
      </c>
      <c r="BI21" s="251">
        <v>1</v>
      </c>
      <c r="BJ21" s="251">
        <v>0</v>
      </c>
      <c r="BK21" s="256">
        <v>0</v>
      </c>
      <c r="BL21" s="251">
        <v>0</v>
      </c>
      <c r="BM21" s="251">
        <v>0</v>
      </c>
      <c r="BN21" s="251">
        <v>0</v>
      </c>
      <c r="BO21" s="251">
        <v>0</v>
      </c>
      <c r="BP21" s="251">
        <v>1</v>
      </c>
      <c r="BQ21" s="251">
        <v>0</v>
      </c>
      <c r="BR21" s="251">
        <v>0</v>
      </c>
      <c r="BS21" s="251">
        <v>1</v>
      </c>
      <c r="BT21" s="251">
        <v>0</v>
      </c>
      <c r="BU21" s="251">
        <v>0</v>
      </c>
      <c r="BV21" s="257">
        <v>1</v>
      </c>
    </row>
    <row r="22" spans="1:74" ht="17" thickBot="1" x14ac:dyDescent="0.5">
      <c r="A22" s="147" t="s">
        <v>35</v>
      </c>
      <c r="B22" s="243" t="s">
        <v>404</v>
      </c>
      <c r="C22" s="258">
        <v>0</v>
      </c>
      <c r="D22" s="259">
        <v>0</v>
      </c>
      <c r="E22" s="259">
        <v>0</v>
      </c>
      <c r="F22" s="259">
        <v>0</v>
      </c>
      <c r="G22" s="259">
        <v>1</v>
      </c>
      <c r="H22" s="259">
        <v>0</v>
      </c>
      <c r="I22" s="259">
        <v>0</v>
      </c>
      <c r="J22" s="259">
        <v>1</v>
      </c>
      <c r="K22" s="259">
        <v>0</v>
      </c>
      <c r="L22" s="259">
        <v>0</v>
      </c>
      <c r="M22" s="259">
        <v>0</v>
      </c>
      <c r="N22" s="260">
        <v>0</v>
      </c>
      <c r="O22" s="259">
        <v>0</v>
      </c>
      <c r="P22" s="259">
        <v>0</v>
      </c>
      <c r="Q22" s="259">
        <v>0</v>
      </c>
      <c r="R22" s="259">
        <v>0</v>
      </c>
      <c r="S22" s="259">
        <v>0</v>
      </c>
      <c r="T22" s="259">
        <v>0</v>
      </c>
      <c r="U22" s="259">
        <v>1</v>
      </c>
      <c r="V22" s="259">
        <v>0</v>
      </c>
      <c r="W22" s="259">
        <v>0</v>
      </c>
      <c r="X22" s="261">
        <v>0</v>
      </c>
      <c r="Y22" s="261">
        <v>0</v>
      </c>
      <c r="Z22" s="262">
        <v>0</v>
      </c>
      <c r="AA22" s="263">
        <v>0</v>
      </c>
      <c r="AB22" s="261">
        <v>0</v>
      </c>
      <c r="AC22" s="261">
        <v>0</v>
      </c>
      <c r="AD22" s="261">
        <v>0</v>
      </c>
      <c r="AE22" s="261">
        <v>0</v>
      </c>
      <c r="AF22" s="261">
        <v>0</v>
      </c>
      <c r="AG22" s="261">
        <v>0</v>
      </c>
      <c r="AH22" s="261">
        <v>0</v>
      </c>
      <c r="AI22" s="261">
        <v>0</v>
      </c>
      <c r="AJ22" s="261">
        <v>0</v>
      </c>
      <c r="AK22" s="261">
        <v>0</v>
      </c>
      <c r="AL22" s="262">
        <v>0</v>
      </c>
      <c r="AM22" s="264">
        <v>0</v>
      </c>
      <c r="AN22" s="259">
        <v>0</v>
      </c>
      <c r="AO22" s="259">
        <v>0</v>
      </c>
      <c r="AP22" s="259">
        <v>0</v>
      </c>
      <c r="AQ22" s="259">
        <v>0</v>
      </c>
      <c r="AR22" s="259">
        <v>0</v>
      </c>
      <c r="AS22" s="259">
        <v>0</v>
      </c>
      <c r="AT22" s="259">
        <v>0</v>
      </c>
      <c r="AU22" s="259">
        <v>0</v>
      </c>
      <c r="AV22" s="259">
        <v>0</v>
      </c>
      <c r="AW22" s="259">
        <v>0</v>
      </c>
      <c r="AX22" s="260">
        <v>0</v>
      </c>
      <c r="AY22" s="264">
        <v>0</v>
      </c>
      <c r="AZ22" s="336"/>
      <c r="BA22" s="340"/>
      <c r="BB22" s="341"/>
      <c r="BC22" s="259">
        <v>0</v>
      </c>
      <c r="BD22" s="259">
        <v>0</v>
      </c>
      <c r="BE22" s="259">
        <v>0</v>
      </c>
      <c r="BF22" s="259">
        <v>0</v>
      </c>
      <c r="BG22" s="259">
        <v>0</v>
      </c>
      <c r="BH22" s="259">
        <v>0</v>
      </c>
      <c r="BI22" s="259">
        <v>0</v>
      </c>
      <c r="BJ22" s="259">
        <v>0</v>
      </c>
      <c r="BK22" s="264">
        <v>0</v>
      </c>
      <c r="BL22" s="259">
        <v>0</v>
      </c>
      <c r="BM22" s="259">
        <v>0</v>
      </c>
      <c r="BN22" s="259">
        <v>0</v>
      </c>
      <c r="BO22" s="259">
        <v>0</v>
      </c>
      <c r="BP22" s="259">
        <v>0</v>
      </c>
      <c r="BQ22" s="259">
        <v>0</v>
      </c>
      <c r="BR22" s="259">
        <v>0</v>
      </c>
      <c r="BS22" s="259">
        <v>1</v>
      </c>
      <c r="BT22" s="259">
        <v>0</v>
      </c>
      <c r="BU22" s="259">
        <v>0</v>
      </c>
      <c r="BV22" s="265">
        <v>0</v>
      </c>
    </row>
    <row r="23" spans="1:74" ht="17" thickBot="1" x14ac:dyDescent="0.35">
      <c r="A23" s="147" t="s">
        <v>35</v>
      </c>
      <c r="B23" s="243" t="s">
        <v>399</v>
      </c>
      <c r="C23" s="272">
        <v>1</v>
      </c>
      <c r="D23" s="273">
        <v>0</v>
      </c>
      <c r="E23" s="273">
        <v>0</v>
      </c>
      <c r="F23" s="273">
        <v>0</v>
      </c>
      <c r="G23" s="273">
        <v>2</v>
      </c>
      <c r="H23" s="273">
        <v>0</v>
      </c>
      <c r="I23" s="273">
        <v>0</v>
      </c>
      <c r="J23" s="273">
        <v>1</v>
      </c>
      <c r="K23" s="273">
        <v>0</v>
      </c>
      <c r="L23" s="273">
        <v>1</v>
      </c>
      <c r="M23" s="273">
        <v>0</v>
      </c>
      <c r="N23" s="275">
        <v>0</v>
      </c>
      <c r="O23" s="273">
        <v>0</v>
      </c>
      <c r="P23" s="273">
        <v>0</v>
      </c>
      <c r="Q23" s="273">
        <v>0</v>
      </c>
      <c r="R23" s="273">
        <v>1</v>
      </c>
      <c r="S23" s="273">
        <v>0</v>
      </c>
      <c r="T23" s="273">
        <v>0</v>
      </c>
      <c r="U23" s="273">
        <v>1</v>
      </c>
      <c r="V23" s="273">
        <v>1</v>
      </c>
      <c r="W23" s="273">
        <v>0</v>
      </c>
      <c r="X23" s="273">
        <v>0</v>
      </c>
      <c r="Y23" s="273">
        <v>0</v>
      </c>
      <c r="Z23" s="275">
        <v>0</v>
      </c>
      <c r="AA23" s="273">
        <v>0</v>
      </c>
      <c r="AB23" s="273">
        <v>0</v>
      </c>
      <c r="AC23" s="273">
        <v>0</v>
      </c>
      <c r="AD23" s="273">
        <v>0</v>
      </c>
      <c r="AE23" s="273">
        <v>1</v>
      </c>
      <c r="AF23" s="273">
        <v>0</v>
      </c>
      <c r="AG23" s="273">
        <v>1</v>
      </c>
      <c r="AH23" s="273">
        <v>0</v>
      </c>
      <c r="AI23" s="273">
        <v>0</v>
      </c>
      <c r="AJ23" s="273">
        <v>0</v>
      </c>
      <c r="AK23" s="273">
        <v>0</v>
      </c>
      <c r="AL23" s="275">
        <v>0</v>
      </c>
      <c r="AM23" s="274">
        <v>1</v>
      </c>
      <c r="AN23" s="273">
        <v>0</v>
      </c>
      <c r="AO23" s="273">
        <v>0</v>
      </c>
      <c r="AP23" s="273">
        <v>0</v>
      </c>
      <c r="AQ23" s="273">
        <v>0</v>
      </c>
      <c r="AR23" s="273">
        <v>0</v>
      </c>
      <c r="AS23" s="273">
        <v>0</v>
      </c>
      <c r="AT23" s="273">
        <v>0</v>
      </c>
      <c r="AU23" s="273">
        <v>0</v>
      </c>
      <c r="AV23" s="273">
        <v>0</v>
      </c>
      <c r="AW23" s="273">
        <v>0</v>
      </c>
      <c r="AX23" s="275">
        <v>0</v>
      </c>
      <c r="AY23" s="274">
        <v>0</v>
      </c>
      <c r="AZ23" s="336"/>
      <c r="BA23" s="340"/>
      <c r="BB23" s="341"/>
      <c r="BC23" s="273">
        <v>0</v>
      </c>
      <c r="BD23" s="273">
        <v>0</v>
      </c>
      <c r="BE23" s="273">
        <v>0</v>
      </c>
      <c r="BF23" s="273">
        <v>0</v>
      </c>
      <c r="BG23" s="273">
        <v>0</v>
      </c>
      <c r="BH23" s="273">
        <v>0</v>
      </c>
      <c r="BI23" s="273">
        <v>1</v>
      </c>
      <c r="BJ23" s="273">
        <v>0</v>
      </c>
      <c r="BK23" s="274">
        <v>0</v>
      </c>
      <c r="BL23" s="273">
        <v>0</v>
      </c>
      <c r="BM23" s="273">
        <v>0</v>
      </c>
      <c r="BN23" s="273">
        <v>0</v>
      </c>
      <c r="BO23" s="273">
        <v>0</v>
      </c>
      <c r="BP23" s="273">
        <v>1</v>
      </c>
      <c r="BQ23" s="273">
        <v>0</v>
      </c>
      <c r="BR23" s="273">
        <v>0</v>
      </c>
      <c r="BS23" s="273">
        <v>1</v>
      </c>
      <c r="BT23" s="273">
        <v>0</v>
      </c>
      <c r="BU23" s="273">
        <v>0</v>
      </c>
      <c r="BV23" s="276">
        <v>1</v>
      </c>
    </row>
    <row r="24" spans="1:74" ht="17" thickBot="1" x14ac:dyDescent="0.35">
      <c r="A24" s="147" t="s">
        <v>35</v>
      </c>
      <c r="B24" s="243" t="s">
        <v>400</v>
      </c>
      <c r="C24" s="245">
        <v>1</v>
      </c>
      <c r="D24" s="246">
        <v>0</v>
      </c>
      <c r="E24" s="246">
        <v>0</v>
      </c>
      <c r="F24" s="246">
        <v>0</v>
      </c>
      <c r="G24" s="246">
        <v>0</v>
      </c>
      <c r="H24" s="246">
        <v>0</v>
      </c>
      <c r="I24" s="246">
        <v>0</v>
      </c>
      <c r="J24" s="246">
        <v>0</v>
      </c>
      <c r="K24" s="246">
        <v>0</v>
      </c>
      <c r="L24" s="246">
        <v>1</v>
      </c>
      <c r="M24" s="246">
        <v>0</v>
      </c>
      <c r="N24" s="247">
        <v>0</v>
      </c>
      <c r="O24" s="246">
        <v>0</v>
      </c>
      <c r="P24" s="246">
        <v>0</v>
      </c>
      <c r="Q24" s="246">
        <v>0</v>
      </c>
      <c r="R24" s="246">
        <v>1</v>
      </c>
      <c r="S24" s="246">
        <v>0</v>
      </c>
      <c r="T24" s="246">
        <v>0</v>
      </c>
      <c r="U24" s="246">
        <v>0</v>
      </c>
      <c r="V24" s="246">
        <v>1</v>
      </c>
      <c r="W24" s="246">
        <v>0</v>
      </c>
      <c r="X24" s="246">
        <v>0</v>
      </c>
      <c r="Y24" s="246">
        <v>0</v>
      </c>
      <c r="Z24" s="247">
        <v>0</v>
      </c>
      <c r="AA24" s="246">
        <v>0</v>
      </c>
      <c r="AB24" s="246">
        <v>0</v>
      </c>
      <c r="AC24" s="246">
        <v>0</v>
      </c>
      <c r="AD24" s="246">
        <v>0</v>
      </c>
      <c r="AE24" s="246">
        <v>1</v>
      </c>
      <c r="AF24" s="246">
        <v>0</v>
      </c>
      <c r="AG24" s="246">
        <v>0</v>
      </c>
      <c r="AH24" s="246">
        <v>0</v>
      </c>
      <c r="AI24" s="246">
        <v>0</v>
      </c>
      <c r="AJ24" s="246">
        <v>0</v>
      </c>
      <c r="AK24" s="246">
        <v>0</v>
      </c>
      <c r="AL24" s="247">
        <v>0</v>
      </c>
      <c r="AM24" s="248">
        <v>1</v>
      </c>
      <c r="AN24" s="246">
        <v>0</v>
      </c>
      <c r="AO24" s="246">
        <v>0</v>
      </c>
      <c r="AP24" s="246">
        <v>0</v>
      </c>
      <c r="AQ24" s="246">
        <v>0</v>
      </c>
      <c r="AR24" s="246">
        <v>0</v>
      </c>
      <c r="AS24" s="246">
        <v>0</v>
      </c>
      <c r="AT24" s="246">
        <v>0</v>
      </c>
      <c r="AU24" s="246">
        <v>0</v>
      </c>
      <c r="AV24" s="246">
        <v>0</v>
      </c>
      <c r="AW24" s="246">
        <v>0</v>
      </c>
      <c r="AX24" s="247">
        <v>0</v>
      </c>
      <c r="AY24" s="248">
        <v>0</v>
      </c>
      <c r="AZ24" s="336"/>
      <c r="BA24" s="340"/>
      <c r="BB24" s="341"/>
      <c r="BC24" s="246">
        <v>0</v>
      </c>
      <c r="BD24" s="246">
        <v>0</v>
      </c>
      <c r="BE24" s="246">
        <v>0</v>
      </c>
      <c r="BF24" s="246">
        <v>0</v>
      </c>
      <c r="BG24" s="246">
        <v>0</v>
      </c>
      <c r="BH24" s="246">
        <v>0</v>
      </c>
      <c r="BI24" s="246">
        <v>1</v>
      </c>
      <c r="BJ24" s="246">
        <v>0</v>
      </c>
      <c r="BK24" s="248">
        <v>0</v>
      </c>
      <c r="BL24" s="246">
        <v>0</v>
      </c>
      <c r="BM24" s="246">
        <v>0</v>
      </c>
      <c r="BN24" s="246">
        <v>0</v>
      </c>
      <c r="BO24" s="246">
        <v>0</v>
      </c>
      <c r="BP24" s="246">
        <v>1</v>
      </c>
      <c r="BQ24" s="246">
        <v>0</v>
      </c>
      <c r="BR24" s="246">
        <v>0</v>
      </c>
      <c r="BS24" s="246">
        <v>0</v>
      </c>
      <c r="BT24" s="246">
        <v>0</v>
      </c>
      <c r="BU24" s="246">
        <v>0</v>
      </c>
      <c r="BV24" s="249">
        <v>0</v>
      </c>
    </row>
    <row r="25" spans="1:74" ht="17" thickBot="1" x14ac:dyDescent="0.35">
      <c r="A25" s="279" t="s">
        <v>35</v>
      </c>
      <c r="B25" s="243" t="s">
        <v>401</v>
      </c>
      <c r="C25" s="277">
        <v>1</v>
      </c>
      <c r="D25" s="268">
        <v>0</v>
      </c>
      <c r="E25" s="268">
        <v>0</v>
      </c>
      <c r="F25" s="268">
        <v>0</v>
      </c>
      <c r="G25" s="268">
        <v>0</v>
      </c>
      <c r="H25" s="268">
        <v>0</v>
      </c>
      <c r="I25" s="268">
        <v>0</v>
      </c>
      <c r="J25" s="268">
        <v>0</v>
      </c>
      <c r="K25" s="268">
        <v>0</v>
      </c>
      <c r="L25" s="268">
        <v>1</v>
      </c>
      <c r="M25" s="268">
        <v>0</v>
      </c>
      <c r="N25" s="270">
        <v>0</v>
      </c>
      <c r="O25" s="268">
        <v>0</v>
      </c>
      <c r="P25" s="268">
        <v>0</v>
      </c>
      <c r="Q25" s="268">
        <v>0</v>
      </c>
      <c r="R25" s="268">
        <v>1</v>
      </c>
      <c r="S25" s="268">
        <v>0</v>
      </c>
      <c r="T25" s="268">
        <v>0</v>
      </c>
      <c r="U25" s="268">
        <v>0</v>
      </c>
      <c r="V25" s="268">
        <v>1</v>
      </c>
      <c r="W25" s="268">
        <v>0</v>
      </c>
      <c r="X25" s="268">
        <v>0</v>
      </c>
      <c r="Y25" s="268">
        <v>0</v>
      </c>
      <c r="Z25" s="270">
        <v>0</v>
      </c>
      <c r="AA25" s="268">
        <v>0</v>
      </c>
      <c r="AB25" s="268">
        <v>0</v>
      </c>
      <c r="AC25" s="268">
        <v>0</v>
      </c>
      <c r="AD25" s="268">
        <v>0</v>
      </c>
      <c r="AE25" s="268">
        <v>1</v>
      </c>
      <c r="AF25" s="268">
        <v>0</v>
      </c>
      <c r="AG25" s="268">
        <v>0</v>
      </c>
      <c r="AH25" s="268">
        <v>0</v>
      </c>
      <c r="AI25" s="268">
        <v>0</v>
      </c>
      <c r="AJ25" s="268">
        <v>0</v>
      </c>
      <c r="AK25" s="268">
        <v>0</v>
      </c>
      <c r="AL25" s="270">
        <v>0</v>
      </c>
      <c r="AM25" s="269">
        <v>1</v>
      </c>
      <c r="AN25" s="268">
        <v>0</v>
      </c>
      <c r="AO25" s="268">
        <v>0</v>
      </c>
      <c r="AP25" s="268">
        <v>0</v>
      </c>
      <c r="AQ25" s="268">
        <v>0</v>
      </c>
      <c r="AR25" s="268">
        <v>0</v>
      </c>
      <c r="AS25" s="268">
        <v>0</v>
      </c>
      <c r="AT25" s="268">
        <v>0</v>
      </c>
      <c r="AU25" s="268">
        <v>0</v>
      </c>
      <c r="AV25" s="268">
        <v>0</v>
      </c>
      <c r="AW25" s="268">
        <v>0</v>
      </c>
      <c r="AX25" s="270">
        <v>0</v>
      </c>
      <c r="AY25" s="269">
        <v>0</v>
      </c>
      <c r="AZ25" s="337"/>
      <c r="BA25" s="342"/>
      <c r="BB25" s="343"/>
      <c r="BC25" s="268">
        <v>0</v>
      </c>
      <c r="BD25" s="268">
        <v>0</v>
      </c>
      <c r="BE25" s="268">
        <v>0</v>
      </c>
      <c r="BF25" s="268">
        <v>0</v>
      </c>
      <c r="BG25" s="268">
        <v>0</v>
      </c>
      <c r="BH25" s="268">
        <v>0</v>
      </c>
      <c r="BI25" s="268">
        <v>1</v>
      </c>
      <c r="BJ25" s="268">
        <v>0</v>
      </c>
      <c r="BK25" s="269">
        <v>0</v>
      </c>
      <c r="BL25" s="268">
        <v>0</v>
      </c>
      <c r="BM25" s="268">
        <v>0</v>
      </c>
      <c r="BN25" s="268">
        <v>0</v>
      </c>
      <c r="BO25" s="268">
        <v>0</v>
      </c>
      <c r="BP25" s="268">
        <v>1</v>
      </c>
      <c r="BQ25" s="268">
        <v>0</v>
      </c>
      <c r="BR25" s="268">
        <v>0</v>
      </c>
      <c r="BS25" s="268">
        <v>0</v>
      </c>
      <c r="BT25" s="268">
        <v>0</v>
      </c>
      <c r="BU25" s="268">
        <v>0</v>
      </c>
      <c r="BV25" s="271">
        <v>0</v>
      </c>
    </row>
    <row r="26" spans="1:74" ht="17" thickBot="1" x14ac:dyDescent="0.5">
      <c r="A26" s="74" t="s">
        <v>31</v>
      </c>
      <c r="B26" s="239" t="s">
        <v>403</v>
      </c>
      <c r="C26" s="207">
        <v>2</v>
      </c>
      <c r="D26" s="208">
        <v>0</v>
      </c>
      <c r="E26" s="208">
        <v>0</v>
      </c>
      <c r="F26" s="208">
        <v>0</v>
      </c>
      <c r="G26" s="208">
        <v>0</v>
      </c>
      <c r="H26" s="208">
        <v>1</v>
      </c>
      <c r="I26" s="208">
        <v>0</v>
      </c>
      <c r="J26" s="208">
        <v>1</v>
      </c>
      <c r="K26" s="208">
        <v>0</v>
      </c>
      <c r="L26" s="208">
        <v>1</v>
      </c>
      <c r="M26" s="208">
        <v>0</v>
      </c>
      <c r="N26" s="209">
        <v>0</v>
      </c>
      <c r="O26" s="208">
        <v>0</v>
      </c>
      <c r="P26" s="208">
        <v>0</v>
      </c>
      <c r="Q26" s="208">
        <v>0</v>
      </c>
      <c r="R26" s="208">
        <v>1</v>
      </c>
      <c r="S26" s="208">
        <v>0</v>
      </c>
      <c r="T26" s="208">
        <v>0</v>
      </c>
      <c r="U26" s="208">
        <v>0</v>
      </c>
      <c r="V26" s="208">
        <v>1</v>
      </c>
      <c r="W26" s="208">
        <v>0</v>
      </c>
      <c r="X26" s="210">
        <v>1</v>
      </c>
      <c r="Y26" s="210">
        <v>1</v>
      </c>
      <c r="Z26" s="211">
        <v>0</v>
      </c>
      <c r="AA26" s="212">
        <v>0</v>
      </c>
      <c r="AB26" s="210">
        <v>0</v>
      </c>
      <c r="AC26" s="210">
        <v>0</v>
      </c>
      <c r="AD26" s="210">
        <v>0</v>
      </c>
      <c r="AE26" s="210">
        <v>0</v>
      </c>
      <c r="AF26" s="210">
        <v>0</v>
      </c>
      <c r="AG26" s="210">
        <v>1</v>
      </c>
      <c r="AH26" s="210">
        <v>0</v>
      </c>
      <c r="AI26" s="210">
        <v>0</v>
      </c>
      <c r="AJ26" s="210">
        <v>1</v>
      </c>
      <c r="AK26" s="210">
        <v>0</v>
      </c>
      <c r="AL26" s="211">
        <v>0</v>
      </c>
      <c r="AM26" s="242">
        <v>1</v>
      </c>
      <c r="AN26" s="208">
        <v>1</v>
      </c>
      <c r="AO26" s="208">
        <v>0</v>
      </c>
      <c r="AP26" s="208">
        <v>1</v>
      </c>
      <c r="AQ26" s="208">
        <v>0</v>
      </c>
      <c r="AR26" s="208">
        <v>1</v>
      </c>
      <c r="AS26" s="208">
        <v>0</v>
      </c>
      <c r="AT26" s="208">
        <v>0</v>
      </c>
      <c r="AU26" s="208">
        <v>1</v>
      </c>
      <c r="AV26" s="208">
        <v>1</v>
      </c>
      <c r="AW26" s="208">
        <v>1</v>
      </c>
      <c r="AX26" s="209">
        <v>1</v>
      </c>
      <c r="AY26" s="242">
        <v>1</v>
      </c>
      <c r="AZ26" s="208">
        <v>0</v>
      </c>
      <c r="BA26" s="208">
        <v>0</v>
      </c>
      <c r="BB26" s="208">
        <v>1</v>
      </c>
      <c r="BC26" s="208">
        <v>0</v>
      </c>
      <c r="BD26" s="208">
        <v>0</v>
      </c>
      <c r="BE26" s="208">
        <v>0</v>
      </c>
      <c r="BF26" s="208">
        <v>0</v>
      </c>
      <c r="BG26" s="208">
        <v>0</v>
      </c>
      <c r="BH26" s="344" t="s">
        <v>57</v>
      </c>
      <c r="BI26" s="345"/>
      <c r="BJ26" s="338" t="s">
        <v>30</v>
      </c>
      <c r="BK26" s="339"/>
      <c r="BL26" s="208">
        <v>0</v>
      </c>
      <c r="BM26" s="208">
        <v>0</v>
      </c>
      <c r="BN26" s="208">
        <v>1</v>
      </c>
      <c r="BO26" s="208">
        <v>0</v>
      </c>
      <c r="BP26" s="208">
        <v>0</v>
      </c>
      <c r="BQ26" s="208">
        <v>0</v>
      </c>
      <c r="BR26" s="208">
        <v>1</v>
      </c>
      <c r="BS26" s="208">
        <v>1</v>
      </c>
      <c r="BT26" s="208">
        <v>0</v>
      </c>
      <c r="BU26" s="208">
        <v>0</v>
      </c>
      <c r="BV26" s="278">
        <v>0</v>
      </c>
    </row>
    <row r="27" spans="1:74" ht="17" thickBot="1" x14ac:dyDescent="0.5">
      <c r="A27" s="147" t="s">
        <v>31</v>
      </c>
      <c r="B27" s="243" t="s">
        <v>398</v>
      </c>
      <c r="C27" s="250">
        <v>2</v>
      </c>
      <c r="D27" s="251">
        <v>0</v>
      </c>
      <c r="E27" s="251">
        <v>0</v>
      </c>
      <c r="F27" s="251">
        <v>0</v>
      </c>
      <c r="G27" s="251">
        <v>0</v>
      </c>
      <c r="H27" s="251">
        <v>1</v>
      </c>
      <c r="I27" s="251">
        <v>0</v>
      </c>
      <c r="J27" s="251">
        <v>0</v>
      </c>
      <c r="K27" s="251">
        <v>0</v>
      </c>
      <c r="L27" s="251">
        <v>1</v>
      </c>
      <c r="M27" s="251">
        <v>0</v>
      </c>
      <c r="N27" s="252">
        <v>0</v>
      </c>
      <c r="O27" s="251">
        <v>0</v>
      </c>
      <c r="P27" s="251">
        <v>0</v>
      </c>
      <c r="Q27" s="251">
        <v>0</v>
      </c>
      <c r="R27" s="251">
        <v>1</v>
      </c>
      <c r="S27" s="251">
        <v>0</v>
      </c>
      <c r="T27" s="251">
        <v>0</v>
      </c>
      <c r="U27" s="251">
        <v>0</v>
      </c>
      <c r="V27" s="251">
        <v>1</v>
      </c>
      <c r="W27" s="251">
        <v>0</v>
      </c>
      <c r="X27" s="253">
        <v>1</v>
      </c>
      <c r="Y27" s="253">
        <v>1</v>
      </c>
      <c r="Z27" s="254">
        <v>0</v>
      </c>
      <c r="AA27" s="255">
        <v>0</v>
      </c>
      <c r="AB27" s="253">
        <v>0</v>
      </c>
      <c r="AC27" s="253">
        <v>0</v>
      </c>
      <c r="AD27" s="253">
        <v>0</v>
      </c>
      <c r="AE27" s="253">
        <v>0</v>
      </c>
      <c r="AF27" s="253">
        <v>0</v>
      </c>
      <c r="AG27" s="253">
        <v>1</v>
      </c>
      <c r="AH27" s="253">
        <v>0</v>
      </c>
      <c r="AI27" s="253">
        <v>0</v>
      </c>
      <c r="AJ27" s="253">
        <v>1</v>
      </c>
      <c r="AK27" s="253">
        <v>0</v>
      </c>
      <c r="AL27" s="254">
        <v>0</v>
      </c>
      <c r="AM27" s="256">
        <v>1</v>
      </c>
      <c r="AN27" s="251">
        <v>0</v>
      </c>
      <c r="AO27" s="251">
        <v>0</v>
      </c>
      <c r="AP27" s="251">
        <v>0</v>
      </c>
      <c r="AQ27" s="251">
        <v>0</v>
      </c>
      <c r="AR27" s="251">
        <v>0</v>
      </c>
      <c r="AS27" s="251">
        <v>0</v>
      </c>
      <c r="AT27" s="251">
        <v>0</v>
      </c>
      <c r="AU27" s="251">
        <v>1</v>
      </c>
      <c r="AV27" s="251">
        <v>0</v>
      </c>
      <c r="AW27" s="251">
        <v>1</v>
      </c>
      <c r="AX27" s="252">
        <v>0</v>
      </c>
      <c r="AY27" s="256">
        <v>1</v>
      </c>
      <c r="AZ27" s="251">
        <v>0</v>
      </c>
      <c r="BA27" s="251">
        <v>0</v>
      </c>
      <c r="BB27" s="251">
        <v>1</v>
      </c>
      <c r="BC27" s="251">
        <v>0</v>
      </c>
      <c r="BD27" s="251">
        <v>0</v>
      </c>
      <c r="BE27" s="251">
        <v>0</v>
      </c>
      <c r="BF27" s="251">
        <v>0</v>
      </c>
      <c r="BG27" s="251">
        <v>0</v>
      </c>
      <c r="BH27" s="346"/>
      <c r="BI27" s="347"/>
      <c r="BJ27" s="340"/>
      <c r="BK27" s="341"/>
      <c r="BL27" s="251">
        <v>0</v>
      </c>
      <c r="BM27" s="251">
        <v>0</v>
      </c>
      <c r="BN27" s="251">
        <v>1</v>
      </c>
      <c r="BO27" s="251">
        <v>0</v>
      </c>
      <c r="BP27" s="251">
        <v>0</v>
      </c>
      <c r="BQ27" s="251">
        <v>0</v>
      </c>
      <c r="BR27" s="251">
        <v>1</v>
      </c>
      <c r="BS27" s="251">
        <v>0</v>
      </c>
      <c r="BT27" s="251">
        <v>0</v>
      </c>
      <c r="BU27" s="251">
        <v>0</v>
      </c>
      <c r="BV27" s="257">
        <v>0</v>
      </c>
    </row>
    <row r="28" spans="1:74" ht="17" thickBot="1" x14ac:dyDescent="0.5">
      <c r="A28" s="147" t="s">
        <v>31</v>
      </c>
      <c r="B28" s="243" t="s">
        <v>404</v>
      </c>
      <c r="C28" s="258">
        <v>1</v>
      </c>
      <c r="D28" s="259">
        <v>0</v>
      </c>
      <c r="E28" s="259">
        <v>0</v>
      </c>
      <c r="F28" s="259">
        <v>0</v>
      </c>
      <c r="G28" s="259">
        <v>0</v>
      </c>
      <c r="H28" s="259">
        <v>0</v>
      </c>
      <c r="I28" s="259">
        <v>0</v>
      </c>
      <c r="J28" s="259">
        <v>0</v>
      </c>
      <c r="K28" s="259">
        <v>0</v>
      </c>
      <c r="L28" s="259">
        <v>0</v>
      </c>
      <c r="M28" s="259">
        <v>0</v>
      </c>
      <c r="N28" s="260">
        <v>0</v>
      </c>
      <c r="O28" s="259">
        <v>0</v>
      </c>
      <c r="P28" s="259">
        <v>0</v>
      </c>
      <c r="Q28" s="259">
        <v>0</v>
      </c>
      <c r="R28" s="259">
        <v>0</v>
      </c>
      <c r="S28" s="259">
        <v>0</v>
      </c>
      <c r="T28" s="259">
        <v>0</v>
      </c>
      <c r="U28" s="259">
        <v>0</v>
      </c>
      <c r="V28" s="259">
        <v>0</v>
      </c>
      <c r="W28" s="259">
        <v>0</v>
      </c>
      <c r="X28" s="261">
        <v>0</v>
      </c>
      <c r="Y28" s="261">
        <v>0</v>
      </c>
      <c r="Z28" s="262">
        <v>0</v>
      </c>
      <c r="AA28" s="263">
        <v>0</v>
      </c>
      <c r="AB28" s="261">
        <v>0</v>
      </c>
      <c r="AC28" s="261">
        <v>0</v>
      </c>
      <c r="AD28" s="261">
        <v>0</v>
      </c>
      <c r="AE28" s="261">
        <v>0</v>
      </c>
      <c r="AF28" s="261">
        <v>0</v>
      </c>
      <c r="AG28" s="261">
        <v>1</v>
      </c>
      <c r="AH28" s="261">
        <v>0</v>
      </c>
      <c r="AI28" s="261">
        <v>0</v>
      </c>
      <c r="AJ28" s="261">
        <v>0</v>
      </c>
      <c r="AK28" s="261">
        <v>0</v>
      </c>
      <c r="AL28" s="262">
        <v>0</v>
      </c>
      <c r="AM28" s="264">
        <v>1</v>
      </c>
      <c r="AN28" s="259">
        <v>0</v>
      </c>
      <c r="AO28" s="259">
        <v>0</v>
      </c>
      <c r="AP28" s="259">
        <v>0</v>
      </c>
      <c r="AQ28" s="259">
        <v>0</v>
      </c>
      <c r="AR28" s="259">
        <v>0</v>
      </c>
      <c r="AS28" s="259">
        <v>0</v>
      </c>
      <c r="AT28" s="259">
        <v>0</v>
      </c>
      <c r="AU28" s="259">
        <v>0</v>
      </c>
      <c r="AV28" s="259">
        <v>0</v>
      </c>
      <c r="AW28" s="259">
        <v>0</v>
      </c>
      <c r="AX28" s="260">
        <v>0</v>
      </c>
      <c r="AY28" s="264">
        <v>0</v>
      </c>
      <c r="AZ28" s="259">
        <v>0</v>
      </c>
      <c r="BA28" s="259">
        <v>0</v>
      </c>
      <c r="BB28" s="259">
        <v>0</v>
      </c>
      <c r="BC28" s="259">
        <v>0</v>
      </c>
      <c r="BD28" s="259">
        <v>0</v>
      </c>
      <c r="BE28" s="259">
        <v>0</v>
      </c>
      <c r="BF28" s="259">
        <v>0</v>
      </c>
      <c r="BG28" s="259">
        <v>0</v>
      </c>
      <c r="BH28" s="346"/>
      <c r="BI28" s="347"/>
      <c r="BJ28" s="340"/>
      <c r="BK28" s="341"/>
      <c r="BL28" s="259">
        <v>0</v>
      </c>
      <c r="BM28" s="259">
        <v>0</v>
      </c>
      <c r="BN28" s="259">
        <v>0</v>
      </c>
      <c r="BO28" s="259">
        <v>0</v>
      </c>
      <c r="BP28" s="259">
        <v>0</v>
      </c>
      <c r="BQ28" s="259">
        <v>0</v>
      </c>
      <c r="BR28" s="259">
        <v>0</v>
      </c>
      <c r="BS28" s="259">
        <v>0</v>
      </c>
      <c r="BT28" s="259">
        <v>0</v>
      </c>
      <c r="BU28" s="259">
        <v>0</v>
      </c>
      <c r="BV28" s="265">
        <v>0</v>
      </c>
    </row>
    <row r="29" spans="1:74" ht="17" thickBot="1" x14ac:dyDescent="0.35">
      <c r="A29" s="147" t="s">
        <v>31</v>
      </c>
      <c r="B29" s="243" t="s">
        <v>399</v>
      </c>
      <c r="C29" s="272">
        <v>2</v>
      </c>
      <c r="D29" s="273">
        <v>0</v>
      </c>
      <c r="E29" s="273">
        <v>0</v>
      </c>
      <c r="F29" s="273">
        <v>0</v>
      </c>
      <c r="G29" s="273">
        <v>0</v>
      </c>
      <c r="H29" s="273">
        <v>1</v>
      </c>
      <c r="I29" s="273">
        <v>0</v>
      </c>
      <c r="J29" s="273">
        <v>0</v>
      </c>
      <c r="K29" s="273">
        <v>0</v>
      </c>
      <c r="L29" s="273">
        <v>1</v>
      </c>
      <c r="M29" s="273">
        <v>0</v>
      </c>
      <c r="N29" s="275">
        <v>0</v>
      </c>
      <c r="O29" s="273">
        <v>0</v>
      </c>
      <c r="P29" s="273">
        <v>0</v>
      </c>
      <c r="Q29" s="273">
        <v>0</v>
      </c>
      <c r="R29" s="273">
        <v>1</v>
      </c>
      <c r="S29" s="273">
        <v>0</v>
      </c>
      <c r="T29" s="273">
        <v>0</v>
      </c>
      <c r="U29" s="273">
        <v>0</v>
      </c>
      <c r="V29" s="273">
        <v>1</v>
      </c>
      <c r="W29" s="273">
        <v>0</v>
      </c>
      <c r="X29" s="273">
        <v>1</v>
      </c>
      <c r="Y29" s="273">
        <v>1</v>
      </c>
      <c r="Z29" s="275">
        <v>0</v>
      </c>
      <c r="AA29" s="273">
        <v>0</v>
      </c>
      <c r="AB29" s="273">
        <v>0</v>
      </c>
      <c r="AC29" s="273">
        <v>0</v>
      </c>
      <c r="AD29" s="273">
        <v>0</v>
      </c>
      <c r="AE29" s="273">
        <v>0</v>
      </c>
      <c r="AF29" s="273">
        <v>0</v>
      </c>
      <c r="AG29" s="273">
        <v>1</v>
      </c>
      <c r="AH29" s="273">
        <v>0</v>
      </c>
      <c r="AI29" s="273">
        <v>0</v>
      </c>
      <c r="AJ29" s="273">
        <v>1</v>
      </c>
      <c r="AK29" s="273">
        <v>0</v>
      </c>
      <c r="AL29" s="275">
        <v>0</v>
      </c>
      <c r="AM29" s="274">
        <v>1</v>
      </c>
      <c r="AN29" s="273">
        <v>0</v>
      </c>
      <c r="AO29" s="273">
        <v>0</v>
      </c>
      <c r="AP29" s="273">
        <v>0</v>
      </c>
      <c r="AQ29" s="273">
        <v>0</v>
      </c>
      <c r="AR29" s="273">
        <v>0</v>
      </c>
      <c r="AS29" s="273">
        <v>0</v>
      </c>
      <c r="AT29" s="273">
        <v>0</v>
      </c>
      <c r="AU29" s="273">
        <v>1</v>
      </c>
      <c r="AV29" s="273">
        <v>0</v>
      </c>
      <c r="AW29" s="273">
        <v>1</v>
      </c>
      <c r="AX29" s="275">
        <v>0</v>
      </c>
      <c r="AY29" s="274">
        <v>1</v>
      </c>
      <c r="AZ29" s="273">
        <v>0</v>
      </c>
      <c r="BA29" s="273">
        <v>0</v>
      </c>
      <c r="BB29" s="273">
        <v>1</v>
      </c>
      <c r="BC29" s="273">
        <v>0</v>
      </c>
      <c r="BD29" s="273">
        <v>0</v>
      </c>
      <c r="BE29" s="273">
        <v>0</v>
      </c>
      <c r="BF29" s="273">
        <v>0</v>
      </c>
      <c r="BG29" s="273">
        <v>0</v>
      </c>
      <c r="BH29" s="346"/>
      <c r="BI29" s="347"/>
      <c r="BJ29" s="340"/>
      <c r="BK29" s="341"/>
      <c r="BL29" s="273">
        <v>0</v>
      </c>
      <c r="BM29" s="273">
        <v>0</v>
      </c>
      <c r="BN29" s="273">
        <v>1</v>
      </c>
      <c r="BO29" s="273">
        <v>0</v>
      </c>
      <c r="BP29" s="273">
        <v>0</v>
      </c>
      <c r="BQ29" s="273">
        <v>0</v>
      </c>
      <c r="BR29" s="273">
        <v>1</v>
      </c>
      <c r="BS29" s="273">
        <v>0</v>
      </c>
      <c r="BT29" s="273">
        <v>0</v>
      </c>
      <c r="BU29" s="273">
        <v>0</v>
      </c>
      <c r="BV29" s="276">
        <v>0</v>
      </c>
    </row>
    <row r="30" spans="1:74" ht="17" thickBot="1" x14ac:dyDescent="0.35">
      <c r="A30" s="147" t="s">
        <v>31</v>
      </c>
      <c r="B30" s="243" t="s">
        <v>400</v>
      </c>
      <c r="C30" s="245">
        <v>1</v>
      </c>
      <c r="D30" s="246">
        <v>0</v>
      </c>
      <c r="E30" s="246">
        <v>0</v>
      </c>
      <c r="F30" s="246">
        <v>0</v>
      </c>
      <c r="G30" s="246">
        <v>0</v>
      </c>
      <c r="H30" s="246">
        <v>1</v>
      </c>
      <c r="I30" s="246">
        <v>0</v>
      </c>
      <c r="J30" s="246">
        <v>1</v>
      </c>
      <c r="K30" s="246">
        <v>0</v>
      </c>
      <c r="L30" s="246">
        <v>1</v>
      </c>
      <c r="M30" s="246">
        <v>0</v>
      </c>
      <c r="N30" s="247">
        <v>0</v>
      </c>
      <c r="O30" s="246">
        <v>0</v>
      </c>
      <c r="P30" s="246">
        <v>0</v>
      </c>
      <c r="Q30" s="246">
        <v>0</v>
      </c>
      <c r="R30" s="246">
        <v>0</v>
      </c>
      <c r="S30" s="246">
        <v>0</v>
      </c>
      <c r="T30" s="246">
        <v>0</v>
      </c>
      <c r="U30" s="246">
        <v>0</v>
      </c>
      <c r="V30" s="246">
        <v>1</v>
      </c>
      <c r="W30" s="246">
        <v>0</v>
      </c>
      <c r="X30" s="246">
        <v>1</v>
      </c>
      <c r="Y30" s="246">
        <v>1</v>
      </c>
      <c r="Z30" s="247">
        <v>0</v>
      </c>
      <c r="AA30" s="246">
        <v>0</v>
      </c>
      <c r="AB30" s="246">
        <v>0</v>
      </c>
      <c r="AC30" s="246">
        <v>0</v>
      </c>
      <c r="AD30" s="246">
        <v>0</v>
      </c>
      <c r="AE30" s="246">
        <v>0</v>
      </c>
      <c r="AF30" s="246">
        <v>0</v>
      </c>
      <c r="AG30" s="246">
        <v>0</v>
      </c>
      <c r="AH30" s="246">
        <v>0</v>
      </c>
      <c r="AI30" s="246">
        <v>0</v>
      </c>
      <c r="AJ30" s="246">
        <v>1</v>
      </c>
      <c r="AK30" s="246">
        <v>0</v>
      </c>
      <c r="AL30" s="247">
        <v>0</v>
      </c>
      <c r="AM30" s="248">
        <v>0</v>
      </c>
      <c r="AN30" s="246">
        <v>1</v>
      </c>
      <c r="AO30" s="246">
        <v>0</v>
      </c>
      <c r="AP30" s="246">
        <v>1</v>
      </c>
      <c r="AQ30" s="246">
        <v>0</v>
      </c>
      <c r="AR30" s="246">
        <v>1</v>
      </c>
      <c r="AS30" s="246">
        <v>0</v>
      </c>
      <c r="AT30" s="246">
        <v>0</v>
      </c>
      <c r="AU30" s="246">
        <v>1</v>
      </c>
      <c r="AV30" s="246">
        <v>1</v>
      </c>
      <c r="AW30" s="246">
        <v>1</v>
      </c>
      <c r="AX30" s="247">
        <v>1</v>
      </c>
      <c r="AY30" s="248">
        <v>1</v>
      </c>
      <c r="AZ30" s="246">
        <v>0</v>
      </c>
      <c r="BA30" s="246">
        <v>0</v>
      </c>
      <c r="BB30" s="246">
        <v>1</v>
      </c>
      <c r="BC30" s="246">
        <v>0</v>
      </c>
      <c r="BD30" s="246">
        <v>0</v>
      </c>
      <c r="BE30" s="246">
        <v>0</v>
      </c>
      <c r="BF30" s="246">
        <v>0</v>
      </c>
      <c r="BG30" s="246">
        <v>0</v>
      </c>
      <c r="BH30" s="346"/>
      <c r="BI30" s="347"/>
      <c r="BJ30" s="340"/>
      <c r="BK30" s="341"/>
      <c r="BL30" s="246">
        <v>0</v>
      </c>
      <c r="BM30" s="246">
        <v>0</v>
      </c>
      <c r="BN30" s="246">
        <v>1</v>
      </c>
      <c r="BO30" s="246">
        <v>0</v>
      </c>
      <c r="BP30" s="246">
        <v>0</v>
      </c>
      <c r="BQ30" s="246">
        <v>0</v>
      </c>
      <c r="BR30" s="246">
        <v>1</v>
      </c>
      <c r="BS30" s="246">
        <v>1</v>
      </c>
      <c r="BT30" s="246">
        <v>0</v>
      </c>
      <c r="BU30" s="246">
        <v>0</v>
      </c>
      <c r="BV30" s="249">
        <v>0</v>
      </c>
    </row>
    <row r="31" spans="1:74" ht="17" thickBot="1" x14ac:dyDescent="0.35">
      <c r="A31" s="279" t="s">
        <v>31</v>
      </c>
      <c r="B31" s="243" t="s">
        <v>401</v>
      </c>
      <c r="C31" s="277">
        <v>1</v>
      </c>
      <c r="D31" s="268">
        <v>0</v>
      </c>
      <c r="E31" s="268">
        <v>0</v>
      </c>
      <c r="F31" s="268">
        <v>0</v>
      </c>
      <c r="G31" s="268">
        <v>0</v>
      </c>
      <c r="H31" s="268">
        <v>1</v>
      </c>
      <c r="I31" s="268">
        <v>0</v>
      </c>
      <c r="J31" s="268">
        <v>1</v>
      </c>
      <c r="K31" s="268">
        <v>0</v>
      </c>
      <c r="L31" s="268">
        <v>1</v>
      </c>
      <c r="M31" s="268">
        <v>0</v>
      </c>
      <c r="N31" s="270">
        <v>0</v>
      </c>
      <c r="O31" s="268">
        <v>0</v>
      </c>
      <c r="P31" s="268">
        <v>0</v>
      </c>
      <c r="Q31" s="268">
        <v>0</v>
      </c>
      <c r="R31" s="268">
        <v>0</v>
      </c>
      <c r="S31" s="268">
        <v>0</v>
      </c>
      <c r="T31" s="268">
        <v>0</v>
      </c>
      <c r="U31" s="268">
        <v>0</v>
      </c>
      <c r="V31" s="268">
        <v>1</v>
      </c>
      <c r="W31" s="268">
        <v>0</v>
      </c>
      <c r="X31" s="268">
        <v>1</v>
      </c>
      <c r="Y31" s="268">
        <v>1</v>
      </c>
      <c r="Z31" s="270">
        <v>0</v>
      </c>
      <c r="AA31" s="268">
        <v>0</v>
      </c>
      <c r="AB31" s="268">
        <v>0</v>
      </c>
      <c r="AC31" s="268">
        <v>0</v>
      </c>
      <c r="AD31" s="268">
        <v>0</v>
      </c>
      <c r="AE31" s="268">
        <v>0</v>
      </c>
      <c r="AF31" s="268">
        <v>0</v>
      </c>
      <c r="AG31" s="268">
        <v>0</v>
      </c>
      <c r="AH31" s="268">
        <v>0</v>
      </c>
      <c r="AI31" s="268">
        <v>0</v>
      </c>
      <c r="AJ31" s="268">
        <v>1</v>
      </c>
      <c r="AK31" s="268">
        <v>0</v>
      </c>
      <c r="AL31" s="270">
        <v>0</v>
      </c>
      <c r="AM31" s="269">
        <v>0</v>
      </c>
      <c r="AN31" s="268">
        <v>1</v>
      </c>
      <c r="AO31" s="268">
        <v>0</v>
      </c>
      <c r="AP31" s="268">
        <v>1</v>
      </c>
      <c r="AQ31" s="268">
        <v>0</v>
      </c>
      <c r="AR31" s="268">
        <v>1</v>
      </c>
      <c r="AS31" s="268">
        <v>0</v>
      </c>
      <c r="AT31" s="268">
        <v>0</v>
      </c>
      <c r="AU31" s="268">
        <v>1</v>
      </c>
      <c r="AV31" s="268">
        <v>1</v>
      </c>
      <c r="AW31" s="268">
        <v>1</v>
      </c>
      <c r="AX31" s="270">
        <v>1</v>
      </c>
      <c r="AY31" s="269">
        <v>1</v>
      </c>
      <c r="AZ31" s="268">
        <v>0</v>
      </c>
      <c r="BA31" s="268">
        <v>0</v>
      </c>
      <c r="BB31" s="268">
        <v>1</v>
      </c>
      <c r="BC31" s="268">
        <v>0</v>
      </c>
      <c r="BD31" s="268">
        <v>0</v>
      </c>
      <c r="BE31" s="268">
        <v>0</v>
      </c>
      <c r="BF31" s="268">
        <v>0</v>
      </c>
      <c r="BG31" s="268">
        <v>0</v>
      </c>
      <c r="BH31" s="348"/>
      <c r="BI31" s="349"/>
      <c r="BJ31" s="342"/>
      <c r="BK31" s="343"/>
      <c r="BL31" s="268">
        <v>0</v>
      </c>
      <c r="BM31" s="268">
        <v>0</v>
      </c>
      <c r="BN31" s="268">
        <v>1</v>
      </c>
      <c r="BO31" s="268">
        <v>0</v>
      </c>
      <c r="BP31" s="268">
        <v>0</v>
      </c>
      <c r="BQ31" s="268">
        <v>0</v>
      </c>
      <c r="BR31" s="268">
        <v>1</v>
      </c>
      <c r="BS31" s="268">
        <v>1</v>
      </c>
      <c r="BT31" s="268">
        <v>0</v>
      </c>
      <c r="BU31" s="268">
        <v>0</v>
      </c>
      <c r="BV31" s="271">
        <v>0</v>
      </c>
    </row>
    <row r="32" spans="1:74" ht="17" thickBot="1" x14ac:dyDescent="0.5">
      <c r="A32" s="74" t="s">
        <v>70</v>
      </c>
      <c r="B32" s="239" t="s">
        <v>403</v>
      </c>
      <c r="C32" s="207">
        <v>0</v>
      </c>
      <c r="D32" s="208">
        <v>0</v>
      </c>
      <c r="E32" s="208">
        <v>0</v>
      </c>
      <c r="F32" s="208">
        <v>0</v>
      </c>
      <c r="G32" s="208">
        <v>2</v>
      </c>
      <c r="H32" s="208">
        <v>0</v>
      </c>
      <c r="I32" s="208">
        <v>0</v>
      </c>
      <c r="J32" s="208">
        <v>0</v>
      </c>
      <c r="K32" s="208">
        <v>0</v>
      </c>
      <c r="L32" s="208">
        <v>0</v>
      </c>
      <c r="M32" s="208">
        <v>0</v>
      </c>
      <c r="N32" s="209">
        <v>1</v>
      </c>
      <c r="O32" s="208">
        <v>1</v>
      </c>
      <c r="P32" s="208">
        <v>0</v>
      </c>
      <c r="Q32" s="208">
        <v>0</v>
      </c>
      <c r="R32" s="208">
        <v>0</v>
      </c>
      <c r="S32" s="208">
        <v>0</v>
      </c>
      <c r="T32" s="208">
        <v>0</v>
      </c>
      <c r="U32" s="208">
        <v>2</v>
      </c>
      <c r="V32" s="208">
        <v>1</v>
      </c>
      <c r="W32" s="208">
        <v>0</v>
      </c>
      <c r="X32" s="210">
        <v>0</v>
      </c>
      <c r="Y32" s="210">
        <v>0</v>
      </c>
      <c r="Z32" s="211">
        <v>1</v>
      </c>
      <c r="AA32" s="212">
        <v>0</v>
      </c>
      <c r="AB32" s="210">
        <v>1</v>
      </c>
      <c r="AC32" s="210">
        <v>1</v>
      </c>
      <c r="AD32" s="210">
        <v>2</v>
      </c>
      <c r="AE32" s="210">
        <v>0</v>
      </c>
      <c r="AF32" s="210">
        <v>1</v>
      </c>
      <c r="AG32" s="210">
        <v>0</v>
      </c>
      <c r="AH32" s="210">
        <v>0</v>
      </c>
      <c r="AI32" s="210">
        <v>0</v>
      </c>
      <c r="AJ32" s="210">
        <v>1</v>
      </c>
      <c r="AK32" s="210">
        <v>0</v>
      </c>
      <c r="AL32" s="211">
        <v>0</v>
      </c>
      <c r="AM32" s="242">
        <v>1</v>
      </c>
      <c r="AN32" s="208">
        <v>0</v>
      </c>
      <c r="AO32" s="208">
        <v>1</v>
      </c>
      <c r="AP32" s="208">
        <v>0</v>
      </c>
      <c r="AQ32" s="208">
        <v>0</v>
      </c>
      <c r="AR32" s="208">
        <v>1</v>
      </c>
      <c r="AS32" s="208">
        <v>0</v>
      </c>
      <c r="AT32" s="208">
        <v>0</v>
      </c>
      <c r="AU32" s="208">
        <v>1</v>
      </c>
      <c r="AV32" s="208">
        <v>0</v>
      </c>
      <c r="AW32" s="208">
        <v>0</v>
      </c>
      <c r="AX32" s="209">
        <v>1</v>
      </c>
      <c r="AY32" s="212">
        <v>0</v>
      </c>
      <c r="AZ32" s="210">
        <v>1</v>
      </c>
      <c r="BA32" s="208">
        <v>0</v>
      </c>
      <c r="BB32" s="208">
        <v>0</v>
      </c>
      <c r="BC32" s="208">
        <v>0</v>
      </c>
      <c r="BD32" s="208">
        <v>0</v>
      </c>
      <c r="BE32" s="208">
        <v>0</v>
      </c>
      <c r="BF32" s="208">
        <v>0</v>
      </c>
      <c r="BG32" s="210">
        <v>1</v>
      </c>
      <c r="BH32" s="210">
        <v>0</v>
      </c>
      <c r="BI32" s="344" t="s">
        <v>57</v>
      </c>
      <c r="BJ32" s="345"/>
      <c r="BK32" s="338" t="s">
        <v>30</v>
      </c>
      <c r="BL32" s="339"/>
      <c r="BM32" s="208">
        <v>1</v>
      </c>
      <c r="BN32" s="208">
        <v>0</v>
      </c>
      <c r="BO32" s="208">
        <v>1</v>
      </c>
      <c r="BP32" s="208">
        <v>0</v>
      </c>
      <c r="BQ32" s="208">
        <v>0</v>
      </c>
      <c r="BR32" s="208">
        <v>0</v>
      </c>
      <c r="BS32" s="208">
        <v>0</v>
      </c>
      <c r="BT32" s="208">
        <v>0</v>
      </c>
      <c r="BU32" s="208">
        <v>0</v>
      </c>
      <c r="BV32" s="278">
        <v>0</v>
      </c>
    </row>
    <row r="33" spans="1:74" ht="17" thickBot="1" x14ac:dyDescent="0.5">
      <c r="A33" s="147" t="s">
        <v>70</v>
      </c>
      <c r="B33" s="243" t="s">
        <v>398</v>
      </c>
      <c r="C33" s="250">
        <v>0</v>
      </c>
      <c r="D33" s="251">
        <v>0</v>
      </c>
      <c r="E33" s="251">
        <v>0</v>
      </c>
      <c r="F33" s="251">
        <v>0</v>
      </c>
      <c r="G33" s="251">
        <v>2</v>
      </c>
      <c r="H33" s="251">
        <v>0</v>
      </c>
      <c r="I33" s="251">
        <v>0</v>
      </c>
      <c r="J33" s="251">
        <v>0</v>
      </c>
      <c r="K33" s="251">
        <v>0</v>
      </c>
      <c r="L33" s="251">
        <v>0</v>
      </c>
      <c r="M33" s="251">
        <v>0</v>
      </c>
      <c r="N33" s="252">
        <v>1</v>
      </c>
      <c r="O33" s="251">
        <v>1</v>
      </c>
      <c r="P33" s="251">
        <v>0</v>
      </c>
      <c r="Q33" s="251">
        <v>0</v>
      </c>
      <c r="R33" s="251">
        <v>0</v>
      </c>
      <c r="S33" s="251">
        <v>0</v>
      </c>
      <c r="T33" s="251">
        <v>0</v>
      </c>
      <c r="U33" s="251">
        <v>2</v>
      </c>
      <c r="V33" s="251">
        <v>0</v>
      </c>
      <c r="W33" s="251">
        <v>0</v>
      </c>
      <c r="X33" s="253">
        <v>0</v>
      </c>
      <c r="Y33" s="253">
        <v>0</v>
      </c>
      <c r="Z33" s="254">
        <v>1</v>
      </c>
      <c r="AA33" s="255">
        <v>0</v>
      </c>
      <c r="AB33" s="253">
        <v>1</v>
      </c>
      <c r="AC33" s="253">
        <v>1</v>
      </c>
      <c r="AD33" s="253">
        <v>2</v>
      </c>
      <c r="AE33" s="253">
        <v>0</v>
      </c>
      <c r="AF33" s="253">
        <v>1</v>
      </c>
      <c r="AG33" s="253">
        <v>0</v>
      </c>
      <c r="AH33" s="253">
        <v>0</v>
      </c>
      <c r="AI33" s="253">
        <v>0</v>
      </c>
      <c r="AJ33" s="253">
        <v>1</v>
      </c>
      <c r="AK33" s="253">
        <v>0</v>
      </c>
      <c r="AL33" s="254">
        <v>0</v>
      </c>
      <c r="AM33" s="256">
        <v>1</v>
      </c>
      <c r="AN33" s="251">
        <v>0</v>
      </c>
      <c r="AO33" s="251">
        <v>1</v>
      </c>
      <c r="AP33" s="251">
        <v>0</v>
      </c>
      <c r="AQ33" s="251">
        <v>0</v>
      </c>
      <c r="AR33" s="251">
        <v>1</v>
      </c>
      <c r="AS33" s="251">
        <v>0</v>
      </c>
      <c r="AT33" s="251">
        <v>0</v>
      </c>
      <c r="AU33" s="251">
        <v>1</v>
      </c>
      <c r="AV33" s="251">
        <v>0</v>
      </c>
      <c r="AW33" s="251">
        <v>0</v>
      </c>
      <c r="AX33" s="252">
        <v>1</v>
      </c>
      <c r="AY33" s="255">
        <v>0</v>
      </c>
      <c r="AZ33" s="253">
        <v>1</v>
      </c>
      <c r="BA33" s="251">
        <v>0</v>
      </c>
      <c r="BB33" s="251">
        <v>0</v>
      </c>
      <c r="BC33" s="251">
        <v>0</v>
      </c>
      <c r="BD33" s="251">
        <v>0</v>
      </c>
      <c r="BE33" s="251">
        <v>0</v>
      </c>
      <c r="BF33" s="251">
        <v>0</v>
      </c>
      <c r="BG33" s="253">
        <v>1</v>
      </c>
      <c r="BH33" s="253">
        <v>0</v>
      </c>
      <c r="BI33" s="346"/>
      <c r="BJ33" s="347"/>
      <c r="BK33" s="340"/>
      <c r="BL33" s="341"/>
      <c r="BM33" s="251">
        <v>1</v>
      </c>
      <c r="BN33" s="251">
        <v>0</v>
      </c>
      <c r="BO33" s="251">
        <v>1</v>
      </c>
      <c r="BP33" s="251">
        <v>0</v>
      </c>
      <c r="BQ33" s="251">
        <v>0</v>
      </c>
      <c r="BR33" s="251">
        <v>0</v>
      </c>
      <c r="BS33" s="251">
        <v>0</v>
      </c>
      <c r="BT33" s="251">
        <v>0</v>
      </c>
      <c r="BU33" s="251">
        <v>0</v>
      </c>
      <c r="BV33" s="257">
        <v>0</v>
      </c>
    </row>
    <row r="34" spans="1:74" ht="17" thickBot="1" x14ac:dyDescent="0.5">
      <c r="A34" s="147" t="s">
        <v>70</v>
      </c>
      <c r="B34" s="243" t="s">
        <v>404</v>
      </c>
      <c r="C34" s="258">
        <v>0</v>
      </c>
      <c r="D34" s="259">
        <v>0</v>
      </c>
      <c r="E34" s="259">
        <v>0</v>
      </c>
      <c r="F34" s="259">
        <v>0</v>
      </c>
      <c r="G34" s="259">
        <v>0</v>
      </c>
      <c r="H34" s="259">
        <v>0</v>
      </c>
      <c r="I34" s="259">
        <v>0</v>
      </c>
      <c r="J34" s="259">
        <v>0</v>
      </c>
      <c r="K34" s="259">
        <v>0</v>
      </c>
      <c r="L34" s="259">
        <v>0</v>
      </c>
      <c r="M34" s="259">
        <v>0</v>
      </c>
      <c r="N34" s="260">
        <v>1</v>
      </c>
      <c r="O34" s="259">
        <v>0</v>
      </c>
      <c r="P34" s="259">
        <v>0</v>
      </c>
      <c r="Q34" s="259">
        <v>0</v>
      </c>
      <c r="R34" s="259">
        <v>0</v>
      </c>
      <c r="S34" s="259">
        <v>0</v>
      </c>
      <c r="T34" s="259">
        <v>0</v>
      </c>
      <c r="U34" s="259">
        <v>2</v>
      </c>
      <c r="V34" s="259">
        <v>0</v>
      </c>
      <c r="W34" s="259">
        <v>0</v>
      </c>
      <c r="X34" s="261">
        <v>0</v>
      </c>
      <c r="Y34" s="261">
        <v>0</v>
      </c>
      <c r="Z34" s="262">
        <v>0</v>
      </c>
      <c r="AA34" s="263">
        <v>0</v>
      </c>
      <c r="AB34" s="261">
        <v>0</v>
      </c>
      <c r="AC34" s="261">
        <v>1</v>
      </c>
      <c r="AD34" s="261">
        <v>1</v>
      </c>
      <c r="AE34" s="261">
        <v>0</v>
      </c>
      <c r="AF34" s="261">
        <v>0</v>
      </c>
      <c r="AG34" s="261">
        <v>0</v>
      </c>
      <c r="AH34" s="261">
        <v>0</v>
      </c>
      <c r="AI34" s="261">
        <v>0</v>
      </c>
      <c r="AJ34" s="261">
        <v>0</v>
      </c>
      <c r="AK34" s="261">
        <v>0</v>
      </c>
      <c r="AL34" s="262">
        <v>0</v>
      </c>
      <c r="AM34" s="264">
        <v>1</v>
      </c>
      <c r="AN34" s="259">
        <v>0</v>
      </c>
      <c r="AO34" s="259">
        <v>1</v>
      </c>
      <c r="AP34" s="259">
        <v>0</v>
      </c>
      <c r="AQ34" s="259">
        <v>0</v>
      </c>
      <c r="AR34" s="259">
        <v>0</v>
      </c>
      <c r="AS34" s="259">
        <v>0</v>
      </c>
      <c r="AT34" s="259">
        <v>0</v>
      </c>
      <c r="AU34" s="259">
        <v>0</v>
      </c>
      <c r="AV34" s="259">
        <v>0</v>
      </c>
      <c r="AW34" s="259">
        <v>0</v>
      </c>
      <c r="AX34" s="260">
        <v>0</v>
      </c>
      <c r="AY34" s="263">
        <v>0</v>
      </c>
      <c r="AZ34" s="261">
        <v>0</v>
      </c>
      <c r="BA34" s="259">
        <v>0</v>
      </c>
      <c r="BB34" s="259">
        <v>0</v>
      </c>
      <c r="BC34" s="259">
        <v>0</v>
      </c>
      <c r="BD34" s="259">
        <v>0</v>
      </c>
      <c r="BE34" s="259">
        <v>0</v>
      </c>
      <c r="BF34" s="259">
        <v>0</v>
      </c>
      <c r="BG34" s="261">
        <v>1</v>
      </c>
      <c r="BH34" s="261">
        <v>0</v>
      </c>
      <c r="BI34" s="346"/>
      <c r="BJ34" s="347"/>
      <c r="BK34" s="340"/>
      <c r="BL34" s="341"/>
      <c r="BM34" s="259">
        <v>1</v>
      </c>
      <c r="BN34" s="259">
        <v>0</v>
      </c>
      <c r="BO34" s="259">
        <v>1</v>
      </c>
      <c r="BP34" s="259">
        <v>0</v>
      </c>
      <c r="BQ34" s="259">
        <v>0</v>
      </c>
      <c r="BR34" s="259">
        <v>0</v>
      </c>
      <c r="BS34" s="259">
        <v>0</v>
      </c>
      <c r="BT34" s="259">
        <v>0</v>
      </c>
      <c r="BU34" s="259">
        <v>0</v>
      </c>
      <c r="BV34" s="265">
        <v>0</v>
      </c>
    </row>
    <row r="35" spans="1:74" ht="17" thickBot="1" x14ac:dyDescent="0.35">
      <c r="A35" s="147" t="s">
        <v>70</v>
      </c>
      <c r="B35" s="243" t="s">
        <v>399</v>
      </c>
      <c r="C35" s="272">
        <v>0</v>
      </c>
      <c r="D35" s="273">
        <v>0</v>
      </c>
      <c r="E35" s="273">
        <v>0</v>
      </c>
      <c r="F35" s="273">
        <v>0</v>
      </c>
      <c r="G35" s="273">
        <v>2</v>
      </c>
      <c r="H35" s="273">
        <v>0</v>
      </c>
      <c r="I35" s="273">
        <v>0</v>
      </c>
      <c r="J35" s="273">
        <v>0</v>
      </c>
      <c r="K35" s="273">
        <v>0</v>
      </c>
      <c r="L35" s="273">
        <v>0</v>
      </c>
      <c r="M35" s="273">
        <v>0</v>
      </c>
      <c r="N35" s="275">
        <v>1</v>
      </c>
      <c r="O35" s="273">
        <v>1</v>
      </c>
      <c r="P35" s="273">
        <v>0</v>
      </c>
      <c r="Q35" s="273">
        <v>0</v>
      </c>
      <c r="R35" s="273">
        <v>0</v>
      </c>
      <c r="S35" s="273">
        <v>0</v>
      </c>
      <c r="T35" s="273">
        <v>0</v>
      </c>
      <c r="U35" s="273">
        <v>2</v>
      </c>
      <c r="V35" s="273">
        <v>0</v>
      </c>
      <c r="W35" s="273">
        <v>0</v>
      </c>
      <c r="X35" s="273">
        <v>0</v>
      </c>
      <c r="Y35" s="273">
        <v>0</v>
      </c>
      <c r="Z35" s="275">
        <v>1</v>
      </c>
      <c r="AA35" s="273">
        <v>0</v>
      </c>
      <c r="AB35" s="273">
        <v>1</v>
      </c>
      <c r="AC35" s="273">
        <v>1</v>
      </c>
      <c r="AD35" s="273">
        <v>2</v>
      </c>
      <c r="AE35" s="273">
        <v>0</v>
      </c>
      <c r="AF35" s="273">
        <v>1</v>
      </c>
      <c r="AG35" s="273">
        <v>0</v>
      </c>
      <c r="AH35" s="273">
        <v>0</v>
      </c>
      <c r="AI35" s="273">
        <v>0</v>
      </c>
      <c r="AJ35" s="273">
        <v>1</v>
      </c>
      <c r="AK35" s="273">
        <v>0</v>
      </c>
      <c r="AL35" s="275">
        <v>0</v>
      </c>
      <c r="AM35" s="274">
        <v>1</v>
      </c>
      <c r="AN35" s="273">
        <v>0</v>
      </c>
      <c r="AO35" s="273">
        <v>1</v>
      </c>
      <c r="AP35" s="273">
        <v>0</v>
      </c>
      <c r="AQ35" s="273">
        <v>0</v>
      </c>
      <c r="AR35" s="273">
        <v>1</v>
      </c>
      <c r="AS35" s="273">
        <v>0</v>
      </c>
      <c r="AT35" s="273">
        <v>0</v>
      </c>
      <c r="AU35" s="273">
        <v>1</v>
      </c>
      <c r="AV35" s="273">
        <v>0</v>
      </c>
      <c r="AW35" s="273">
        <v>0</v>
      </c>
      <c r="AX35" s="275">
        <v>1</v>
      </c>
      <c r="AY35" s="273">
        <v>0</v>
      </c>
      <c r="AZ35" s="273">
        <v>1</v>
      </c>
      <c r="BA35" s="273">
        <v>0</v>
      </c>
      <c r="BB35" s="273">
        <v>0</v>
      </c>
      <c r="BC35" s="273">
        <v>0</v>
      </c>
      <c r="BD35" s="273">
        <v>0</v>
      </c>
      <c r="BE35" s="273">
        <v>0</v>
      </c>
      <c r="BF35" s="273">
        <v>0</v>
      </c>
      <c r="BG35" s="273">
        <v>1</v>
      </c>
      <c r="BH35" s="273">
        <v>0</v>
      </c>
      <c r="BI35" s="346"/>
      <c r="BJ35" s="347"/>
      <c r="BK35" s="340"/>
      <c r="BL35" s="341"/>
      <c r="BM35" s="273">
        <v>1</v>
      </c>
      <c r="BN35" s="273">
        <v>0</v>
      </c>
      <c r="BO35" s="273">
        <v>1</v>
      </c>
      <c r="BP35" s="273">
        <v>0</v>
      </c>
      <c r="BQ35" s="273">
        <v>0</v>
      </c>
      <c r="BR35" s="273">
        <v>0</v>
      </c>
      <c r="BS35" s="273">
        <v>0</v>
      </c>
      <c r="BT35" s="273">
        <v>0</v>
      </c>
      <c r="BU35" s="273">
        <v>0</v>
      </c>
      <c r="BV35" s="276">
        <v>0</v>
      </c>
    </row>
    <row r="36" spans="1:74" ht="17" thickBot="1" x14ac:dyDescent="0.35">
      <c r="A36" s="147" t="s">
        <v>70</v>
      </c>
      <c r="B36" s="243" t="s">
        <v>400</v>
      </c>
      <c r="C36" s="245">
        <v>0</v>
      </c>
      <c r="D36" s="246">
        <v>0</v>
      </c>
      <c r="E36" s="246">
        <v>0</v>
      </c>
      <c r="F36" s="246">
        <v>0</v>
      </c>
      <c r="G36" s="246">
        <v>1</v>
      </c>
      <c r="H36" s="246">
        <v>0</v>
      </c>
      <c r="I36" s="246">
        <v>0</v>
      </c>
      <c r="J36" s="246">
        <v>0</v>
      </c>
      <c r="K36" s="246">
        <v>0</v>
      </c>
      <c r="L36" s="246">
        <v>0</v>
      </c>
      <c r="M36" s="246">
        <v>0</v>
      </c>
      <c r="N36" s="247">
        <v>0</v>
      </c>
      <c r="O36" s="246">
        <v>1</v>
      </c>
      <c r="P36" s="246">
        <v>0</v>
      </c>
      <c r="Q36" s="246">
        <v>0</v>
      </c>
      <c r="R36" s="246">
        <v>0</v>
      </c>
      <c r="S36" s="246">
        <v>0</v>
      </c>
      <c r="T36" s="246">
        <v>0</v>
      </c>
      <c r="U36" s="246">
        <v>0</v>
      </c>
      <c r="V36" s="246">
        <v>1</v>
      </c>
      <c r="W36" s="246">
        <v>0</v>
      </c>
      <c r="X36" s="246">
        <v>0</v>
      </c>
      <c r="Y36" s="246">
        <v>0</v>
      </c>
      <c r="Z36" s="247">
        <v>0</v>
      </c>
      <c r="AA36" s="246">
        <v>0</v>
      </c>
      <c r="AB36" s="246">
        <v>1</v>
      </c>
      <c r="AC36" s="246">
        <v>0</v>
      </c>
      <c r="AD36" s="246">
        <v>1</v>
      </c>
      <c r="AE36" s="246">
        <v>0</v>
      </c>
      <c r="AF36" s="246">
        <v>1</v>
      </c>
      <c r="AG36" s="246">
        <v>0</v>
      </c>
      <c r="AH36" s="246">
        <v>0</v>
      </c>
      <c r="AI36" s="246">
        <v>0</v>
      </c>
      <c r="AJ36" s="246">
        <v>1</v>
      </c>
      <c r="AK36" s="246">
        <v>0</v>
      </c>
      <c r="AL36" s="247">
        <v>0</v>
      </c>
      <c r="AM36" s="248">
        <v>0</v>
      </c>
      <c r="AN36" s="246">
        <v>0</v>
      </c>
      <c r="AO36" s="246">
        <v>0</v>
      </c>
      <c r="AP36" s="246">
        <v>0</v>
      </c>
      <c r="AQ36" s="246">
        <v>0</v>
      </c>
      <c r="AR36" s="246">
        <v>1</v>
      </c>
      <c r="AS36" s="246">
        <v>0</v>
      </c>
      <c r="AT36" s="246">
        <v>0</v>
      </c>
      <c r="AU36" s="246">
        <v>0</v>
      </c>
      <c r="AV36" s="246">
        <v>0</v>
      </c>
      <c r="AW36" s="246">
        <v>0</v>
      </c>
      <c r="AX36" s="247">
        <v>0</v>
      </c>
      <c r="AY36" s="246">
        <v>0</v>
      </c>
      <c r="AZ36" s="246">
        <v>0</v>
      </c>
      <c r="BA36" s="246">
        <v>0</v>
      </c>
      <c r="BB36" s="246">
        <v>0</v>
      </c>
      <c r="BC36" s="246">
        <v>0</v>
      </c>
      <c r="BD36" s="246">
        <v>0</v>
      </c>
      <c r="BE36" s="246">
        <v>0</v>
      </c>
      <c r="BF36" s="246">
        <v>0</v>
      </c>
      <c r="BG36" s="246">
        <v>0</v>
      </c>
      <c r="BH36" s="246">
        <v>0</v>
      </c>
      <c r="BI36" s="346"/>
      <c r="BJ36" s="347"/>
      <c r="BK36" s="340"/>
      <c r="BL36" s="341"/>
      <c r="BM36" s="246">
        <v>0</v>
      </c>
      <c r="BN36" s="246">
        <v>0</v>
      </c>
      <c r="BO36" s="246">
        <v>0</v>
      </c>
      <c r="BP36" s="246">
        <v>0</v>
      </c>
      <c r="BQ36" s="246">
        <v>0</v>
      </c>
      <c r="BR36" s="246">
        <v>0</v>
      </c>
      <c r="BS36" s="246">
        <v>0</v>
      </c>
      <c r="BT36" s="246">
        <v>0</v>
      </c>
      <c r="BU36" s="246">
        <v>0</v>
      </c>
      <c r="BV36" s="249">
        <v>0</v>
      </c>
    </row>
    <row r="37" spans="1:74" ht="17" thickBot="1" x14ac:dyDescent="0.35">
      <c r="A37" s="279" t="s">
        <v>70</v>
      </c>
      <c r="B37" s="243" t="s">
        <v>401</v>
      </c>
      <c r="C37" s="277">
        <v>0</v>
      </c>
      <c r="D37" s="268">
        <v>0</v>
      </c>
      <c r="E37" s="268">
        <v>0</v>
      </c>
      <c r="F37" s="268">
        <v>0</v>
      </c>
      <c r="G37" s="268">
        <v>1</v>
      </c>
      <c r="H37" s="268">
        <v>0</v>
      </c>
      <c r="I37" s="268">
        <v>0</v>
      </c>
      <c r="J37" s="268">
        <v>0</v>
      </c>
      <c r="K37" s="268">
        <v>0</v>
      </c>
      <c r="L37" s="268">
        <v>0</v>
      </c>
      <c r="M37" s="268">
        <v>0</v>
      </c>
      <c r="N37" s="270">
        <v>0</v>
      </c>
      <c r="O37" s="268">
        <v>1</v>
      </c>
      <c r="P37" s="268">
        <v>0</v>
      </c>
      <c r="Q37" s="268">
        <v>0</v>
      </c>
      <c r="R37" s="268">
        <v>0</v>
      </c>
      <c r="S37" s="268">
        <v>0</v>
      </c>
      <c r="T37" s="268">
        <v>0</v>
      </c>
      <c r="U37" s="268">
        <v>0</v>
      </c>
      <c r="V37" s="268">
        <v>1</v>
      </c>
      <c r="W37" s="268">
        <v>0</v>
      </c>
      <c r="X37" s="268">
        <v>0</v>
      </c>
      <c r="Y37" s="268">
        <v>0</v>
      </c>
      <c r="Z37" s="270">
        <v>0</v>
      </c>
      <c r="AA37" s="268">
        <v>0</v>
      </c>
      <c r="AB37" s="268">
        <v>1</v>
      </c>
      <c r="AC37" s="268">
        <v>0</v>
      </c>
      <c r="AD37" s="268">
        <v>1</v>
      </c>
      <c r="AE37" s="268">
        <v>0</v>
      </c>
      <c r="AF37" s="268">
        <v>1</v>
      </c>
      <c r="AG37" s="268">
        <v>0</v>
      </c>
      <c r="AH37" s="268">
        <v>0</v>
      </c>
      <c r="AI37" s="268">
        <v>0</v>
      </c>
      <c r="AJ37" s="268">
        <v>1</v>
      </c>
      <c r="AK37" s="268">
        <v>0</v>
      </c>
      <c r="AL37" s="270">
        <v>0</v>
      </c>
      <c r="AM37" s="269">
        <v>0</v>
      </c>
      <c r="AN37" s="268">
        <v>0</v>
      </c>
      <c r="AO37" s="268">
        <v>0</v>
      </c>
      <c r="AP37" s="268">
        <v>0</v>
      </c>
      <c r="AQ37" s="268">
        <v>0</v>
      </c>
      <c r="AR37" s="268">
        <v>1</v>
      </c>
      <c r="AS37" s="268">
        <v>0</v>
      </c>
      <c r="AT37" s="268">
        <v>0</v>
      </c>
      <c r="AU37" s="268">
        <v>0</v>
      </c>
      <c r="AV37" s="268">
        <v>0</v>
      </c>
      <c r="AW37" s="268">
        <v>0</v>
      </c>
      <c r="AX37" s="270">
        <v>0</v>
      </c>
      <c r="AY37" s="268">
        <v>0</v>
      </c>
      <c r="AZ37" s="268">
        <v>0</v>
      </c>
      <c r="BA37" s="268">
        <v>0</v>
      </c>
      <c r="BB37" s="268">
        <v>0</v>
      </c>
      <c r="BC37" s="268">
        <v>0</v>
      </c>
      <c r="BD37" s="268">
        <v>0</v>
      </c>
      <c r="BE37" s="268">
        <v>0</v>
      </c>
      <c r="BF37" s="268">
        <v>0</v>
      </c>
      <c r="BG37" s="268">
        <v>0</v>
      </c>
      <c r="BH37" s="268">
        <v>0</v>
      </c>
      <c r="BI37" s="348"/>
      <c r="BJ37" s="349"/>
      <c r="BK37" s="342"/>
      <c r="BL37" s="343"/>
      <c r="BM37" s="268">
        <v>0</v>
      </c>
      <c r="BN37" s="268">
        <v>0</v>
      </c>
      <c r="BO37" s="268">
        <v>0</v>
      </c>
      <c r="BP37" s="268">
        <v>0</v>
      </c>
      <c r="BQ37" s="268">
        <v>0</v>
      </c>
      <c r="BR37" s="268">
        <v>0</v>
      </c>
      <c r="BS37" s="268">
        <v>0</v>
      </c>
      <c r="BT37" s="268">
        <v>0</v>
      </c>
      <c r="BU37" s="268">
        <v>0</v>
      </c>
      <c r="BV37" s="271">
        <v>0</v>
      </c>
    </row>
    <row r="38" spans="1:74" ht="17" thickBot="1" x14ac:dyDescent="0.5">
      <c r="A38" s="74" t="s">
        <v>67</v>
      </c>
      <c r="B38" s="239" t="s">
        <v>403</v>
      </c>
      <c r="C38" s="207">
        <v>0</v>
      </c>
      <c r="D38" s="208">
        <v>0</v>
      </c>
      <c r="E38" s="208">
        <v>0</v>
      </c>
      <c r="F38" s="208">
        <v>0</v>
      </c>
      <c r="G38" s="208">
        <v>0</v>
      </c>
      <c r="H38" s="208">
        <v>0</v>
      </c>
      <c r="I38" s="208">
        <v>1</v>
      </c>
      <c r="J38" s="208">
        <v>0</v>
      </c>
      <c r="K38" s="208">
        <v>0</v>
      </c>
      <c r="L38" s="208">
        <v>0</v>
      </c>
      <c r="M38" s="208">
        <v>1</v>
      </c>
      <c r="N38" s="209">
        <v>0</v>
      </c>
      <c r="O38" s="208">
        <v>2</v>
      </c>
      <c r="P38" s="208">
        <v>0</v>
      </c>
      <c r="Q38" s="208">
        <v>1</v>
      </c>
      <c r="R38" s="208">
        <v>0</v>
      </c>
      <c r="S38" s="208">
        <v>0</v>
      </c>
      <c r="T38" s="208">
        <v>0</v>
      </c>
      <c r="U38" s="208">
        <v>0</v>
      </c>
      <c r="V38" s="208">
        <v>0</v>
      </c>
      <c r="W38" s="208">
        <v>0</v>
      </c>
      <c r="X38" s="210">
        <v>0</v>
      </c>
      <c r="Y38" s="210">
        <v>0</v>
      </c>
      <c r="Z38" s="211">
        <v>0</v>
      </c>
      <c r="AA38" s="212">
        <v>1</v>
      </c>
      <c r="AB38" s="210">
        <v>0</v>
      </c>
      <c r="AC38" s="210">
        <v>0</v>
      </c>
      <c r="AD38" s="210">
        <v>0</v>
      </c>
      <c r="AE38" s="210">
        <v>0</v>
      </c>
      <c r="AF38" s="210">
        <v>0</v>
      </c>
      <c r="AG38" s="210">
        <v>0</v>
      </c>
      <c r="AH38" s="210">
        <v>1</v>
      </c>
      <c r="AI38" s="210">
        <v>0</v>
      </c>
      <c r="AJ38" s="210">
        <v>0</v>
      </c>
      <c r="AK38" s="210">
        <v>0</v>
      </c>
      <c r="AL38" s="211">
        <v>1</v>
      </c>
      <c r="AM38" s="242">
        <v>0</v>
      </c>
      <c r="AN38" s="208">
        <v>0</v>
      </c>
      <c r="AO38" s="208">
        <v>0</v>
      </c>
      <c r="AP38" s="208">
        <v>0</v>
      </c>
      <c r="AQ38" s="208">
        <v>0</v>
      </c>
      <c r="AR38" s="208">
        <v>0</v>
      </c>
      <c r="AS38" s="208">
        <v>0</v>
      </c>
      <c r="AT38" s="208">
        <v>0</v>
      </c>
      <c r="AU38" s="208">
        <v>1</v>
      </c>
      <c r="AV38" s="208">
        <v>0</v>
      </c>
      <c r="AW38" s="208">
        <v>0</v>
      </c>
      <c r="AX38" s="209">
        <v>0</v>
      </c>
      <c r="AY38" s="212">
        <v>0</v>
      </c>
      <c r="AZ38" s="210">
        <v>0</v>
      </c>
      <c r="BA38" s="210">
        <v>0</v>
      </c>
      <c r="BB38" s="210">
        <v>0</v>
      </c>
      <c r="BC38" s="210">
        <v>0</v>
      </c>
      <c r="BD38" s="210">
        <v>0</v>
      </c>
      <c r="BE38" s="210">
        <v>0</v>
      </c>
      <c r="BF38" s="210">
        <v>0</v>
      </c>
      <c r="BG38" s="210">
        <v>0</v>
      </c>
      <c r="BH38" s="210">
        <v>0</v>
      </c>
      <c r="BI38" s="210">
        <v>0</v>
      </c>
      <c r="BJ38" s="211">
        <v>0</v>
      </c>
      <c r="BK38" s="242">
        <v>0</v>
      </c>
      <c r="BL38" s="335" t="s">
        <v>57</v>
      </c>
      <c r="BM38" s="338" t="s">
        <v>30</v>
      </c>
      <c r="BN38" s="339"/>
      <c r="BO38" s="208">
        <v>1</v>
      </c>
      <c r="BP38" s="210">
        <v>0</v>
      </c>
      <c r="BQ38" s="210">
        <v>0</v>
      </c>
      <c r="BR38" s="210">
        <v>0</v>
      </c>
      <c r="BS38" s="208">
        <v>1</v>
      </c>
      <c r="BT38" s="208">
        <v>0</v>
      </c>
      <c r="BU38" s="208">
        <v>0</v>
      </c>
      <c r="BV38" s="278">
        <v>0</v>
      </c>
    </row>
    <row r="39" spans="1:74" ht="17" thickBot="1" x14ac:dyDescent="0.5">
      <c r="A39" s="147" t="s">
        <v>67</v>
      </c>
      <c r="B39" s="243" t="s">
        <v>398</v>
      </c>
      <c r="C39" s="250">
        <v>0</v>
      </c>
      <c r="D39" s="251">
        <v>0</v>
      </c>
      <c r="E39" s="251">
        <v>0</v>
      </c>
      <c r="F39" s="251">
        <v>0</v>
      </c>
      <c r="G39" s="251">
        <v>0</v>
      </c>
      <c r="H39" s="251">
        <v>0</v>
      </c>
      <c r="I39" s="251">
        <v>1</v>
      </c>
      <c r="J39" s="251">
        <v>0</v>
      </c>
      <c r="K39" s="251">
        <v>0</v>
      </c>
      <c r="L39" s="251">
        <v>0</v>
      </c>
      <c r="M39" s="251">
        <v>1</v>
      </c>
      <c r="N39" s="252">
        <v>0</v>
      </c>
      <c r="O39" s="251">
        <v>2</v>
      </c>
      <c r="P39" s="251">
        <v>0</v>
      </c>
      <c r="Q39" s="251">
        <v>1</v>
      </c>
      <c r="R39" s="251">
        <v>0</v>
      </c>
      <c r="S39" s="251">
        <v>0</v>
      </c>
      <c r="T39" s="251">
        <v>0</v>
      </c>
      <c r="U39" s="251">
        <v>0</v>
      </c>
      <c r="V39" s="251">
        <v>0</v>
      </c>
      <c r="W39" s="251">
        <v>0</v>
      </c>
      <c r="X39" s="253">
        <v>0</v>
      </c>
      <c r="Y39" s="253">
        <v>0</v>
      </c>
      <c r="Z39" s="254">
        <v>0</v>
      </c>
      <c r="AA39" s="255">
        <v>1</v>
      </c>
      <c r="AB39" s="253">
        <v>0</v>
      </c>
      <c r="AC39" s="253">
        <v>0</v>
      </c>
      <c r="AD39" s="253">
        <v>0</v>
      </c>
      <c r="AE39" s="253">
        <v>0</v>
      </c>
      <c r="AF39" s="253">
        <v>0</v>
      </c>
      <c r="AG39" s="253">
        <v>0</v>
      </c>
      <c r="AH39" s="253">
        <v>1</v>
      </c>
      <c r="AI39" s="253">
        <v>0</v>
      </c>
      <c r="AJ39" s="253">
        <v>0</v>
      </c>
      <c r="AK39" s="253">
        <v>0</v>
      </c>
      <c r="AL39" s="254">
        <v>1</v>
      </c>
      <c r="AM39" s="256">
        <v>0</v>
      </c>
      <c r="AN39" s="251">
        <v>0</v>
      </c>
      <c r="AO39" s="251">
        <v>0</v>
      </c>
      <c r="AP39" s="251">
        <v>0</v>
      </c>
      <c r="AQ39" s="251">
        <v>0</v>
      </c>
      <c r="AR39" s="251">
        <v>0</v>
      </c>
      <c r="AS39" s="251">
        <v>0</v>
      </c>
      <c r="AT39" s="251">
        <v>0</v>
      </c>
      <c r="AU39" s="251">
        <v>0</v>
      </c>
      <c r="AV39" s="251">
        <v>0</v>
      </c>
      <c r="AW39" s="251">
        <v>0</v>
      </c>
      <c r="AX39" s="252">
        <v>0</v>
      </c>
      <c r="AY39" s="255">
        <v>0</v>
      </c>
      <c r="AZ39" s="253">
        <v>0</v>
      </c>
      <c r="BA39" s="253">
        <v>0</v>
      </c>
      <c r="BB39" s="253">
        <v>0</v>
      </c>
      <c r="BC39" s="253">
        <v>0</v>
      </c>
      <c r="BD39" s="253">
        <v>0</v>
      </c>
      <c r="BE39" s="253">
        <v>0</v>
      </c>
      <c r="BF39" s="253">
        <v>0</v>
      </c>
      <c r="BG39" s="253">
        <v>0</v>
      </c>
      <c r="BH39" s="253">
        <v>0</v>
      </c>
      <c r="BI39" s="253">
        <v>0</v>
      </c>
      <c r="BJ39" s="254">
        <v>0</v>
      </c>
      <c r="BK39" s="256">
        <v>0</v>
      </c>
      <c r="BL39" s="336"/>
      <c r="BM39" s="340"/>
      <c r="BN39" s="341"/>
      <c r="BO39" s="251">
        <v>1</v>
      </c>
      <c r="BP39" s="253">
        <v>0</v>
      </c>
      <c r="BQ39" s="253">
        <v>0</v>
      </c>
      <c r="BR39" s="253">
        <v>0</v>
      </c>
      <c r="BS39" s="251">
        <v>1</v>
      </c>
      <c r="BT39" s="251">
        <v>0</v>
      </c>
      <c r="BU39" s="251">
        <v>0</v>
      </c>
      <c r="BV39" s="257">
        <v>0</v>
      </c>
    </row>
    <row r="40" spans="1:74" ht="17" thickBot="1" x14ac:dyDescent="0.5">
      <c r="A40" s="147" t="s">
        <v>67</v>
      </c>
      <c r="B40" s="243" t="s">
        <v>404</v>
      </c>
      <c r="C40" s="258">
        <v>0</v>
      </c>
      <c r="D40" s="259">
        <v>0</v>
      </c>
      <c r="E40" s="259">
        <v>0</v>
      </c>
      <c r="F40" s="259">
        <v>0</v>
      </c>
      <c r="G40" s="259">
        <v>0</v>
      </c>
      <c r="H40" s="259">
        <v>0</v>
      </c>
      <c r="I40" s="259">
        <v>1</v>
      </c>
      <c r="J40" s="259">
        <v>0</v>
      </c>
      <c r="K40" s="259">
        <v>0</v>
      </c>
      <c r="L40" s="259">
        <v>0</v>
      </c>
      <c r="M40" s="259">
        <v>0</v>
      </c>
      <c r="N40" s="260">
        <v>0</v>
      </c>
      <c r="O40" s="259">
        <v>0</v>
      </c>
      <c r="P40" s="259">
        <v>0</v>
      </c>
      <c r="Q40" s="259">
        <v>1</v>
      </c>
      <c r="R40" s="259">
        <v>0</v>
      </c>
      <c r="S40" s="259">
        <v>0</v>
      </c>
      <c r="T40" s="259">
        <v>0</v>
      </c>
      <c r="U40" s="259">
        <v>0</v>
      </c>
      <c r="V40" s="259">
        <v>0</v>
      </c>
      <c r="W40" s="259">
        <v>0</v>
      </c>
      <c r="X40" s="261">
        <v>0</v>
      </c>
      <c r="Y40" s="261">
        <v>0</v>
      </c>
      <c r="Z40" s="262">
        <v>0</v>
      </c>
      <c r="AA40" s="263">
        <v>1</v>
      </c>
      <c r="AB40" s="261">
        <v>0</v>
      </c>
      <c r="AC40" s="261">
        <v>0</v>
      </c>
      <c r="AD40" s="261">
        <v>0</v>
      </c>
      <c r="AE40" s="261">
        <v>0</v>
      </c>
      <c r="AF40" s="261">
        <v>0</v>
      </c>
      <c r="AG40" s="261">
        <v>0</v>
      </c>
      <c r="AH40" s="261">
        <v>0</v>
      </c>
      <c r="AI40" s="261">
        <v>0</v>
      </c>
      <c r="AJ40" s="261">
        <v>0</v>
      </c>
      <c r="AK40" s="261">
        <v>0</v>
      </c>
      <c r="AL40" s="262">
        <v>1</v>
      </c>
      <c r="AM40" s="264">
        <v>0</v>
      </c>
      <c r="AN40" s="259">
        <v>0</v>
      </c>
      <c r="AO40" s="259">
        <v>0</v>
      </c>
      <c r="AP40" s="259">
        <v>0</v>
      </c>
      <c r="AQ40" s="259">
        <v>0</v>
      </c>
      <c r="AR40" s="259">
        <v>0</v>
      </c>
      <c r="AS40" s="259">
        <v>0</v>
      </c>
      <c r="AT40" s="259">
        <v>0</v>
      </c>
      <c r="AU40" s="259">
        <v>0</v>
      </c>
      <c r="AV40" s="259">
        <v>0</v>
      </c>
      <c r="AW40" s="259">
        <v>0</v>
      </c>
      <c r="AX40" s="260">
        <v>0</v>
      </c>
      <c r="AY40" s="263">
        <v>0</v>
      </c>
      <c r="AZ40" s="261">
        <v>0</v>
      </c>
      <c r="BA40" s="261">
        <v>0</v>
      </c>
      <c r="BB40" s="261">
        <v>0</v>
      </c>
      <c r="BC40" s="261">
        <v>0</v>
      </c>
      <c r="BD40" s="261">
        <v>0</v>
      </c>
      <c r="BE40" s="261">
        <v>0</v>
      </c>
      <c r="BF40" s="261">
        <v>0</v>
      </c>
      <c r="BG40" s="261">
        <v>0</v>
      </c>
      <c r="BH40" s="261">
        <v>0</v>
      </c>
      <c r="BI40" s="261">
        <v>0</v>
      </c>
      <c r="BJ40" s="262">
        <v>0</v>
      </c>
      <c r="BK40" s="264">
        <v>0</v>
      </c>
      <c r="BL40" s="336"/>
      <c r="BM40" s="340"/>
      <c r="BN40" s="341"/>
      <c r="BO40" s="259">
        <v>1</v>
      </c>
      <c r="BP40" s="261">
        <v>0</v>
      </c>
      <c r="BQ40" s="261">
        <v>0</v>
      </c>
      <c r="BR40" s="261">
        <v>0</v>
      </c>
      <c r="BS40" s="259">
        <v>0</v>
      </c>
      <c r="BT40" s="259">
        <v>0</v>
      </c>
      <c r="BU40" s="259">
        <v>0</v>
      </c>
      <c r="BV40" s="265">
        <v>0</v>
      </c>
    </row>
    <row r="41" spans="1:74" ht="17" thickBot="1" x14ac:dyDescent="0.35">
      <c r="A41" s="147" t="s">
        <v>67</v>
      </c>
      <c r="B41" s="243" t="s">
        <v>399</v>
      </c>
      <c r="C41" s="272">
        <v>0</v>
      </c>
      <c r="D41" s="273">
        <v>0</v>
      </c>
      <c r="E41" s="273">
        <v>0</v>
      </c>
      <c r="F41" s="273">
        <v>0</v>
      </c>
      <c r="G41" s="273">
        <v>0</v>
      </c>
      <c r="H41" s="273">
        <v>0</v>
      </c>
      <c r="I41" s="273">
        <v>1</v>
      </c>
      <c r="J41" s="273">
        <v>0</v>
      </c>
      <c r="K41" s="273">
        <v>0</v>
      </c>
      <c r="L41" s="273">
        <v>0</v>
      </c>
      <c r="M41" s="273">
        <v>1</v>
      </c>
      <c r="N41" s="275">
        <v>0</v>
      </c>
      <c r="O41" s="273">
        <v>2</v>
      </c>
      <c r="P41" s="273">
        <v>0</v>
      </c>
      <c r="Q41" s="273">
        <v>1</v>
      </c>
      <c r="R41" s="273">
        <v>0</v>
      </c>
      <c r="S41" s="273">
        <v>0</v>
      </c>
      <c r="T41" s="273">
        <v>0</v>
      </c>
      <c r="U41" s="273">
        <v>0</v>
      </c>
      <c r="V41" s="273">
        <v>0</v>
      </c>
      <c r="W41" s="273">
        <v>0</v>
      </c>
      <c r="X41" s="273">
        <v>0</v>
      </c>
      <c r="Y41" s="273">
        <v>0</v>
      </c>
      <c r="Z41" s="275">
        <v>0</v>
      </c>
      <c r="AA41" s="273">
        <v>1</v>
      </c>
      <c r="AB41" s="273">
        <v>0</v>
      </c>
      <c r="AC41" s="273">
        <v>0</v>
      </c>
      <c r="AD41" s="273">
        <v>0</v>
      </c>
      <c r="AE41" s="273">
        <v>0</v>
      </c>
      <c r="AF41" s="273">
        <v>0</v>
      </c>
      <c r="AG41" s="273">
        <v>0</v>
      </c>
      <c r="AH41" s="273">
        <v>1</v>
      </c>
      <c r="AI41" s="273">
        <v>0</v>
      </c>
      <c r="AJ41" s="273">
        <v>0</v>
      </c>
      <c r="AK41" s="273">
        <v>0</v>
      </c>
      <c r="AL41" s="275">
        <v>1</v>
      </c>
      <c r="AM41" s="274">
        <v>0</v>
      </c>
      <c r="AN41" s="273">
        <v>0</v>
      </c>
      <c r="AO41" s="273">
        <v>0</v>
      </c>
      <c r="AP41" s="273">
        <v>0</v>
      </c>
      <c r="AQ41" s="273">
        <v>0</v>
      </c>
      <c r="AR41" s="273">
        <v>0</v>
      </c>
      <c r="AS41" s="273">
        <v>0</v>
      </c>
      <c r="AT41" s="273">
        <v>0</v>
      </c>
      <c r="AU41" s="273">
        <v>0</v>
      </c>
      <c r="AV41" s="273">
        <v>0</v>
      </c>
      <c r="AW41" s="273">
        <v>0</v>
      </c>
      <c r="AX41" s="275">
        <v>0</v>
      </c>
      <c r="AY41" s="273">
        <v>0</v>
      </c>
      <c r="AZ41" s="273">
        <v>0</v>
      </c>
      <c r="BA41" s="273">
        <v>0</v>
      </c>
      <c r="BB41" s="273">
        <v>0</v>
      </c>
      <c r="BC41" s="273">
        <v>0</v>
      </c>
      <c r="BD41" s="273">
        <v>0</v>
      </c>
      <c r="BE41" s="273">
        <v>0</v>
      </c>
      <c r="BF41" s="273">
        <v>0</v>
      </c>
      <c r="BG41" s="273">
        <v>0</v>
      </c>
      <c r="BH41" s="273">
        <v>0</v>
      </c>
      <c r="BI41" s="273">
        <v>0</v>
      </c>
      <c r="BJ41" s="275">
        <v>0</v>
      </c>
      <c r="BK41" s="274">
        <v>0</v>
      </c>
      <c r="BL41" s="336"/>
      <c r="BM41" s="340"/>
      <c r="BN41" s="341"/>
      <c r="BO41" s="273">
        <v>1</v>
      </c>
      <c r="BP41" s="273">
        <v>0</v>
      </c>
      <c r="BQ41" s="273">
        <v>0</v>
      </c>
      <c r="BR41" s="273">
        <v>0</v>
      </c>
      <c r="BS41" s="273">
        <v>1</v>
      </c>
      <c r="BT41" s="273">
        <v>0</v>
      </c>
      <c r="BU41" s="273">
        <v>0</v>
      </c>
      <c r="BV41" s="276">
        <v>0</v>
      </c>
    </row>
    <row r="42" spans="1:74" ht="17" thickBot="1" x14ac:dyDescent="0.35">
      <c r="A42" s="147" t="s">
        <v>67</v>
      </c>
      <c r="B42" s="243" t="s">
        <v>400</v>
      </c>
      <c r="C42" s="245">
        <v>0</v>
      </c>
      <c r="D42" s="246">
        <v>0</v>
      </c>
      <c r="E42" s="246">
        <v>0</v>
      </c>
      <c r="F42" s="246">
        <v>0</v>
      </c>
      <c r="G42" s="246">
        <v>0</v>
      </c>
      <c r="H42" s="246">
        <v>0</v>
      </c>
      <c r="I42" s="246">
        <v>0</v>
      </c>
      <c r="J42" s="246">
        <v>0</v>
      </c>
      <c r="K42" s="246">
        <v>0</v>
      </c>
      <c r="L42" s="246">
        <v>0</v>
      </c>
      <c r="M42" s="246">
        <v>1</v>
      </c>
      <c r="N42" s="247">
        <v>0</v>
      </c>
      <c r="O42" s="246">
        <v>2</v>
      </c>
      <c r="P42" s="246">
        <v>0</v>
      </c>
      <c r="Q42" s="246">
        <v>0</v>
      </c>
      <c r="R42" s="246">
        <v>0</v>
      </c>
      <c r="S42" s="246">
        <v>0</v>
      </c>
      <c r="T42" s="246">
        <v>0</v>
      </c>
      <c r="U42" s="246">
        <v>0</v>
      </c>
      <c r="V42" s="246">
        <v>0</v>
      </c>
      <c r="W42" s="246">
        <v>0</v>
      </c>
      <c r="X42" s="246">
        <v>0</v>
      </c>
      <c r="Y42" s="246">
        <v>0</v>
      </c>
      <c r="Z42" s="247">
        <v>0</v>
      </c>
      <c r="AA42" s="246">
        <v>0</v>
      </c>
      <c r="AB42" s="246">
        <v>0</v>
      </c>
      <c r="AC42" s="246">
        <v>0</v>
      </c>
      <c r="AD42" s="246">
        <v>0</v>
      </c>
      <c r="AE42" s="246">
        <v>0</v>
      </c>
      <c r="AF42" s="246">
        <v>0</v>
      </c>
      <c r="AG42" s="246">
        <v>0</v>
      </c>
      <c r="AH42" s="246">
        <v>1</v>
      </c>
      <c r="AI42" s="246">
        <v>0</v>
      </c>
      <c r="AJ42" s="246">
        <v>0</v>
      </c>
      <c r="AK42" s="246">
        <v>0</v>
      </c>
      <c r="AL42" s="247">
        <v>0</v>
      </c>
      <c r="AM42" s="248">
        <v>0</v>
      </c>
      <c r="AN42" s="246">
        <v>0</v>
      </c>
      <c r="AO42" s="246">
        <v>0</v>
      </c>
      <c r="AP42" s="246">
        <v>0</v>
      </c>
      <c r="AQ42" s="246">
        <v>0</v>
      </c>
      <c r="AR42" s="246">
        <v>0</v>
      </c>
      <c r="AS42" s="246">
        <v>0</v>
      </c>
      <c r="AT42" s="246">
        <v>0</v>
      </c>
      <c r="AU42" s="246">
        <v>0</v>
      </c>
      <c r="AV42" s="246">
        <v>0</v>
      </c>
      <c r="AW42" s="246">
        <v>0</v>
      </c>
      <c r="AX42" s="247">
        <v>0</v>
      </c>
      <c r="AY42" s="246">
        <v>0</v>
      </c>
      <c r="AZ42" s="246">
        <v>0</v>
      </c>
      <c r="BA42" s="246">
        <v>0</v>
      </c>
      <c r="BB42" s="246">
        <v>0</v>
      </c>
      <c r="BC42" s="246">
        <v>0</v>
      </c>
      <c r="BD42" s="246">
        <v>0</v>
      </c>
      <c r="BE42" s="246">
        <v>0</v>
      </c>
      <c r="BF42" s="246">
        <v>0</v>
      </c>
      <c r="BG42" s="246">
        <v>0</v>
      </c>
      <c r="BH42" s="246">
        <v>0</v>
      </c>
      <c r="BI42" s="246">
        <v>0</v>
      </c>
      <c r="BJ42" s="247">
        <v>0</v>
      </c>
      <c r="BK42" s="248">
        <v>0</v>
      </c>
      <c r="BL42" s="336"/>
      <c r="BM42" s="340"/>
      <c r="BN42" s="341"/>
      <c r="BO42" s="246">
        <v>0</v>
      </c>
      <c r="BP42" s="246">
        <v>0</v>
      </c>
      <c r="BQ42" s="246">
        <v>0</v>
      </c>
      <c r="BR42" s="246">
        <v>0</v>
      </c>
      <c r="BS42" s="246">
        <v>0</v>
      </c>
      <c r="BT42" s="246">
        <v>0</v>
      </c>
      <c r="BU42" s="246">
        <v>0</v>
      </c>
      <c r="BV42" s="249">
        <v>0</v>
      </c>
    </row>
    <row r="43" spans="1:74" ht="17" thickBot="1" x14ac:dyDescent="0.35">
      <c r="A43" s="279" t="s">
        <v>67</v>
      </c>
      <c r="B43" s="244" t="s">
        <v>401</v>
      </c>
      <c r="C43" s="277">
        <v>0</v>
      </c>
      <c r="D43" s="268">
        <v>0</v>
      </c>
      <c r="E43" s="268">
        <v>0</v>
      </c>
      <c r="F43" s="268">
        <v>0</v>
      </c>
      <c r="G43" s="268">
        <v>0</v>
      </c>
      <c r="H43" s="268">
        <v>0</v>
      </c>
      <c r="I43" s="268">
        <v>0</v>
      </c>
      <c r="J43" s="268">
        <v>0</v>
      </c>
      <c r="K43" s="268">
        <v>0</v>
      </c>
      <c r="L43" s="268">
        <v>0</v>
      </c>
      <c r="M43" s="268">
        <v>1</v>
      </c>
      <c r="N43" s="270">
        <v>0</v>
      </c>
      <c r="O43" s="268">
        <v>2</v>
      </c>
      <c r="P43" s="268">
        <v>0</v>
      </c>
      <c r="Q43" s="268">
        <v>0</v>
      </c>
      <c r="R43" s="268">
        <v>0</v>
      </c>
      <c r="S43" s="268">
        <v>0</v>
      </c>
      <c r="T43" s="268">
        <v>0</v>
      </c>
      <c r="U43" s="268">
        <v>0</v>
      </c>
      <c r="V43" s="268">
        <v>0</v>
      </c>
      <c r="W43" s="268">
        <v>0</v>
      </c>
      <c r="X43" s="268">
        <v>0</v>
      </c>
      <c r="Y43" s="268">
        <v>0</v>
      </c>
      <c r="Z43" s="270">
        <v>0</v>
      </c>
      <c r="AA43" s="268">
        <v>0</v>
      </c>
      <c r="AB43" s="268">
        <v>0</v>
      </c>
      <c r="AC43" s="268">
        <v>0</v>
      </c>
      <c r="AD43" s="268">
        <v>0</v>
      </c>
      <c r="AE43" s="268">
        <v>0</v>
      </c>
      <c r="AF43" s="268">
        <v>0</v>
      </c>
      <c r="AG43" s="268">
        <v>0</v>
      </c>
      <c r="AH43" s="268">
        <v>1</v>
      </c>
      <c r="AI43" s="268">
        <v>0</v>
      </c>
      <c r="AJ43" s="268">
        <v>0</v>
      </c>
      <c r="AK43" s="268">
        <v>0</v>
      </c>
      <c r="AL43" s="270">
        <v>0</v>
      </c>
      <c r="AM43" s="269">
        <v>0</v>
      </c>
      <c r="AN43" s="268">
        <v>0</v>
      </c>
      <c r="AO43" s="268">
        <v>0</v>
      </c>
      <c r="AP43" s="268">
        <v>0</v>
      </c>
      <c r="AQ43" s="268">
        <v>0</v>
      </c>
      <c r="AR43" s="268">
        <v>0</v>
      </c>
      <c r="AS43" s="268">
        <v>0</v>
      </c>
      <c r="AT43" s="268">
        <v>0</v>
      </c>
      <c r="AU43" s="268">
        <v>0</v>
      </c>
      <c r="AV43" s="268">
        <v>0</v>
      </c>
      <c r="AW43" s="268">
        <v>0</v>
      </c>
      <c r="AX43" s="270">
        <v>0</v>
      </c>
      <c r="AY43" s="268">
        <v>0</v>
      </c>
      <c r="AZ43" s="268">
        <v>0</v>
      </c>
      <c r="BA43" s="268">
        <v>0</v>
      </c>
      <c r="BB43" s="268">
        <v>0</v>
      </c>
      <c r="BC43" s="268">
        <v>0</v>
      </c>
      <c r="BD43" s="268">
        <v>0</v>
      </c>
      <c r="BE43" s="268">
        <v>0</v>
      </c>
      <c r="BF43" s="268">
        <v>0</v>
      </c>
      <c r="BG43" s="268">
        <v>0</v>
      </c>
      <c r="BH43" s="268">
        <v>0</v>
      </c>
      <c r="BI43" s="268">
        <v>0</v>
      </c>
      <c r="BJ43" s="270">
        <v>0</v>
      </c>
      <c r="BK43" s="269">
        <v>0</v>
      </c>
      <c r="BL43" s="337"/>
      <c r="BM43" s="342"/>
      <c r="BN43" s="343"/>
      <c r="BO43" s="268">
        <v>0</v>
      </c>
      <c r="BP43" s="268">
        <v>0</v>
      </c>
      <c r="BQ43" s="268">
        <v>0</v>
      </c>
      <c r="BR43" s="268">
        <v>0</v>
      </c>
      <c r="BS43" s="268">
        <v>0</v>
      </c>
      <c r="BT43" s="268">
        <v>0</v>
      </c>
      <c r="BU43" s="268">
        <v>0</v>
      </c>
      <c r="BV43" s="271">
        <v>0</v>
      </c>
    </row>
    <row r="44" spans="1:74" ht="17" thickBot="1" x14ac:dyDescent="0.5">
      <c r="A44" s="74" t="s">
        <v>266</v>
      </c>
      <c r="B44" s="239" t="s">
        <v>403</v>
      </c>
      <c r="C44" s="207">
        <v>1</v>
      </c>
      <c r="D44" s="208">
        <v>3</v>
      </c>
      <c r="E44" s="208">
        <v>2</v>
      </c>
      <c r="F44" s="208">
        <v>1</v>
      </c>
      <c r="G44" s="208">
        <v>0</v>
      </c>
      <c r="H44" s="208">
        <v>1</v>
      </c>
      <c r="I44" s="208">
        <v>3</v>
      </c>
      <c r="J44" s="208">
        <v>0</v>
      </c>
      <c r="K44" s="208">
        <v>1</v>
      </c>
      <c r="L44" s="208">
        <v>0</v>
      </c>
      <c r="M44" s="208">
        <v>0</v>
      </c>
      <c r="N44" s="209">
        <v>3</v>
      </c>
      <c r="O44" s="208">
        <v>4</v>
      </c>
      <c r="P44" s="208">
        <v>1</v>
      </c>
      <c r="Q44" s="208">
        <v>0</v>
      </c>
      <c r="R44" s="208">
        <v>3</v>
      </c>
      <c r="S44" s="208">
        <v>4</v>
      </c>
      <c r="T44" s="208">
        <v>2</v>
      </c>
      <c r="U44" s="208">
        <v>1</v>
      </c>
      <c r="V44" s="208">
        <v>1</v>
      </c>
      <c r="W44" s="208">
        <v>1</v>
      </c>
      <c r="X44" s="210">
        <v>1</v>
      </c>
      <c r="Y44" s="210">
        <v>0</v>
      </c>
      <c r="Z44" s="211">
        <v>1</v>
      </c>
      <c r="AA44" s="207">
        <v>2</v>
      </c>
      <c r="AB44" s="208">
        <v>1</v>
      </c>
      <c r="AC44" s="208">
        <v>1</v>
      </c>
      <c r="AD44" s="208">
        <v>0</v>
      </c>
      <c r="AE44" s="208">
        <v>2</v>
      </c>
      <c r="AF44" s="208">
        <v>3</v>
      </c>
      <c r="AG44" s="208">
        <v>2</v>
      </c>
      <c r="AH44" s="208">
        <v>0</v>
      </c>
      <c r="AI44" s="208">
        <v>2</v>
      </c>
      <c r="AJ44" s="208">
        <v>0</v>
      </c>
      <c r="AK44" s="208">
        <v>0</v>
      </c>
      <c r="AL44" s="209">
        <v>1</v>
      </c>
      <c r="AM44" s="208">
        <v>3</v>
      </c>
      <c r="AN44" s="208">
        <v>2</v>
      </c>
      <c r="AO44" s="208">
        <v>3</v>
      </c>
      <c r="AP44" s="208">
        <v>2</v>
      </c>
      <c r="AQ44" s="208">
        <v>1</v>
      </c>
      <c r="AR44" s="208">
        <v>0</v>
      </c>
      <c r="AS44" s="208">
        <v>2</v>
      </c>
      <c r="AT44" s="208">
        <v>1</v>
      </c>
      <c r="AU44" s="208">
        <v>0</v>
      </c>
      <c r="AV44" s="210">
        <v>0</v>
      </c>
      <c r="AW44" s="210">
        <v>3</v>
      </c>
      <c r="AX44" s="211">
        <v>3</v>
      </c>
      <c r="AY44" s="242">
        <v>2</v>
      </c>
      <c r="AZ44" s="208">
        <v>1</v>
      </c>
      <c r="BA44" s="208">
        <v>2</v>
      </c>
      <c r="BB44" s="208">
        <v>1</v>
      </c>
      <c r="BC44" s="208">
        <v>4</v>
      </c>
      <c r="BD44" s="208">
        <v>0</v>
      </c>
      <c r="BE44" s="208">
        <v>1</v>
      </c>
      <c r="BF44" s="208">
        <v>0</v>
      </c>
      <c r="BG44" s="208">
        <v>2</v>
      </c>
      <c r="BH44" s="208">
        <v>0</v>
      </c>
      <c r="BI44" s="208">
        <v>2</v>
      </c>
      <c r="BJ44" s="209">
        <v>0</v>
      </c>
      <c r="BK44" s="208">
        <v>0</v>
      </c>
      <c r="BL44" s="208">
        <v>5</v>
      </c>
      <c r="BM44" s="208">
        <v>3</v>
      </c>
      <c r="BN44" s="208">
        <v>1</v>
      </c>
      <c r="BO44" s="208">
        <v>2</v>
      </c>
      <c r="BP44" s="208">
        <v>1</v>
      </c>
      <c r="BQ44" s="208">
        <v>2</v>
      </c>
      <c r="BR44" s="208">
        <v>4</v>
      </c>
      <c r="BS44" s="208">
        <v>4</v>
      </c>
      <c r="BT44" s="210">
        <v>2</v>
      </c>
      <c r="BU44" s="210">
        <v>1</v>
      </c>
      <c r="BV44" s="213">
        <v>2</v>
      </c>
    </row>
    <row r="45" spans="1:74" ht="17" thickBot="1" x14ac:dyDescent="0.5">
      <c r="A45" s="147" t="s">
        <v>266</v>
      </c>
      <c r="B45" s="243" t="s">
        <v>398</v>
      </c>
      <c r="C45" s="250">
        <v>1</v>
      </c>
      <c r="D45" s="251">
        <v>3</v>
      </c>
      <c r="E45" s="251">
        <v>2</v>
      </c>
      <c r="F45" s="251">
        <v>1</v>
      </c>
      <c r="G45" s="251">
        <v>0</v>
      </c>
      <c r="H45" s="251">
        <v>1</v>
      </c>
      <c r="I45" s="251">
        <v>3</v>
      </c>
      <c r="J45" s="251">
        <v>0</v>
      </c>
      <c r="K45" s="251">
        <v>1</v>
      </c>
      <c r="L45" s="251">
        <v>0</v>
      </c>
      <c r="M45" s="251">
        <v>0</v>
      </c>
      <c r="N45" s="252">
        <v>2</v>
      </c>
      <c r="O45" s="251">
        <v>4</v>
      </c>
      <c r="P45" s="251">
        <v>1</v>
      </c>
      <c r="Q45" s="251">
        <v>0</v>
      </c>
      <c r="R45" s="251">
        <v>3</v>
      </c>
      <c r="S45" s="251">
        <v>3</v>
      </c>
      <c r="T45" s="251">
        <v>2</v>
      </c>
      <c r="U45" s="251">
        <v>1</v>
      </c>
      <c r="V45" s="251">
        <v>1</v>
      </c>
      <c r="W45" s="251">
        <v>1</v>
      </c>
      <c r="X45" s="253">
        <v>1</v>
      </c>
      <c r="Y45" s="253">
        <v>0</v>
      </c>
      <c r="Z45" s="254">
        <v>1</v>
      </c>
      <c r="AA45" s="250">
        <v>2</v>
      </c>
      <c r="AB45" s="251">
        <v>1</v>
      </c>
      <c r="AC45" s="251">
        <v>1</v>
      </c>
      <c r="AD45" s="251">
        <v>0</v>
      </c>
      <c r="AE45" s="251">
        <v>2</v>
      </c>
      <c r="AF45" s="251">
        <v>3</v>
      </c>
      <c r="AG45" s="251">
        <v>1</v>
      </c>
      <c r="AH45" s="251">
        <v>0</v>
      </c>
      <c r="AI45" s="251">
        <v>2</v>
      </c>
      <c r="AJ45" s="251">
        <v>0</v>
      </c>
      <c r="AK45" s="251">
        <v>0</v>
      </c>
      <c r="AL45" s="252">
        <v>1</v>
      </c>
      <c r="AM45" s="251">
        <v>3</v>
      </c>
      <c r="AN45" s="251">
        <v>1</v>
      </c>
      <c r="AO45" s="251">
        <v>3</v>
      </c>
      <c r="AP45" s="251">
        <v>2</v>
      </c>
      <c r="AQ45" s="251">
        <v>1</v>
      </c>
      <c r="AR45" s="251">
        <v>0</v>
      </c>
      <c r="AS45" s="251">
        <v>2</v>
      </c>
      <c r="AT45" s="251">
        <v>1</v>
      </c>
      <c r="AU45" s="251">
        <v>0</v>
      </c>
      <c r="AV45" s="253">
        <v>0</v>
      </c>
      <c r="AW45" s="253">
        <v>3</v>
      </c>
      <c r="AX45" s="254">
        <v>3</v>
      </c>
      <c r="AY45" s="256">
        <v>1</v>
      </c>
      <c r="AZ45" s="251">
        <v>1</v>
      </c>
      <c r="BA45" s="251">
        <v>1</v>
      </c>
      <c r="BB45" s="251">
        <v>1</v>
      </c>
      <c r="BC45" s="251">
        <v>4</v>
      </c>
      <c r="BD45" s="251">
        <v>0</v>
      </c>
      <c r="BE45" s="251">
        <v>1</v>
      </c>
      <c r="BF45" s="251">
        <v>0</v>
      </c>
      <c r="BG45" s="251">
        <v>2</v>
      </c>
      <c r="BH45" s="251">
        <v>0</v>
      </c>
      <c r="BI45" s="251">
        <v>2</v>
      </c>
      <c r="BJ45" s="252">
        <v>0</v>
      </c>
      <c r="BK45" s="251">
        <v>0</v>
      </c>
      <c r="BL45" s="251">
        <v>4</v>
      </c>
      <c r="BM45" s="251">
        <v>3</v>
      </c>
      <c r="BN45" s="251">
        <v>1</v>
      </c>
      <c r="BO45" s="251">
        <v>1</v>
      </c>
      <c r="BP45" s="251">
        <v>1</v>
      </c>
      <c r="BQ45" s="251">
        <v>2</v>
      </c>
      <c r="BR45" s="251">
        <v>2</v>
      </c>
      <c r="BS45" s="251">
        <v>4</v>
      </c>
      <c r="BT45" s="253">
        <v>2</v>
      </c>
      <c r="BU45" s="253">
        <v>0</v>
      </c>
      <c r="BV45" s="266">
        <v>2</v>
      </c>
    </row>
    <row r="46" spans="1:74" ht="17" thickBot="1" x14ac:dyDescent="0.5">
      <c r="A46" s="147" t="s">
        <v>266</v>
      </c>
      <c r="B46" s="243" t="s">
        <v>404</v>
      </c>
      <c r="C46" s="258">
        <v>0</v>
      </c>
      <c r="D46" s="259">
        <v>0</v>
      </c>
      <c r="E46" s="259">
        <v>0</v>
      </c>
      <c r="F46" s="259">
        <v>0</v>
      </c>
      <c r="G46" s="259">
        <v>0</v>
      </c>
      <c r="H46" s="259">
        <v>0</v>
      </c>
      <c r="I46" s="259">
        <v>1</v>
      </c>
      <c r="J46" s="259">
        <v>0</v>
      </c>
      <c r="K46" s="259">
        <v>0</v>
      </c>
      <c r="L46" s="259">
        <v>0</v>
      </c>
      <c r="M46" s="259">
        <v>0</v>
      </c>
      <c r="N46" s="260">
        <v>0</v>
      </c>
      <c r="O46" s="259">
        <v>0</v>
      </c>
      <c r="P46" s="259">
        <v>1</v>
      </c>
      <c r="Q46" s="259">
        <v>0</v>
      </c>
      <c r="R46" s="259">
        <v>0</v>
      </c>
      <c r="S46" s="259">
        <v>1</v>
      </c>
      <c r="T46" s="259">
        <v>0</v>
      </c>
      <c r="U46" s="259">
        <v>0</v>
      </c>
      <c r="V46" s="259">
        <v>0</v>
      </c>
      <c r="W46" s="259">
        <v>0</v>
      </c>
      <c r="X46" s="261">
        <v>0</v>
      </c>
      <c r="Y46" s="261">
        <v>0</v>
      </c>
      <c r="Z46" s="262">
        <v>0</v>
      </c>
      <c r="AA46" s="258">
        <v>0</v>
      </c>
      <c r="AB46" s="259">
        <v>0</v>
      </c>
      <c r="AC46" s="259">
        <v>0</v>
      </c>
      <c r="AD46" s="259">
        <v>0</v>
      </c>
      <c r="AE46" s="259">
        <v>0</v>
      </c>
      <c r="AF46" s="259">
        <v>0</v>
      </c>
      <c r="AG46" s="259">
        <v>1</v>
      </c>
      <c r="AH46" s="259">
        <v>0</v>
      </c>
      <c r="AI46" s="259">
        <v>0</v>
      </c>
      <c r="AJ46" s="259">
        <v>0</v>
      </c>
      <c r="AK46" s="259">
        <v>0</v>
      </c>
      <c r="AL46" s="260">
        <v>0</v>
      </c>
      <c r="AM46" s="259">
        <v>0</v>
      </c>
      <c r="AN46" s="259">
        <v>0</v>
      </c>
      <c r="AO46" s="259">
        <v>0</v>
      </c>
      <c r="AP46" s="259">
        <v>1</v>
      </c>
      <c r="AQ46" s="259">
        <v>0</v>
      </c>
      <c r="AR46" s="259">
        <v>0</v>
      </c>
      <c r="AS46" s="259">
        <v>1</v>
      </c>
      <c r="AT46" s="259">
        <v>0</v>
      </c>
      <c r="AU46" s="259">
        <v>0</v>
      </c>
      <c r="AV46" s="261">
        <v>0</v>
      </c>
      <c r="AW46" s="261">
        <v>0</v>
      </c>
      <c r="AX46" s="262">
        <v>0</v>
      </c>
      <c r="AY46" s="264">
        <v>0</v>
      </c>
      <c r="AZ46" s="259">
        <v>0</v>
      </c>
      <c r="BA46" s="259">
        <v>0</v>
      </c>
      <c r="BB46" s="259">
        <v>0</v>
      </c>
      <c r="BC46" s="259">
        <v>1</v>
      </c>
      <c r="BD46" s="259">
        <v>0</v>
      </c>
      <c r="BE46" s="259">
        <v>0</v>
      </c>
      <c r="BF46" s="259">
        <v>0</v>
      </c>
      <c r="BG46" s="259">
        <v>0</v>
      </c>
      <c r="BH46" s="259">
        <v>0</v>
      </c>
      <c r="BI46" s="259">
        <v>0</v>
      </c>
      <c r="BJ46" s="260">
        <v>0</v>
      </c>
      <c r="BK46" s="259">
        <v>0</v>
      </c>
      <c r="BL46" s="259">
        <v>0</v>
      </c>
      <c r="BM46" s="259">
        <v>1</v>
      </c>
      <c r="BN46" s="259">
        <v>1</v>
      </c>
      <c r="BO46" s="259">
        <v>0</v>
      </c>
      <c r="BP46" s="259">
        <v>0</v>
      </c>
      <c r="BQ46" s="259">
        <v>1</v>
      </c>
      <c r="BR46" s="259">
        <v>0</v>
      </c>
      <c r="BS46" s="259">
        <v>2</v>
      </c>
      <c r="BT46" s="261">
        <v>0</v>
      </c>
      <c r="BU46" s="261">
        <v>0</v>
      </c>
      <c r="BV46" s="267">
        <v>0</v>
      </c>
    </row>
    <row r="47" spans="1:74" ht="17" thickBot="1" x14ac:dyDescent="0.35">
      <c r="A47" s="147" t="s">
        <v>266</v>
      </c>
      <c r="B47" s="243" t="s">
        <v>399</v>
      </c>
      <c r="C47" s="272">
        <v>1</v>
      </c>
      <c r="D47" s="273">
        <v>3</v>
      </c>
      <c r="E47" s="273">
        <v>2</v>
      </c>
      <c r="F47" s="273">
        <v>1</v>
      </c>
      <c r="G47" s="273">
        <v>0</v>
      </c>
      <c r="H47" s="273">
        <v>1</v>
      </c>
      <c r="I47" s="273">
        <v>3</v>
      </c>
      <c r="J47" s="273">
        <v>0</v>
      </c>
      <c r="K47" s="273">
        <v>1</v>
      </c>
      <c r="L47" s="273">
        <v>0</v>
      </c>
      <c r="M47" s="273">
        <v>0</v>
      </c>
      <c r="N47" s="275">
        <v>2</v>
      </c>
      <c r="O47" s="273">
        <v>4</v>
      </c>
      <c r="P47" s="273">
        <v>1</v>
      </c>
      <c r="Q47" s="273">
        <v>0</v>
      </c>
      <c r="R47" s="273">
        <v>3</v>
      </c>
      <c r="S47" s="273">
        <v>3</v>
      </c>
      <c r="T47" s="273">
        <v>2</v>
      </c>
      <c r="U47" s="273">
        <v>1</v>
      </c>
      <c r="V47" s="273">
        <v>1</v>
      </c>
      <c r="W47" s="273">
        <v>1</v>
      </c>
      <c r="X47" s="273">
        <v>1</v>
      </c>
      <c r="Y47" s="273">
        <v>0</v>
      </c>
      <c r="Z47" s="275">
        <v>1</v>
      </c>
      <c r="AA47" s="272">
        <v>2</v>
      </c>
      <c r="AB47" s="273">
        <v>1</v>
      </c>
      <c r="AC47" s="273">
        <v>1</v>
      </c>
      <c r="AD47" s="273">
        <v>0</v>
      </c>
      <c r="AE47" s="273">
        <v>2</v>
      </c>
      <c r="AF47" s="273">
        <v>3</v>
      </c>
      <c r="AG47" s="273">
        <v>1</v>
      </c>
      <c r="AH47" s="273">
        <v>0</v>
      </c>
      <c r="AI47" s="273">
        <v>2</v>
      </c>
      <c r="AJ47" s="273">
        <v>0</v>
      </c>
      <c r="AK47" s="273">
        <v>0</v>
      </c>
      <c r="AL47" s="275">
        <v>1</v>
      </c>
      <c r="AM47" s="273">
        <v>3</v>
      </c>
      <c r="AN47" s="273">
        <v>1</v>
      </c>
      <c r="AO47" s="273">
        <v>3</v>
      </c>
      <c r="AP47" s="273">
        <v>2</v>
      </c>
      <c r="AQ47" s="273">
        <v>1</v>
      </c>
      <c r="AR47" s="273">
        <v>0</v>
      </c>
      <c r="AS47" s="273">
        <v>2</v>
      </c>
      <c r="AT47" s="273">
        <v>1</v>
      </c>
      <c r="AU47" s="273">
        <v>0</v>
      </c>
      <c r="AV47" s="273">
        <v>0</v>
      </c>
      <c r="AW47" s="273">
        <v>3</v>
      </c>
      <c r="AX47" s="275">
        <v>3</v>
      </c>
      <c r="AY47" s="274">
        <v>1</v>
      </c>
      <c r="AZ47" s="273">
        <v>1</v>
      </c>
      <c r="BA47" s="273">
        <v>1</v>
      </c>
      <c r="BB47" s="273">
        <v>1</v>
      </c>
      <c r="BC47" s="273">
        <v>4</v>
      </c>
      <c r="BD47" s="273">
        <v>0</v>
      </c>
      <c r="BE47" s="273">
        <v>1</v>
      </c>
      <c r="BF47" s="273">
        <v>0</v>
      </c>
      <c r="BG47" s="273">
        <v>2</v>
      </c>
      <c r="BH47" s="273">
        <v>0</v>
      </c>
      <c r="BI47" s="273">
        <v>2</v>
      </c>
      <c r="BJ47" s="275">
        <v>0</v>
      </c>
      <c r="BK47" s="273">
        <v>0</v>
      </c>
      <c r="BL47" s="273">
        <v>4</v>
      </c>
      <c r="BM47" s="273">
        <v>3</v>
      </c>
      <c r="BN47" s="273">
        <v>1</v>
      </c>
      <c r="BO47" s="273">
        <v>1</v>
      </c>
      <c r="BP47" s="273">
        <v>1</v>
      </c>
      <c r="BQ47" s="273">
        <v>2</v>
      </c>
      <c r="BR47" s="273">
        <v>2</v>
      </c>
      <c r="BS47" s="273">
        <v>4</v>
      </c>
      <c r="BT47" s="273">
        <v>2</v>
      </c>
      <c r="BU47" s="273">
        <v>0</v>
      </c>
      <c r="BV47" s="276">
        <v>2</v>
      </c>
    </row>
    <row r="48" spans="1:74" ht="17" thickBot="1" x14ac:dyDescent="0.35">
      <c r="A48" s="147" t="s">
        <v>266</v>
      </c>
      <c r="B48" s="243" t="s">
        <v>400</v>
      </c>
      <c r="C48" s="245">
        <v>1</v>
      </c>
      <c r="D48" s="246">
        <v>3</v>
      </c>
      <c r="E48" s="246">
        <v>2</v>
      </c>
      <c r="F48" s="246">
        <v>1</v>
      </c>
      <c r="G48" s="246">
        <v>0</v>
      </c>
      <c r="H48" s="246">
        <v>0</v>
      </c>
      <c r="I48" s="246">
        <v>1</v>
      </c>
      <c r="J48" s="246">
        <v>0</v>
      </c>
      <c r="K48" s="246">
        <v>1</v>
      </c>
      <c r="L48" s="246">
        <v>0</v>
      </c>
      <c r="M48" s="246">
        <v>0</v>
      </c>
      <c r="N48" s="247">
        <v>3</v>
      </c>
      <c r="O48" s="246">
        <v>3</v>
      </c>
      <c r="P48" s="246">
        <v>0</v>
      </c>
      <c r="Q48" s="246">
        <v>0</v>
      </c>
      <c r="R48" s="246">
        <v>3</v>
      </c>
      <c r="S48" s="246">
        <v>3</v>
      </c>
      <c r="T48" s="246">
        <v>2</v>
      </c>
      <c r="U48" s="246">
        <v>1</v>
      </c>
      <c r="V48" s="246">
        <v>1</v>
      </c>
      <c r="W48" s="246">
        <v>1</v>
      </c>
      <c r="X48" s="246">
        <v>1</v>
      </c>
      <c r="Y48" s="246">
        <v>0</v>
      </c>
      <c r="Z48" s="247">
        <v>1</v>
      </c>
      <c r="AA48" s="245">
        <v>2</v>
      </c>
      <c r="AB48" s="246">
        <v>1</v>
      </c>
      <c r="AC48" s="246">
        <v>1</v>
      </c>
      <c r="AD48" s="246">
        <v>0</v>
      </c>
      <c r="AE48" s="246">
        <v>2</v>
      </c>
      <c r="AF48" s="246">
        <v>3</v>
      </c>
      <c r="AG48" s="246">
        <v>1</v>
      </c>
      <c r="AH48" s="246">
        <v>0</v>
      </c>
      <c r="AI48" s="246">
        <v>2</v>
      </c>
      <c r="AJ48" s="246">
        <v>0</v>
      </c>
      <c r="AK48" s="246">
        <v>0</v>
      </c>
      <c r="AL48" s="247">
        <v>1</v>
      </c>
      <c r="AM48" s="246">
        <v>3</v>
      </c>
      <c r="AN48" s="246">
        <v>2</v>
      </c>
      <c r="AO48" s="246">
        <v>3</v>
      </c>
      <c r="AP48" s="246">
        <v>1</v>
      </c>
      <c r="AQ48" s="246">
        <v>1</v>
      </c>
      <c r="AR48" s="246">
        <v>0</v>
      </c>
      <c r="AS48" s="246">
        <v>1</v>
      </c>
      <c r="AT48" s="246">
        <v>0</v>
      </c>
      <c r="AU48" s="246">
        <v>0</v>
      </c>
      <c r="AV48" s="246">
        <v>0</v>
      </c>
      <c r="AW48" s="246">
        <v>2</v>
      </c>
      <c r="AX48" s="247">
        <v>3</v>
      </c>
      <c r="AY48" s="248">
        <v>2</v>
      </c>
      <c r="AZ48" s="246">
        <v>1</v>
      </c>
      <c r="BA48" s="246">
        <v>2</v>
      </c>
      <c r="BB48" s="246">
        <v>1</v>
      </c>
      <c r="BC48" s="246">
        <v>3</v>
      </c>
      <c r="BD48" s="246">
        <v>0</v>
      </c>
      <c r="BE48" s="246">
        <v>1</v>
      </c>
      <c r="BF48" s="246">
        <v>0</v>
      </c>
      <c r="BG48" s="246">
        <v>1</v>
      </c>
      <c r="BH48" s="246">
        <v>0</v>
      </c>
      <c r="BI48" s="246">
        <v>2</v>
      </c>
      <c r="BJ48" s="247">
        <v>0</v>
      </c>
      <c r="BK48" s="246">
        <v>0</v>
      </c>
      <c r="BL48" s="246">
        <v>5</v>
      </c>
      <c r="BM48" s="246">
        <v>2</v>
      </c>
      <c r="BN48" s="246">
        <v>0</v>
      </c>
      <c r="BO48" s="246">
        <v>2</v>
      </c>
      <c r="BP48" s="246">
        <v>1</v>
      </c>
      <c r="BQ48" s="246">
        <v>1</v>
      </c>
      <c r="BR48" s="246">
        <v>4</v>
      </c>
      <c r="BS48" s="246">
        <v>2</v>
      </c>
      <c r="BT48" s="246">
        <v>1</v>
      </c>
      <c r="BU48" s="246">
        <v>1</v>
      </c>
      <c r="BV48" s="249">
        <v>2</v>
      </c>
    </row>
    <row r="49" spans="1:74" ht="17" thickBot="1" x14ac:dyDescent="0.35">
      <c r="A49" s="279" t="s">
        <v>266</v>
      </c>
      <c r="B49" s="243" t="s">
        <v>401</v>
      </c>
      <c r="C49" s="277">
        <v>1</v>
      </c>
      <c r="D49" s="268">
        <v>3</v>
      </c>
      <c r="E49" s="268">
        <v>2</v>
      </c>
      <c r="F49" s="268">
        <v>1</v>
      </c>
      <c r="G49" s="268">
        <v>0</v>
      </c>
      <c r="H49" s="268">
        <v>0</v>
      </c>
      <c r="I49" s="268">
        <v>1</v>
      </c>
      <c r="J49" s="268">
        <v>0</v>
      </c>
      <c r="K49" s="268">
        <v>1</v>
      </c>
      <c r="L49" s="268">
        <v>0</v>
      </c>
      <c r="M49" s="268">
        <v>0</v>
      </c>
      <c r="N49" s="270">
        <v>3</v>
      </c>
      <c r="O49" s="268">
        <v>3</v>
      </c>
      <c r="P49" s="268">
        <v>0</v>
      </c>
      <c r="Q49" s="268">
        <v>0</v>
      </c>
      <c r="R49" s="268">
        <v>3</v>
      </c>
      <c r="S49" s="268">
        <v>3</v>
      </c>
      <c r="T49" s="268">
        <v>2</v>
      </c>
      <c r="U49" s="268">
        <v>1</v>
      </c>
      <c r="V49" s="268">
        <v>1</v>
      </c>
      <c r="W49" s="268">
        <v>1</v>
      </c>
      <c r="X49" s="268">
        <v>1</v>
      </c>
      <c r="Y49" s="268">
        <v>0</v>
      </c>
      <c r="Z49" s="270">
        <v>1</v>
      </c>
      <c r="AA49" s="277">
        <v>2</v>
      </c>
      <c r="AB49" s="268">
        <v>1</v>
      </c>
      <c r="AC49" s="268">
        <v>1</v>
      </c>
      <c r="AD49" s="268">
        <v>0</v>
      </c>
      <c r="AE49" s="268">
        <v>2</v>
      </c>
      <c r="AF49" s="268">
        <v>3</v>
      </c>
      <c r="AG49" s="268">
        <v>1</v>
      </c>
      <c r="AH49" s="268">
        <v>0</v>
      </c>
      <c r="AI49" s="268">
        <v>2</v>
      </c>
      <c r="AJ49" s="268">
        <v>0</v>
      </c>
      <c r="AK49" s="268">
        <v>0</v>
      </c>
      <c r="AL49" s="270">
        <v>1</v>
      </c>
      <c r="AM49" s="268">
        <v>3</v>
      </c>
      <c r="AN49" s="268">
        <v>2</v>
      </c>
      <c r="AO49" s="268">
        <v>3</v>
      </c>
      <c r="AP49" s="268">
        <v>1</v>
      </c>
      <c r="AQ49" s="268">
        <v>1</v>
      </c>
      <c r="AR49" s="268">
        <v>0</v>
      </c>
      <c r="AS49" s="268">
        <v>1</v>
      </c>
      <c r="AT49" s="268">
        <v>0</v>
      </c>
      <c r="AU49" s="268">
        <v>0</v>
      </c>
      <c r="AV49" s="268">
        <v>0</v>
      </c>
      <c r="AW49" s="268">
        <v>2</v>
      </c>
      <c r="AX49" s="270">
        <v>3</v>
      </c>
      <c r="AY49" s="269">
        <v>2</v>
      </c>
      <c r="AZ49" s="268">
        <v>1</v>
      </c>
      <c r="BA49" s="268">
        <v>2</v>
      </c>
      <c r="BB49" s="268">
        <v>1</v>
      </c>
      <c r="BC49" s="268">
        <v>3</v>
      </c>
      <c r="BD49" s="268">
        <v>0</v>
      </c>
      <c r="BE49" s="268">
        <v>1</v>
      </c>
      <c r="BF49" s="268">
        <v>0</v>
      </c>
      <c r="BG49" s="268">
        <v>1</v>
      </c>
      <c r="BH49" s="268">
        <v>0</v>
      </c>
      <c r="BI49" s="268">
        <v>2</v>
      </c>
      <c r="BJ49" s="270">
        <v>0</v>
      </c>
      <c r="BK49" s="268">
        <v>0</v>
      </c>
      <c r="BL49" s="268">
        <v>5</v>
      </c>
      <c r="BM49" s="268">
        <v>2</v>
      </c>
      <c r="BN49" s="268">
        <v>0</v>
      </c>
      <c r="BO49" s="268">
        <v>2</v>
      </c>
      <c r="BP49" s="268">
        <v>1</v>
      </c>
      <c r="BQ49" s="268">
        <v>1</v>
      </c>
      <c r="BR49" s="268">
        <v>4</v>
      </c>
      <c r="BS49" s="268">
        <v>2</v>
      </c>
      <c r="BT49" s="268">
        <v>1</v>
      </c>
      <c r="BU49" s="268">
        <v>1</v>
      </c>
      <c r="BV49" s="271">
        <v>2</v>
      </c>
    </row>
    <row r="50" spans="1:74" ht="17" thickBot="1" x14ac:dyDescent="0.5">
      <c r="A50" s="74" t="s">
        <v>205</v>
      </c>
      <c r="B50" s="239" t="s">
        <v>403</v>
      </c>
      <c r="C50" s="207">
        <v>7</v>
      </c>
      <c r="D50" s="208">
        <v>3</v>
      </c>
      <c r="E50" s="208">
        <v>7</v>
      </c>
      <c r="F50" s="208">
        <v>2</v>
      </c>
      <c r="G50" s="208">
        <v>5</v>
      </c>
      <c r="H50" s="208">
        <v>4</v>
      </c>
      <c r="I50" s="208">
        <v>4</v>
      </c>
      <c r="J50" s="208">
        <v>8</v>
      </c>
      <c r="K50" s="208">
        <v>8</v>
      </c>
      <c r="L50" s="208">
        <v>5</v>
      </c>
      <c r="M50" s="208">
        <v>6</v>
      </c>
      <c r="N50" s="209">
        <v>6</v>
      </c>
      <c r="O50" s="208">
        <v>7</v>
      </c>
      <c r="P50" s="208">
        <v>4</v>
      </c>
      <c r="Q50" s="208">
        <v>0</v>
      </c>
      <c r="R50" s="208">
        <v>1</v>
      </c>
      <c r="S50" s="208">
        <v>9</v>
      </c>
      <c r="T50" s="208">
        <v>5</v>
      </c>
      <c r="U50" s="208">
        <v>5</v>
      </c>
      <c r="V50" s="208">
        <v>5</v>
      </c>
      <c r="W50" s="208">
        <v>6</v>
      </c>
      <c r="X50" s="210">
        <v>6</v>
      </c>
      <c r="Y50" s="210">
        <v>10</v>
      </c>
      <c r="Z50" s="211">
        <v>15</v>
      </c>
      <c r="AA50" s="207">
        <v>12</v>
      </c>
      <c r="AB50" s="208">
        <v>4</v>
      </c>
      <c r="AC50" s="208">
        <v>6</v>
      </c>
      <c r="AD50" s="208">
        <v>9</v>
      </c>
      <c r="AE50" s="208">
        <v>5</v>
      </c>
      <c r="AF50" s="208">
        <v>10</v>
      </c>
      <c r="AG50" s="208">
        <v>7</v>
      </c>
      <c r="AH50" s="208">
        <v>9</v>
      </c>
      <c r="AI50" s="208">
        <v>8</v>
      </c>
      <c r="AJ50" s="208">
        <v>15</v>
      </c>
      <c r="AK50" s="208">
        <v>7</v>
      </c>
      <c r="AL50" s="209">
        <v>8</v>
      </c>
      <c r="AM50" s="208">
        <v>6</v>
      </c>
      <c r="AN50" s="208">
        <v>4</v>
      </c>
      <c r="AO50" s="208">
        <v>10</v>
      </c>
      <c r="AP50" s="208">
        <v>12</v>
      </c>
      <c r="AQ50" s="208">
        <v>4</v>
      </c>
      <c r="AR50" s="208">
        <v>8</v>
      </c>
      <c r="AS50" s="208">
        <v>12</v>
      </c>
      <c r="AT50" s="208">
        <v>6</v>
      </c>
      <c r="AU50" s="208">
        <v>7</v>
      </c>
      <c r="AV50" s="210">
        <v>13</v>
      </c>
      <c r="AW50" s="210">
        <v>8</v>
      </c>
      <c r="AX50" s="211">
        <v>9</v>
      </c>
      <c r="AY50" s="242">
        <v>9</v>
      </c>
      <c r="AZ50" s="208">
        <v>4</v>
      </c>
      <c r="BA50" s="208">
        <v>4</v>
      </c>
      <c r="BB50" s="208">
        <v>6</v>
      </c>
      <c r="BC50" s="208">
        <v>3</v>
      </c>
      <c r="BD50" s="208">
        <v>7</v>
      </c>
      <c r="BE50" s="208">
        <v>4</v>
      </c>
      <c r="BF50" s="208">
        <v>3</v>
      </c>
      <c r="BG50" s="208">
        <v>7</v>
      </c>
      <c r="BH50" s="208">
        <v>5</v>
      </c>
      <c r="BI50" s="208">
        <v>7</v>
      </c>
      <c r="BJ50" s="209">
        <v>6</v>
      </c>
      <c r="BK50" s="208">
        <v>6</v>
      </c>
      <c r="BL50" s="208">
        <v>2</v>
      </c>
      <c r="BM50" s="208">
        <v>6</v>
      </c>
      <c r="BN50" s="208">
        <v>6</v>
      </c>
      <c r="BO50" s="208">
        <v>9</v>
      </c>
      <c r="BP50" s="208">
        <v>9</v>
      </c>
      <c r="BQ50" s="208">
        <v>9</v>
      </c>
      <c r="BR50" s="208">
        <v>2</v>
      </c>
      <c r="BS50" s="208">
        <v>1</v>
      </c>
      <c r="BT50" s="210">
        <v>8</v>
      </c>
      <c r="BU50" s="210">
        <v>2</v>
      </c>
      <c r="BV50" s="213">
        <v>4</v>
      </c>
    </row>
    <row r="51" spans="1:74" ht="17" thickBot="1" x14ac:dyDescent="0.5">
      <c r="A51" s="147" t="s">
        <v>205</v>
      </c>
      <c r="B51" s="243" t="s">
        <v>398</v>
      </c>
      <c r="C51" s="250">
        <v>6</v>
      </c>
      <c r="D51" s="251">
        <v>2</v>
      </c>
      <c r="E51" s="251">
        <v>7</v>
      </c>
      <c r="F51" s="251">
        <v>2</v>
      </c>
      <c r="G51" s="251">
        <v>5</v>
      </c>
      <c r="H51" s="251">
        <v>3</v>
      </c>
      <c r="I51" s="251">
        <v>3</v>
      </c>
      <c r="J51" s="251">
        <v>8</v>
      </c>
      <c r="K51" s="251">
        <v>7</v>
      </c>
      <c r="L51" s="251">
        <v>4</v>
      </c>
      <c r="M51" s="251">
        <v>6</v>
      </c>
      <c r="N51" s="252">
        <v>6</v>
      </c>
      <c r="O51" s="251">
        <v>7</v>
      </c>
      <c r="P51" s="251">
        <v>3</v>
      </c>
      <c r="Q51" s="251">
        <v>0</v>
      </c>
      <c r="R51" s="251">
        <v>1</v>
      </c>
      <c r="S51" s="251">
        <v>8</v>
      </c>
      <c r="T51" s="251">
        <v>5</v>
      </c>
      <c r="U51" s="251">
        <v>5</v>
      </c>
      <c r="V51" s="251">
        <v>3</v>
      </c>
      <c r="W51" s="251">
        <v>5</v>
      </c>
      <c r="X51" s="253">
        <v>5</v>
      </c>
      <c r="Y51" s="253">
        <v>9</v>
      </c>
      <c r="Z51" s="254">
        <v>15</v>
      </c>
      <c r="AA51" s="250">
        <v>10</v>
      </c>
      <c r="AB51" s="251">
        <v>4</v>
      </c>
      <c r="AC51" s="251">
        <v>6</v>
      </c>
      <c r="AD51" s="251">
        <v>9</v>
      </c>
      <c r="AE51" s="251">
        <v>4</v>
      </c>
      <c r="AF51" s="251">
        <v>10</v>
      </c>
      <c r="AG51" s="251">
        <v>7</v>
      </c>
      <c r="AH51" s="251">
        <v>8</v>
      </c>
      <c r="AI51" s="251">
        <v>8</v>
      </c>
      <c r="AJ51" s="251">
        <v>14</v>
      </c>
      <c r="AK51" s="251">
        <v>6</v>
      </c>
      <c r="AL51" s="252">
        <v>8</v>
      </c>
      <c r="AM51" s="251">
        <v>6</v>
      </c>
      <c r="AN51" s="251">
        <v>4</v>
      </c>
      <c r="AO51" s="251">
        <v>10</v>
      </c>
      <c r="AP51" s="251">
        <v>10</v>
      </c>
      <c r="AQ51" s="251">
        <v>4</v>
      </c>
      <c r="AR51" s="251">
        <v>8</v>
      </c>
      <c r="AS51" s="251">
        <v>11</v>
      </c>
      <c r="AT51" s="251">
        <v>6</v>
      </c>
      <c r="AU51" s="251">
        <v>4</v>
      </c>
      <c r="AV51" s="253">
        <v>10</v>
      </c>
      <c r="AW51" s="253">
        <v>7</v>
      </c>
      <c r="AX51" s="254">
        <v>7</v>
      </c>
      <c r="AY51" s="256">
        <v>9</v>
      </c>
      <c r="AZ51" s="251">
        <v>3</v>
      </c>
      <c r="BA51" s="251">
        <v>2</v>
      </c>
      <c r="BB51" s="251">
        <v>5</v>
      </c>
      <c r="BC51" s="251">
        <v>2</v>
      </c>
      <c r="BD51" s="251">
        <v>6</v>
      </c>
      <c r="BE51" s="251">
        <v>4</v>
      </c>
      <c r="BF51" s="251">
        <v>2</v>
      </c>
      <c r="BG51" s="251">
        <v>6</v>
      </c>
      <c r="BH51" s="251">
        <v>5</v>
      </c>
      <c r="BI51" s="251">
        <v>5</v>
      </c>
      <c r="BJ51" s="252">
        <v>5</v>
      </c>
      <c r="BK51" s="251">
        <v>5</v>
      </c>
      <c r="BL51" s="251">
        <v>1</v>
      </c>
      <c r="BM51" s="251">
        <v>5</v>
      </c>
      <c r="BN51" s="251">
        <v>6</v>
      </c>
      <c r="BO51" s="251">
        <v>8</v>
      </c>
      <c r="BP51" s="251">
        <v>8</v>
      </c>
      <c r="BQ51" s="251">
        <v>8</v>
      </c>
      <c r="BR51" s="251">
        <v>2</v>
      </c>
      <c r="BS51" s="251">
        <v>0</v>
      </c>
      <c r="BT51" s="253">
        <v>7</v>
      </c>
      <c r="BU51" s="253">
        <v>2</v>
      </c>
      <c r="BV51" s="266">
        <v>4</v>
      </c>
    </row>
    <row r="52" spans="1:74" ht="17" thickBot="1" x14ac:dyDescent="0.5">
      <c r="A52" s="147" t="s">
        <v>205</v>
      </c>
      <c r="B52" s="243" t="s">
        <v>404</v>
      </c>
      <c r="C52" s="258">
        <v>2</v>
      </c>
      <c r="D52" s="259">
        <v>2</v>
      </c>
      <c r="E52" s="259">
        <v>5</v>
      </c>
      <c r="F52" s="259">
        <v>0</v>
      </c>
      <c r="G52" s="259">
        <v>3</v>
      </c>
      <c r="H52" s="259">
        <v>2</v>
      </c>
      <c r="I52" s="259">
        <v>1</v>
      </c>
      <c r="J52" s="259">
        <v>2</v>
      </c>
      <c r="K52" s="259">
        <v>5</v>
      </c>
      <c r="L52" s="259">
        <v>1</v>
      </c>
      <c r="M52" s="259">
        <v>5</v>
      </c>
      <c r="N52" s="260">
        <v>3</v>
      </c>
      <c r="O52" s="259">
        <v>5</v>
      </c>
      <c r="P52" s="259">
        <v>0</v>
      </c>
      <c r="Q52" s="259">
        <v>0</v>
      </c>
      <c r="R52" s="259">
        <v>1</v>
      </c>
      <c r="S52" s="259">
        <v>5</v>
      </c>
      <c r="T52" s="259">
        <v>3</v>
      </c>
      <c r="U52" s="259">
        <v>1</v>
      </c>
      <c r="V52" s="259">
        <v>1</v>
      </c>
      <c r="W52" s="259">
        <v>1</v>
      </c>
      <c r="X52" s="261">
        <v>3</v>
      </c>
      <c r="Y52" s="261">
        <v>6</v>
      </c>
      <c r="Z52" s="262">
        <v>9</v>
      </c>
      <c r="AA52" s="258">
        <v>6</v>
      </c>
      <c r="AB52" s="259">
        <v>2</v>
      </c>
      <c r="AC52" s="259">
        <v>3</v>
      </c>
      <c r="AD52" s="259">
        <v>5</v>
      </c>
      <c r="AE52" s="259">
        <v>0</v>
      </c>
      <c r="AF52" s="259">
        <v>3</v>
      </c>
      <c r="AG52" s="259">
        <v>3</v>
      </c>
      <c r="AH52" s="259">
        <v>5</v>
      </c>
      <c r="AI52" s="259">
        <v>6</v>
      </c>
      <c r="AJ52" s="259">
        <v>4</v>
      </c>
      <c r="AK52" s="259">
        <v>4</v>
      </c>
      <c r="AL52" s="260">
        <v>4</v>
      </c>
      <c r="AM52" s="259">
        <v>5</v>
      </c>
      <c r="AN52" s="259">
        <v>2</v>
      </c>
      <c r="AO52" s="259">
        <v>6</v>
      </c>
      <c r="AP52" s="259">
        <v>8</v>
      </c>
      <c r="AQ52" s="259">
        <v>3</v>
      </c>
      <c r="AR52" s="259">
        <v>2</v>
      </c>
      <c r="AS52" s="259">
        <v>4</v>
      </c>
      <c r="AT52" s="259">
        <v>1</v>
      </c>
      <c r="AU52" s="259">
        <v>1</v>
      </c>
      <c r="AV52" s="261">
        <v>7</v>
      </c>
      <c r="AW52" s="261">
        <v>3</v>
      </c>
      <c r="AX52" s="262">
        <v>4</v>
      </c>
      <c r="AY52" s="264">
        <v>5</v>
      </c>
      <c r="AZ52" s="259">
        <v>2</v>
      </c>
      <c r="BA52" s="259">
        <v>1</v>
      </c>
      <c r="BB52" s="259">
        <v>1</v>
      </c>
      <c r="BC52" s="259">
        <v>2</v>
      </c>
      <c r="BD52" s="259">
        <v>2</v>
      </c>
      <c r="BE52" s="259">
        <v>1</v>
      </c>
      <c r="BF52" s="259">
        <v>1</v>
      </c>
      <c r="BG52" s="259">
        <v>3</v>
      </c>
      <c r="BH52" s="259">
        <v>2</v>
      </c>
      <c r="BI52" s="259">
        <v>3</v>
      </c>
      <c r="BJ52" s="260">
        <v>4</v>
      </c>
      <c r="BK52" s="259">
        <v>2</v>
      </c>
      <c r="BL52" s="259">
        <v>1</v>
      </c>
      <c r="BM52" s="259">
        <v>0</v>
      </c>
      <c r="BN52" s="259">
        <v>3</v>
      </c>
      <c r="BO52" s="259">
        <v>7</v>
      </c>
      <c r="BP52" s="259">
        <v>4</v>
      </c>
      <c r="BQ52" s="259">
        <v>4</v>
      </c>
      <c r="BR52" s="259">
        <v>0</v>
      </c>
      <c r="BS52" s="259">
        <v>0</v>
      </c>
      <c r="BT52" s="261">
        <v>4</v>
      </c>
      <c r="BU52" s="261">
        <v>2</v>
      </c>
      <c r="BV52" s="267">
        <v>3</v>
      </c>
    </row>
    <row r="53" spans="1:74" ht="17" thickBot="1" x14ac:dyDescent="0.35">
      <c r="A53" s="147" t="s">
        <v>205</v>
      </c>
      <c r="B53" s="243" t="s">
        <v>399</v>
      </c>
      <c r="C53" s="272">
        <v>6</v>
      </c>
      <c r="D53" s="273">
        <v>2</v>
      </c>
      <c r="E53" s="273">
        <v>7</v>
      </c>
      <c r="F53" s="273">
        <v>2</v>
      </c>
      <c r="G53" s="273">
        <v>5</v>
      </c>
      <c r="H53" s="273">
        <v>3</v>
      </c>
      <c r="I53" s="273">
        <v>3</v>
      </c>
      <c r="J53" s="273">
        <v>8</v>
      </c>
      <c r="K53" s="273">
        <v>7</v>
      </c>
      <c r="L53" s="273">
        <v>4</v>
      </c>
      <c r="M53" s="273">
        <v>6</v>
      </c>
      <c r="N53" s="275">
        <v>6</v>
      </c>
      <c r="O53" s="273">
        <v>7</v>
      </c>
      <c r="P53" s="273">
        <v>3</v>
      </c>
      <c r="Q53" s="273">
        <v>0</v>
      </c>
      <c r="R53" s="273">
        <v>1</v>
      </c>
      <c r="S53" s="273">
        <v>8</v>
      </c>
      <c r="T53" s="273">
        <v>5</v>
      </c>
      <c r="U53" s="273">
        <v>5</v>
      </c>
      <c r="V53" s="273">
        <v>3</v>
      </c>
      <c r="W53" s="273">
        <v>5</v>
      </c>
      <c r="X53" s="273">
        <v>5</v>
      </c>
      <c r="Y53" s="273">
        <v>9</v>
      </c>
      <c r="Z53" s="275">
        <v>15</v>
      </c>
      <c r="AA53" s="272">
        <v>10</v>
      </c>
      <c r="AB53" s="273">
        <v>4</v>
      </c>
      <c r="AC53" s="273">
        <v>6</v>
      </c>
      <c r="AD53" s="273">
        <v>9</v>
      </c>
      <c r="AE53" s="273">
        <v>4</v>
      </c>
      <c r="AF53" s="273">
        <v>10</v>
      </c>
      <c r="AG53" s="273">
        <v>7</v>
      </c>
      <c r="AH53" s="273">
        <v>8</v>
      </c>
      <c r="AI53" s="273">
        <v>8</v>
      </c>
      <c r="AJ53" s="273">
        <v>14</v>
      </c>
      <c r="AK53" s="273">
        <v>6</v>
      </c>
      <c r="AL53" s="275">
        <v>8</v>
      </c>
      <c r="AM53" s="273">
        <v>6</v>
      </c>
      <c r="AN53" s="273">
        <v>4</v>
      </c>
      <c r="AO53" s="273">
        <v>10</v>
      </c>
      <c r="AP53" s="273">
        <v>10</v>
      </c>
      <c r="AQ53" s="273">
        <v>4</v>
      </c>
      <c r="AR53" s="273">
        <v>8</v>
      </c>
      <c r="AS53" s="273">
        <v>11</v>
      </c>
      <c r="AT53" s="273">
        <v>6</v>
      </c>
      <c r="AU53" s="273">
        <v>4</v>
      </c>
      <c r="AV53" s="273">
        <v>10</v>
      </c>
      <c r="AW53" s="273">
        <v>7</v>
      </c>
      <c r="AX53" s="275">
        <v>7</v>
      </c>
      <c r="AY53" s="274">
        <v>9</v>
      </c>
      <c r="AZ53" s="273">
        <v>3</v>
      </c>
      <c r="BA53" s="273">
        <v>2</v>
      </c>
      <c r="BB53" s="273">
        <v>5</v>
      </c>
      <c r="BC53" s="273">
        <v>2</v>
      </c>
      <c r="BD53" s="273">
        <v>6</v>
      </c>
      <c r="BE53" s="273">
        <v>4</v>
      </c>
      <c r="BF53" s="273">
        <v>2</v>
      </c>
      <c r="BG53" s="273">
        <v>6</v>
      </c>
      <c r="BH53" s="273">
        <v>5</v>
      </c>
      <c r="BI53" s="273">
        <v>5</v>
      </c>
      <c r="BJ53" s="275">
        <v>5</v>
      </c>
      <c r="BK53" s="273">
        <v>5</v>
      </c>
      <c r="BL53" s="273">
        <v>1</v>
      </c>
      <c r="BM53" s="273">
        <v>5</v>
      </c>
      <c r="BN53" s="273">
        <v>6</v>
      </c>
      <c r="BO53" s="273">
        <v>8</v>
      </c>
      <c r="BP53" s="273">
        <v>8</v>
      </c>
      <c r="BQ53" s="273">
        <v>8</v>
      </c>
      <c r="BR53" s="273">
        <v>2</v>
      </c>
      <c r="BS53" s="273">
        <v>0</v>
      </c>
      <c r="BT53" s="273">
        <v>7</v>
      </c>
      <c r="BU53" s="273">
        <v>2</v>
      </c>
      <c r="BV53" s="276">
        <v>4</v>
      </c>
    </row>
    <row r="54" spans="1:74" ht="17" thickBot="1" x14ac:dyDescent="0.35">
      <c r="A54" s="147" t="s">
        <v>205</v>
      </c>
      <c r="B54" s="243" t="s">
        <v>400</v>
      </c>
      <c r="C54" s="245">
        <v>4</v>
      </c>
      <c r="D54" s="246">
        <v>1</v>
      </c>
      <c r="E54" s="246">
        <v>1</v>
      </c>
      <c r="F54" s="246">
        <v>1</v>
      </c>
      <c r="G54" s="246">
        <v>2</v>
      </c>
      <c r="H54" s="246">
        <v>1</v>
      </c>
      <c r="I54" s="246">
        <v>3</v>
      </c>
      <c r="J54" s="246">
        <v>3</v>
      </c>
      <c r="K54" s="246">
        <v>3</v>
      </c>
      <c r="L54" s="246">
        <v>3</v>
      </c>
      <c r="M54" s="246">
        <v>0</v>
      </c>
      <c r="N54" s="247">
        <v>2</v>
      </c>
      <c r="O54" s="246">
        <v>2</v>
      </c>
      <c r="P54" s="246">
        <v>3</v>
      </c>
      <c r="Q54" s="246">
        <v>0</v>
      </c>
      <c r="R54" s="246">
        <v>0</v>
      </c>
      <c r="S54" s="246">
        <v>2</v>
      </c>
      <c r="T54" s="246">
        <v>2</v>
      </c>
      <c r="U54" s="246">
        <v>3</v>
      </c>
      <c r="V54" s="246">
        <v>3</v>
      </c>
      <c r="W54" s="246">
        <v>5</v>
      </c>
      <c r="X54" s="246">
        <v>3</v>
      </c>
      <c r="Y54" s="246">
        <v>2</v>
      </c>
      <c r="Z54" s="247">
        <v>4</v>
      </c>
      <c r="AA54" s="245">
        <v>5</v>
      </c>
      <c r="AB54" s="246">
        <v>1</v>
      </c>
      <c r="AC54" s="246">
        <v>3</v>
      </c>
      <c r="AD54" s="246">
        <v>3</v>
      </c>
      <c r="AE54" s="246">
        <v>5</v>
      </c>
      <c r="AF54" s="246">
        <v>5</v>
      </c>
      <c r="AG54" s="246">
        <v>4</v>
      </c>
      <c r="AH54" s="246">
        <v>3</v>
      </c>
      <c r="AI54" s="246">
        <v>0</v>
      </c>
      <c r="AJ54" s="246">
        <v>7</v>
      </c>
      <c r="AK54" s="246">
        <v>3</v>
      </c>
      <c r="AL54" s="247">
        <v>1</v>
      </c>
      <c r="AM54" s="246">
        <v>1</v>
      </c>
      <c r="AN54" s="246">
        <v>1</v>
      </c>
      <c r="AO54" s="246">
        <v>3</v>
      </c>
      <c r="AP54" s="246">
        <v>3</v>
      </c>
      <c r="AQ54" s="246">
        <v>1</v>
      </c>
      <c r="AR54" s="246">
        <v>2</v>
      </c>
      <c r="AS54" s="246">
        <v>7</v>
      </c>
      <c r="AT54" s="246">
        <v>2</v>
      </c>
      <c r="AU54" s="246">
        <v>6</v>
      </c>
      <c r="AV54" s="246">
        <v>5</v>
      </c>
      <c r="AW54" s="246">
        <v>3</v>
      </c>
      <c r="AX54" s="247">
        <v>4</v>
      </c>
      <c r="AY54" s="248">
        <v>2</v>
      </c>
      <c r="AZ54" s="246">
        <v>1</v>
      </c>
      <c r="BA54" s="246">
        <v>2</v>
      </c>
      <c r="BB54" s="246">
        <v>4</v>
      </c>
      <c r="BC54" s="246">
        <v>1</v>
      </c>
      <c r="BD54" s="246">
        <v>3</v>
      </c>
      <c r="BE54" s="246">
        <v>1</v>
      </c>
      <c r="BF54" s="246">
        <v>2</v>
      </c>
      <c r="BG54" s="246">
        <v>4</v>
      </c>
      <c r="BH54" s="246">
        <v>3</v>
      </c>
      <c r="BI54" s="246">
        <v>4</v>
      </c>
      <c r="BJ54" s="247">
        <v>2</v>
      </c>
      <c r="BK54" s="246">
        <v>2</v>
      </c>
      <c r="BL54" s="246">
        <v>1</v>
      </c>
      <c r="BM54" s="246">
        <v>6</v>
      </c>
      <c r="BN54" s="246">
        <v>2</v>
      </c>
      <c r="BO54" s="246">
        <v>2</v>
      </c>
      <c r="BP54" s="246">
        <v>3</v>
      </c>
      <c r="BQ54" s="246">
        <v>5</v>
      </c>
      <c r="BR54" s="246">
        <v>2</v>
      </c>
      <c r="BS54" s="246">
        <v>1</v>
      </c>
      <c r="BT54" s="246">
        <v>3</v>
      </c>
      <c r="BU54" s="246">
        <v>0</v>
      </c>
      <c r="BV54" s="249">
        <v>1</v>
      </c>
    </row>
    <row r="55" spans="1:74" ht="17" thickBot="1" x14ac:dyDescent="0.35">
      <c r="A55" s="279" t="s">
        <v>205</v>
      </c>
      <c r="B55" s="243" t="s">
        <v>401</v>
      </c>
      <c r="C55" s="277">
        <v>4</v>
      </c>
      <c r="D55" s="268">
        <v>1</v>
      </c>
      <c r="E55" s="268">
        <v>1</v>
      </c>
      <c r="F55" s="268">
        <v>1</v>
      </c>
      <c r="G55" s="268">
        <v>2</v>
      </c>
      <c r="H55" s="268">
        <v>1</v>
      </c>
      <c r="I55" s="268">
        <v>3</v>
      </c>
      <c r="J55" s="268">
        <v>3</v>
      </c>
      <c r="K55" s="268">
        <v>3</v>
      </c>
      <c r="L55" s="268">
        <v>3</v>
      </c>
      <c r="M55" s="268">
        <v>0</v>
      </c>
      <c r="N55" s="270">
        <v>2</v>
      </c>
      <c r="O55" s="268">
        <v>2</v>
      </c>
      <c r="P55" s="268">
        <v>3</v>
      </c>
      <c r="Q55" s="268">
        <v>0</v>
      </c>
      <c r="R55" s="268">
        <v>0</v>
      </c>
      <c r="S55" s="268">
        <v>2</v>
      </c>
      <c r="T55" s="268">
        <v>2</v>
      </c>
      <c r="U55" s="268">
        <v>3</v>
      </c>
      <c r="V55" s="268">
        <v>3</v>
      </c>
      <c r="W55" s="268">
        <v>5</v>
      </c>
      <c r="X55" s="268">
        <v>3</v>
      </c>
      <c r="Y55" s="268">
        <v>2</v>
      </c>
      <c r="Z55" s="270">
        <v>4</v>
      </c>
      <c r="AA55" s="277">
        <v>5</v>
      </c>
      <c r="AB55" s="268">
        <v>1</v>
      </c>
      <c r="AC55" s="268">
        <v>3</v>
      </c>
      <c r="AD55" s="268">
        <v>3</v>
      </c>
      <c r="AE55" s="268">
        <v>5</v>
      </c>
      <c r="AF55" s="268">
        <v>5</v>
      </c>
      <c r="AG55" s="268">
        <v>4</v>
      </c>
      <c r="AH55" s="268">
        <v>3</v>
      </c>
      <c r="AI55" s="268">
        <v>0</v>
      </c>
      <c r="AJ55" s="268">
        <v>7</v>
      </c>
      <c r="AK55" s="268">
        <v>3</v>
      </c>
      <c r="AL55" s="270">
        <v>1</v>
      </c>
      <c r="AM55" s="268">
        <v>1</v>
      </c>
      <c r="AN55" s="268">
        <v>1</v>
      </c>
      <c r="AO55" s="268">
        <v>3</v>
      </c>
      <c r="AP55" s="268">
        <v>3</v>
      </c>
      <c r="AQ55" s="268">
        <v>1</v>
      </c>
      <c r="AR55" s="268">
        <v>2</v>
      </c>
      <c r="AS55" s="268">
        <v>7</v>
      </c>
      <c r="AT55" s="268">
        <v>2</v>
      </c>
      <c r="AU55" s="268">
        <v>6</v>
      </c>
      <c r="AV55" s="268">
        <v>5</v>
      </c>
      <c r="AW55" s="268">
        <v>3</v>
      </c>
      <c r="AX55" s="270">
        <v>4</v>
      </c>
      <c r="AY55" s="269">
        <v>2</v>
      </c>
      <c r="AZ55" s="268">
        <v>1</v>
      </c>
      <c r="BA55" s="268">
        <v>2</v>
      </c>
      <c r="BB55" s="268">
        <v>5</v>
      </c>
      <c r="BC55" s="268">
        <v>1</v>
      </c>
      <c r="BD55" s="268">
        <v>4</v>
      </c>
      <c r="BE55" s="268">
        <v>1</v>
      </c>
      <c r="BF55" s="268">
        <v>2</v>
      </c>
      <c r="BG55" s="268">
        <v>4</v>
      </c>
      <c r="BH55" s="268">
        <v>3</v>
      </c>
      <c r="BI55" s="268">
        <v>4</v>
      </c>
      <c r="BJ55" s="270">
        <v>3</v>
      </c>
      <c r="BK55" s="268">
        <v>2</v>
      </c>
      <c r="BL55" s="268">
        <v>1</v>
      </c>
      <c r="BM55" s="268">
        <v>6</v>
      </c>
      <c r="BN55" s="268">
        <v>3</v>
      </c>
      <c r="BO55" s="268">
        <v>2</v>
      </c>
      <c r="BP55" s="268">
        <v>3</v>
      </c>
      <c r="BQ55" s="268">
        <v>5</v>
      </c>
      <c r="BR55" s="268">
        <v>2</v>
      </c>
      <c r="BS55" s="268">
        <v>1</v>
      </c>
      <c r="BT55" s="268">
        <v>3</v>
      </c>
      <c r="BU55" s="268">
        <v>0</v>
      </c>
      <c r="BV55" s="271">
        <v>1</v>
      </c>
    </row>
    <row r="56" spans="1:74" ht="17" thickBot="1" x14ac:dyDescent="0.5">
      <c r="A56" s="74" t="s">
        <v>196</v>
      </c>
      <c r="B56" s="239" t="s">
        <v>403</v>
      </c>
      <c r="C56" s="207">
        <v>0</v>
      </c>
      <c r="D56" s="208">
        <v>0</v>
      </c>
      <c r="E56" s="208">
        <v>1</v>
      </c>
      <c r="F56" s="208">
        <v>0</v>
      </c>
      <c r="G56" s="208">
        <v>0</v>
      </c>
      <c r="H56" s="208">
        <v>0</v>
      </c>
      <c r="I56" s="208">
        <v>2</v>
      </c>
      <c r="J56" s="208">
        <v>0</v>
      </c>
      <c r="K56" s="208">
        <v>1</v>
      </c>
      <c r="L56" s="208">
        <v>0</v>
      </c>
      <c r="M56" s="208">
        <v>0</v>
      </c>
      <c r="N56" s="209">
        <v>0</v>
      </c>
      <c r="O56" s="208">
        <v>0</v>
      </c>
      <c r="P56" s="208">
        <v>0</v>
      </c>
      <c r="Q56" s="208">
        <v>0</v>
      </c>
      <c r="R56" s="208">
        <v>1</v>
      </c>
      <c r="S56" s="208">
        <v>0</v>
      </c>
      <c r="T56" s="208">
        <v>0</v>
      </c>
      <c r="U56" s="208">
        <v>1</v>
      </c>
      <c r="V56" s="208">
        <v>0</v>
      </c>
      <c r="W56" s="208">
        <v>0</v>
      </c>
      <c r="X56" s="210">
        <v>0</v>
      </c>
      <c r="Y56" s="210">
        <v>2</v>
      </c>
      <c r="Z56" s="211">
        <v>1</v>
      </c>
      <c r="AA56" s="212">
        <v>0</v>
      </c>
      <c r="AB56" s="210">
        <v>0</v>
      </c>
      <c r="AC56" s="210">
        <v>0</v>
      </c>
      <c r="AD56" s="210">
        <v>1</v>
      </c>
      <c r="AE56" s="210">
        <v>1</v>
      </c>
      <c r="AF56" s="210">
        <v>0</v>
      </c>
      <c r="AG56" s="210">
        <v>0</v>
      </c>
      <c r="AH56" s="210">
        <v>0</v>
      </c>
      <c r="AI56" s="210">
        <v>0</v>
      </c>
      <c r="AJ56" s="210">
        <v>0</v>
      </c>
      <c r="AK56" s="210">
        <v>0</v>
      </c>
      <c r="AL56" s="211">
        <v>0</v>
      </c>
      <c r="AM56" s="242">
        <v>0</v>
      </c>
      <c r="AN56" s="208">
        <v>0</v>
      </c>
      <c r="AO56" s="208">
        <v>0</v>
      </c>
      <c r="AP56" s="208">
        <v>0</v>
      </c>
      <c r="AQ56" s="208">
        <v>0</v>
      </c>
      <c r="AR56" s="208">
        <v>0</v>
      </c>
      <c r="AS56" s="208">
        <v>0</v>
      </c>
      <c r="AT56" s="208">
        <v>1</v>
      </c>
      <c r="AU56" s="208">
        <v>0</v>
      </c>
      <c r="AV56" s="208">
        <v>0</v>
      </c>
      <c r="AW56" s="208">
        <v>0</v>
      </c>
      <c r="AX56" s="209">
        <v>0</v>
      </c>
      <c r="AY56" s="207">
        <v>0</v>
      </c>
      <c r="AZ56" s="208">
        <v>1</v>
      </c>
      <c r="BA56" s="208">
        <v>0</v>
      </c>
      <c r="BB56" s="208">
        <v>2</v>
      </c>
      <c r="BC56" s="208">
        <v>0</v>
      </c>
      <c r="BD56" s="208">
        <v>0</v>
      </c>
      <c r="BE56" s="208">
        <v>0</v>
      </c>
      <c r="BF56" s="208">
        <v>0</v>
      </c>
      <c r="BG56" s="208">
        <v>0</v>
      </c>
      <c r="BH56" s="208">
        <v>1</v>
      </c>
      <c r="BI56" s="208">
        <v>0</v>
      </c>
      <c r="BJ56" s="209">
        <v>0</v>
      </c>
      <c r="BK56" s="208">
        <v>1</v>
      </c>
      <c r="BL56" s="208">
        <v>0</v>
      </c>
      <c r="BM56" s="208">
        <v>0</v>
      </c>
      <c r="BN56" s="208">
        <v>0</v>
      </c>
      <c r="BO56" s="208">
        <v>0</v>
      </c>
      <c r="BP56" s="208">
        <v>0</v>
      </c>
      <c r="BQ56" s="208">
        <v>0</v>
      </c>
      <c r="BR56" s="208">
        <v>0</v>
      </c>
      <c r="BS56" s="208">
        <v>0</v>
      </c>
      <c r="BT56" s="210">
        <v>0</v>
      </c>
      <c r="BU56" s="210">
        <v>0</v>
      </c>
      <c r="BV56" s="213">
        <v>1</v>
      </c>
    </row>
    <row r="57" spans="1:74" ht="17" thickBot="1" x14ac:dyDescent="0.5">
      <c r="A57" s="147" t="s">
        <v>196</v>
      </c>
      <c r="B57" s="243" t="s">
        <v>398</v>
      </c>
      <c r="C57" s="250">
        <v>0</v>
      </c>
      <c r="D57" s="251">
        <v>0</v>
      </c>
      <c r="E57" s="251">
        <v>1</v>
      </c>
      <c r="F57" s="251">
        <v>0</v>
      </c>
      <c r="G57" s="251">
        <v>0</v>
      </c>
      <c r="H57" s="251">
        <v>0</v>
      </c>
      <c r="I57" s="251">
        <v>1</v>
      </c>
      <c r="J57" s="251">
        <v>0</v>
      </c>
      <c r="K57" s="251">
        <v>1</v>
      </c>
      <c r="L57" s="251">
        <v>0</v>
      </c>
      <c r="M57" s="251">
        <v>0</v>
      </c>
      <c r="N57" s="252">
        <v>0</v>
      </c>
      <c r="O57" s="251">
        <v>0</v>
      </c>
      <c r="P57" s="251">
        <v>0</v>
      </c>
      <c r="Q57" s="251">
        <v>0</v>
      </c>
      <c r="R57" s="251">
        <v>1</v>
      </c>
      <c r="S57" s="251">
        <v>0</v>
      </c>
      <c r="T57" s="251">
        <v>0</v>
      </c>
      <c r="U57" s="251">
        <v>1</v>
      </c>
      <c r="V57" s="251">
        <v>0</v>
      </c>
      <c r="W57" s="251">
        <v>0</v>
      </c>
      <c r="X57" s="253">
        <v>0</v>
      </c>
      <c r="Y57" s="253">
        <v>2</v>
      </c>
      <c r="Z57" s="254">
        <v>1</v>
      </c>
      <c r="AA57" s="255">
        <v>0</v>
      </c>
      <c r="AB57" s="253">
        <v>0</v>
      </c>
      <c r="AC57" s="253">
        <v>0</v>
      </c>
      <c r="AD57" s="253">
        <v>1</v>
      </c>
      <c r="AE57" s="253">
        <v>1</v>
      </c>
      <c r="AF57" s="253">
        <v>0</v>
      </c>
      <c r="AG57" s="253">
        <v>0</v>
      </c>
      <c r="AH57" s="253">
        <v>0</v>
      </c>
      <c r="AI57" s="253">
        <v>0</v>
      </c>
      <c r="AJ57" s="253">
        <v>0</v>
      </c>
      <c r="AK57" s="253">
        <v>0</v>
      </c>
      <c r="AL57" s="254">
        <v>0</v>
      </c>
      <c r="AM57" s="256">
        <v>0</v>
      </c>
      <c r="AN57" s="251">
        <v>0</v>
      </c>
      <c r="AO57" s="251">
        <v>0</v>
      </c>
      <c r="AP57" s="251">
        <v>0</v>
      </c>
      <c r="AQ57" s="251">
        <v>0</v>
      </c>
      <c r="AR57" s="251">
        <v>0</v>
      </c>
      <c r="AS57" s="251">
        <v>0</v>
      </c>
      <c r="AT57" s="251">
        <v>1</v>
      </c>
      <c r="AU57" s="251">
        <v>0</v>
      </c>
      <c r="AV57" s="251">
        <v>0</v>
      </c>
      <c r="AW57" s="251">
        <v>0</v>
      </c>
      <c r="AX57" s="252">
        <v>0</v>
      </c>
      <c r="AY57" s="250">
        <v>0</v>
      </c>
      <c r="AZ57" s="251">
        <v>0</v>
      </c>
      <c r="BA57" s="251">
        <v>0</v>
      </c>
      <c r="BB57" s="251">
        <v>2</v>
      </c>
      <c r="BC57" s="251">
        <v>0</v>
      </c>
      <c r="BD57" s="251">
        <v>0</v>
      </c>
      <c r="BE57" s="251">
        <v>0</v>
      </c>
      <c r="BF57" s="251">
        <v>0</v>
      </c>
      <c r="BG57" s="251">
        <v>0</v>
      </c>
      <c r="BH57" s="251">
        <v>1</v>
      </c>
      <c r="BI57" s="251">
        <v>0</v>
      </c>
      <c r="BJ57" s="252">
        <v>0</v>
      </c>
      <c r="BK57" s="251">
        <v>0</v>
      </c>
      <c r="BL57" s="251">
        <v>0</v>
      </c>
      <c r="BM57" s="251">
        <v>0</v>
      </c>
      <c r="BN57" s="251">
        <v>0</v>
      </c>
      <c r="BO57" s="251">
        <v>0</v>
      </c>
      <c r="BP57" s="251">
        <v>0</v>
      </c>
      <c r="BQ57" s="251">
        <v>0</v>
      </c>
      <c r="BR57" s="251">
        <v>0</v>
      </c>
      <c r="BS57" s="251">
        <v>0</v>
      </c>
      <c r="BT57" s="253">
        <v>0</v>
      </c>
      <c r="BU57" s="253">
        <v>0</v>
      </c>
      <c r="BV57" s="266">
        <v>1</v>
      </c>
    </row>
    <row r="58" spans="1:74" ht="17" thickBot="1" x14ac:dyDescent="0.5">
      <c r="A58" s="147" t="s">
        <v>196</v>
      </c>
      <c r="B58" s="243" t="s">
        <v>404</v>
      </c>
      <c r="C58" s="258">
        <v>0</v>
      </c>
      <c r="D58" s="259">
        <v>0</v>
      </c>
      <c r="E58" s="259">
        <v>0</v>
      </c>
      <c r="F58" s="259">
        <v>0</v>
      </c>
      <c r="G58" s="259">
        <v>0</v>
      </c>
      <c r="H58" s="259">
        <v>0</v>
      </c>
      <c r="I58" s="259">
        <v>0</v>
      </c>
      <c r="J58" s="259">
        <v>0</v>
      </c>
      <c r="K58" s="259">
        <v>0</v>
      </c>
      <c r="L58" s="259">
        <v>0</v>
      </c>
      <c r="M58" s="259">
        <v>0</v>
      </c>
      <c r="N58" s="260">
        <v>0</v>
      </c>
      <c r="O58" s="259">
        <v>0</v>
      </c>
      <c r="P58" s="259">
        <v>0</v>
      </c>
      <c r="Q58" s="259">
        <v>0</v>
      </c>
      <c r="R58" s="259">
        <v>0</v>
      </c>
      <c r="S58" s="259">
        <v>0</v>
      </c>
      <c r="T58" s="259">
        <v>0</v>
      </c>
      <c r="U58" s="259">
        <v>1</v>
      </c>
      <c r="V58" s="259">
        <v>0</v>
      </c>
      <c r="W58" s="259">
        <v>0</v>
      </c>
      <c r="X58" s="261">
        <v>0</v>
      </c>
      <c r="Y58" s="261">
        <v>2</v>
      </c>
      <c r="Z58" s="262">
        <v>0</v>
      </c>
      <c r="AA58" s="263">
        <v>0</v>
      </c>
      <c r="AB58" s="261">
        <v>0</v>
      </c>
      <c r="AC58" s="261">
        <v>0</v>
      </c>
      <c r="AD58" s="261">
        <v>0</v>
      </c>
      <c r="AE58" s="261">
        <v>0</v>
      </c>
      <c r="AF58" s="261">
        <v>0</v>
      </c>
      <c r="AG58" s="261">
        <v>0</v>
      </c>
      <c r="AH58" s="261">
        <v>0</v>
      </c>
      <c r="AI58" s="261">
        <v>0</v>
      </c>
      <c r="AJ58" s="261">
        <v>0</v>
      </c>
      <c r="AK58" s="261">
        <v>0</v>
      </c>
      <c r="AL58" s="262">
        <v>0</v>
      </c>
      <c r="AM58" s="264">
        <v>0</v>
      </c>
      <c r="AN58" s="259">
        <v>0</v>
      </c>
      <c r="AO58" s="259">
        <v>0</v>
      </c>
      <c r="AP58" s="259">
        <v>0</v>
      </c>
      <c r="AQ58" s="259">
        <v>0</v>
      </c>
      <c r="AR58" s="259">
        <v>0</v>
      </c>
      <c r="AS58" s="259">
        <v>0</v>
      </c>
      <c r="AT58" s="259">
        <v>0</v>
      </c>
      <c r="AU58" s="259">
        <v>0</v>
      </c>
      <c r="AV58" s="259">
        <v>0</v>
      </c>
      <c r="AW58" s="259">
        <v>0</v>
      </c>
      <c r="AX58" s="260">
        <v>0</v>
      </c>
      <c r="AY58" s="258">
        <v>0</v>
      </c>
      <c r="AZ58" s="259">
        <v>0</v>
      </c>
      <c r="BA58" s="259">
        <v>0</v>
      </c>
      <c r="BB58" s="259">
        <v>0</v>
      </c>
      <c r="BC58" s="259">
        <v>0</v>
      </c>
      <c r="BD58" s="259">
        <v>0</v>
      </c>
      <c r="BE58" s="259">
        <v>0</v>
      </c>
      <c r="BF58" s="259">
        <v>0</v>
      </c>
      <c r="BG58" s="259">
        <v>0</v>
      </c>
      <c r="BH58" s="259">
        <v>0</v>
      </c>
      <c r="BI58" s="259">
        <v>0</v>
      </c>
      <c r="BJ58" s="260">
        <v>0</v>
      </c>
      <c r="BK58" s="259">
        <v>0</v>
      </c>
      <c r="BL58" s="259">
        <v>0</v>
      </c>
      <c r="BM58" s="259">
        <v>0</v>
      </c>
      <c r="BN58" s="259">
        <v>0</v>
      </c>
      <c r="BO58" s="259">
        <v>0</v>
      </c>
      <c r="BP58" s="259">
        <v>0</v>
      </c>
      <c r="BQ58" s="259">
        <v>0</v>
      </c>
      <c r="BR58" s="259">
        <v>0</v>
      </c>
      <c r="BS58" s="259">
        <v>0</v>
      </c>
      <c r="BT58" s="261">
        <v>0</v>
      </c>
      <c r="BU58" s="261">
        <v>0</v>
      </c>
      <c r="BV58" s="267">
        <v>0</v>
      </c>
    </row>
    <row r="59" spans="1:74" ht="17" thickBot="1" x14ac:dyDescent="0.35">
      <c r="A59" s="147" t="s">
        <v>196</v>
      </c>
      <c r="B59" s="243" t="s">
        <v>399</v>
      </c>
      <c r="C59" s="272">
        <v>0</v>
      </c>
      <c r="D59" s="273">
        <v>0</v>
      </c>
      <c r="E59" s="273">
        <v>1</v>
      </c>
      <c r="F59" s="273">
        <v>0</v>
      </c>
      <c r="G59" s="273">
        <v>0</v>
      </c>
      <c r="H59" s="273">
        <v>0</v>
      </c>
      <c r="I59" s="273">
        <v>1</v>
      </c>
      <c r="J59" s="273">
        <v>0</v>
      </c>
      <c r="K59" s="273">
        <v>1</v>
      </c>
      <c r="L59" s="273">
        <v>0</v>
      </c>
      <c r="M59" s="273">
        <v>0</v>
      </c>
      <c r="N59" s="275">
        <v>0</v>
      </c>
      <c r="O59" s="273">
        <v>0</v>
      </c>
      <c r="P59" s="273">
        <v>0</v>
      </c>
      <c r="Q59" s="273">
        <v>0</v>
      </c>
      <c r="R59" s="273">
        <v>1</v>
      </c>
      <c r="S59" s="273">
        <v>0</v>
      </c>
      <c r="T59" s="273">
        <v>0</v>
      </c>
      <c r="U59" s="273">
        <v>1</v>
      </c>
      <c r="V59" s="273">
        <v>0</v>
      </c>
      <c r="W59" s="273">
        <v>0</v>
      </c>
      <c r="X59" s="273">
        <v>0</v>
      </c>
      <c r="Y59" s="273">
        <v>2</v>
      </c>
      <c r="Z59" s="275">
        <v>1</v>
      </c>
      <c r="AA59" s="273">
        <v>0</v>
      </c>
      <c r="AB59" s="273">
        <v>0</v>
      </c>
      <c r="AC59" s="273">
        <v>0</v>
      </c>
      <c r="AD59" s="273">
        <v>1</v>
      </c>
      <c r="AE59" s="273">
        <v>1</v>
      </c>
      <c r="AF59" s="273">
        <v>0</v>
      </c>
      <c r="AG59" s="273">
        <v>0</v>
      </c>
      <c r="AH59" s="273">
        <v>0</v>
      </c>
      <c r="AI59" s="273">
        <v>0</v>
      </c>
      <c r="AJ59" s="273">
        <v>0</v>
      </c>
      <c r="AK59" s="273">
        <v>0</v>
      </c>
      <c r="AL59" s="275">
        <v>0</v>
      </c>
      <c r="AM59" s="274">
        <v>0</v>
      </c>
      <c r="AN59" s="273">
        <v>0</v>
      </c>
      <c r="AO59" s="273">
        <v>0</v>
      </c>
      <c r="AP59" s="273">
        <v>0</v>
      </c>
      <c r="AQ59" s="273">
        <v>0</v>
      </c>
      <c r="AR59" s="273">
        <v>0</v>
      </c>
      <c r="AS59" s="273">
        <v>0</v>
      </c>
      <c r="AT59" s="273">
        <v>1</v>
      </c>
      <c r="AU59" s="273">
        <v>0</v>
      </c>
      <c r="AV59" s="273">
        <v>0</v>
      </c>
      <c r="AW59" s="273">
        <v>0</v>
      </c>
      <c r="AX59" s="275">
        <v>0</v>
      </c>
      <c r="AY59" s="272">
        <v>0</v>
      </c>
      <c r="AZ59" s="273">
        <v>0</v>
      </c>
      <c r="BA59" s="273">
        <v>0</v>
      </c>
      <c r="BB59" s="273">
        <v>2</v>
      </c>
      <c r="BC59" s="273">
        <v>0</v>
      </c>
      <c r="BD59" s="273">
        <v>0</v>
      </c>
      <c r="BE59" s="273">
        <v>0</v>
      </c>
      <c r="BF59" s="273">
        <v>0</v>
      </c>
      <c r="BG59" s="273">
        <v>0</v>
      </c>
      <c r="BH59" s="273">
        <v>1</v>
      </c>
      <c r="BI59" s="273">
        <v>0</v>
      </c>
      <c r="BJ59" s="275">
        <v>0</v>
      </c>
      <c r="BK59" s="273">
        <v>0</v>
      </c>
      <c r="BL59" s="273">
        <v>0</v>
      </c>
      <c r="BM59" s="273">
        <v>0</v>
      </c>
      <c r="BN59" s="273">
        <v>0</v>
      </c>
      <c r="BO59" s="273">
        <v>0</v>
      </c>
      <c r="BP59" s="273">
        <v>0</v>
      </c>
      <c r="BQ59" s="273">
        <v>0</v>
      </c>
      <c r="BR59" s="273">
        <v>0</v>
      </c>
      <c r="BS59" s="273">
        <v>0</v>
      </c>
      <c r="BT59" s="273">
        <v>0</v>
      </c>
      <c r="BU59" s="273">
        <v>0</v>
      </c>
      <c r="BV59" s="276">
        <v>1</v>
      </c>
    </row>
    <row r="60" spans="1:74" ht="17" thickBot="1" x14ac:dyDescent="0.35">
      <c r="A60" s="147" t="s">
        <v>196</v>
      </c>
      <c r="B60" s="243" t="s">
        <v>400</v>
      </c>
      <c r="C60" s="245">
        <v>0</v>
      </c>
      <c r="D60" s="246">
        <v>0</v>
      </c>
      <c r="E60" s="246">
        <v>1</v>
      </c>
      <c r="F60" s="246">
        <v>0</v>
      </c>
      <c r="G60" s="246">
        <v>0</v>
      </c>
      <c r="H60" s="246">
        <v>0</v>
      </c>
      <c r="I60" s="246">
        <v>2</v>
      </c>
      <c r="J60" s="246">
        <v>0</v>
      </c>
      <c r="K60" s="246">
        <v>1</v>
      </c>
      <c r="L60" s="246">
        <v>0</v>
      </c>
      <c r="M60" s="246">
        <v>0</v>
      </c>
      <c r="N60" s="247">
        <v>0</v>
      </c>
      <c r="O60" s="246">
        <v>0</v>
      </c>
      <c r="P60" s="246">
        <v>0</v>
      </c>
      <c r="Q60" s="246">
        <v>0</v>
      </c>
      <c r="R60" s="246">
        <v>1</v>
      </c>
      <c r="S60" s="246">
        <v>0</v>
      </c>
      <c r="T60" s="246">
        <v>0</v>
      </c>
      <c r="U60" s="246">
        <v>0</v>
      </c>
      <c r="V60" s="246">
        <v>0</v>
      </c>
      <c r="W60" s="246">
        <v>0</v>
      </c>
      <c r="X60" s="246">
        <v>0</v>
      </c>
      <c r="Y60" s="246">
        <v>0</v>
      </c>
      <c r="Z60" s="247">
        <v>1</v>
      </c>
      <c r="AA60" s="246">
        <v>0</v>
      </c>
      <c r="AB60" s="246">
        <v>0</v>
      </c>
      <c r="AC60" s="246">
        <v>0</v>
      </c>
      <c r="AD60" s="246">
        <v>0</v>
      </c>
      <c r="AE60" s="246">
        <v>1</v>
      </c>
      <c r="AF60" s="246">
        <v>0</v>
      </c>
      <c r="AG60" s="246">
        <v>0</v>
      </c>
      <c r="AH60" s="246">
        <v>0</v>
      </c>
      <c r="AI60" s="246">
        <v>0</v>
      </c>
      <c r="AJ60" s="246">
        <v>0</v>
      </c>
      <c r="AK60" s="246">
        <v>0</v>
      </c>
      <c r="AL60" s="247">
        <v>0</v>
      </c>
      <c r="AM60" s="248">
        <v>0</v>
      </c>
      <c r="AN60" s="246">
        <v>0</v>
      </c>
      <c r="AO60" s="246">
        <v>0</v>
      </c>
      <c r="AP60" s="246">
        <v>0</v>
      </c>
      <c r="AQ60" s="246">
        <v>0</v>
      </c>
      <c r="AR60" s="246">
        <v>0</v>
      </c>
      <c r="AS60" s="246">
        <v>0</v>
      </c>
      <c r="AT60" s="246">
        <v>1</v>
      </c>
      <c r="AU60" s="246">
        <v>0</v>
      </c>
      <c r="AV60" s="246">
        <v>0</v>
      </c>
      <c r="AW60" s="246">
        <v>0</v>
      </c>
      <c r="AX60" s="247">
        <v>0</v>
      </c>
      <c r="AY60" s="245">
        <v>0</v>
      </c>
      <c r="AZ60" s="246">
        <v>1</v>
      </c>
      <c r="BA60" s="246">
        <v>0</v>
      </c>
      <c r="BB60" s="246">
        <v>0</v>
      </c>
      <c r="BC60" s="246">
        <v>0</v>
      </c>
      <c r="BD60" s="246">
        <v>0</v>
      </c>
      <c r="BE60" s="246">
        <v>0</v>
      </c>
      <c r="BF60" s="246">
        <v>0</v>
      </c>
      <c r="BG60" s="246">
        <v>0</v>
      </c>
      <c r="BH60" s="246">
        <v>1</v>
      </c>
      <c r="BI60" s="246">
        <v>0</v>
      </c>
      <c r="BJ60" s="247">
        <v>0</v>
      </c>
      <c r="BK60" s="246">
        <v>1</v>
      </c>
      <c r="BL60" s="246">
        <v>0</v>
      </c>
      <c r="BM60" s="246">
        <v>0</v>
      </c>
      <c r="BN60" s="246">
        <v>0</v>
      </c>
      <c r="BO60" s="246">
        <v>0</v>
      </c>
      <c r="BP60" s="246">
        <v>0</v>
      </c>
      <c r="BQ60" s="246">
        <v>0</v>
      </c>
      <c r="BR60" s="246">
        <v>0</v>
      </c>
      <c r="BS60" s="246">
        <v>0</v>
      </c>
      <c r="BT60" s="246">
        <v>0</v>
      </c>
      <c r="BU60" s="246">
        <v>0</v>
      </c>
      <c r="BV60" s="249">
        <v>1</v>
      </c>
    </row>
    <row r="61" spans="1:74" ht="17" thickBot="1" x14ac:dyDescent="0.35">
      <c r="A61" s="279" t="s">
        <v>196</v>
      </c>
      <c r="B61" s="243" t="s">
        <v>401</v>
      </c>
      <c r="C61" s="277">
        <v>0</v>
      </c>
      <c r="D61" s="268">
        <v>0</v>
      </c>
      <c r="E61" s="268">
        <v>1</v>
      </c>
      <c r="F61" s="268">
        <v>0</v>
      </c>
      <c r="G61" s="268">
        <v>0</v>
      </c>
      <c r="H61" s="268">
        <v>0</v>
      </c>
      <c r="I61" s="268">
        <v>2</v>
      </c>
      <c r="J61" s="268">
        <v>0</v>
      </c>
      <c r="K61" s="268">
        <v>1</v>
      </c>
      <c r="L61" s="268">
        <v>0</v>
      </c>
      <c r="M61" s="268">
        <v>0</v>
      </c>
      <c r="N61" s="270">
        <v>0</v>
      </c>
      <c r="O61" s="268">
        <v>0</v>
      </c>
      <c r="P61" s="268">
        <v>0</v>
      </c>
      <c r="Q61" s="268">
        <v>0</v>
      </c>
      <c r="R61" s="268">
        <v>1</v>
      </c>
      <c r="S61" s="268">
        <v>0</v>
      </c>
      <c r="T61" s="268">
        <v>0</v>
      </c>
      <c r="U61" s="268">
        <v>0</v>
      </c>
      <c r="V61" s="268">
        <v>0</v>
      </c>
      <c r="W61" s="268">
        <v>0</v>
      </c>
      <c r="X61" s="268">
        <v>0</v>
      </c>
      <c r="Y61" s="268">
        <v>0</v>
      </c>
      <c r="Z61" s="270">
        <v>1</v>
      </c>
      <c r="AA61" s="268">
        <v>0</v>
      </c>
      <c r="AB61" s="268">
        <v>0</v>
      </c>
      <c r="AC61" s="268">
        <v>0</v>
      </c>
      <c r="AD61" s="268">
        <v>0</v>
      </c>
      <c r="AE61" s="268">
        <v>1</v>
      </c>
      <c r="AF61" s="268">
        <v>0</v>
      </c>
      <c r="AG61" s="268">
        <v>0</v>
      </c>
      <c r="AH61" s="268">
        <v>0</v>
      </c>
      <c r="AI61" s="268">
        <v>0</v>
      </c>
      <c r="AJ61" s="268">
        <v>0</v>
      </c>
      <c r="AK61" s="268">
        <v>0</v>
      </c>
      <c r="AL61" s="270">
        <v>0</v>
      </c>
      <c r="AM61" s="269">
        <v>0</v>
      </c>
      <c r="AN61" s="268">
        <v>0</v>
      </c>
      <c r="AO61" s="268">
        <v>0</v>
      </c>
      <c r="AP61" s="268">
        <v>0</v>
      </c>
      <c r="AQ61" s="268">
        <v>0</v>
      </c>
      <c r="AR61" s="268">
        <v>0</v>
      </c>
      <c r="AS61" s="268">
        <v>0</v>
      </c>
      <c r="AT61" s="268">
        <v>1</v>
      </c>
      <c r="AU61" s="268">
        <v>0</v>
      </c>
      <c r="AV61" s="268">
        <v>0</v>
      </c>
      <c r="AW61" s="268">
        <v>0</v>
      </c>
      <c r="AX61" s="270">
        <v>0</v>
      </c>
      <c r="AY61" s="277">
        <v>0</v>
      </c>
      <c r="AZ61" s="268">
        <v>1</v>
      </c>
      <c r="BA61" s="268">
        <v>0</v>
      </c>
      <c r="BB61" s="268">
        <v>0</v>
      </c>
      <c r="BC61" s="268">
        <v>0</v>
      </c>
      <c r="BD61" s="268">
        <v>0</v>
      </c>
      <c r="BE61" s="268">
        <v>0</v>
      </c>
      <c r="BF61" s="268">
        <v>0</v>
      </c>
      <c r="BG61" s="268">
        <v>0</v>
      </c>
      <c r="BH61" s="268">
        <v>1</v>
      </c>
      <c r="BI61" s="268">
        <v>0</v>
      </c>
      <c r="BJ61" s="270">
        <v>0</v>
      </c>
      <c r="BK61" s="268">
        <v>1</v>
      </c>
      <c r="BL61" s="268">
        <v>0</v>
      </c>
      <c r="BM61" s="268">
        <v>0</v>
      </c>
      <c r="BN61" s="268">
        <v>0</v>
      </c>
      <c r="BO61" s="268">
        <v>0</v>
      </c>
      <c r="BP61" s="268">
        <v>0</v>
      </c>
      <c r="BQ61" s="268">
        <v>0</v>
      </c>
      <c r="BR61" s="268">
        <v>0</v>
      </c>
      <c r="BS61" s="268">
        <v>0</v>
      </c>
      <c r="BT61" s="268">
        <v>0</v>
      </c>
      <c r="BU61" s="268">
        <v>0</v>
      </c>
      <c r="BV61" s="271">
        <v>1</v>
      </c>
    </row>
    <row r="62" spans="1:74" ht="17" thickBot="1" x14ac:dyDescent="0.5">
      <c r="A62" s="74" t="s">
        <v>211</v>
      </c>
      <c r="B62" s="239" t="s">
        <v>403</v>
      </c>
      <c r="C62" s="207">
        <v>0</v>
      </c>
      <c r="D62" s="208">
        <v>0</v>
      </c>
      <c r="E62" s="208">
        <v>0</v>
      </c>
      <c r="F62" s="208">
        <v>0</v>
      </c>
      <c r="G62" s="208">
        <v>0</v>
      </c>
      <c r="H62" s="208">
        <v>0</v>
      </c>
      <c r="I62" s="208">
        <v>0</v>
      </c>
      <c r="J62" s="208">
        <v>0</v>
      </c>
      <c r="K62" s="208">
        <v>0</v>
      </c>
      <c r="L62" s="208">
        <v>1</v>
      </c>
      <c r="M62" s="208">
        <v>0</v>
      </c>
      <c r="N62" s="209">
        <v>0</v>
      </c>
      <c r="O62" s="208">
        <v>0</v>
      </c>
      <c r="P62" s="208">
        <v>0</v>
      </c>
      <c r="Q62" s="208">
        <v>0</v>
      </c>
      <c r="R62" s="208">
        <v>0</v>
      </c>
      <c r="S62" s="208">
        <v>0</v>
      </c>
      <c r="T62" s="208">
        <v>0</v>
      </c>
      <c r="U62" s="208">
        <v>0</v>
      </c>
      <c r="V62" s="208">
        <v>1</v>
      </c>
      <c r="W62" s="208">
        <v>0</v>
      </c>
      <c r="X62" s="210">
        <v>1</v>
      </c>
      <c r="Y62" s="210">
        <v>1</v>
      </c>
      <c r="Z62" s="211">
        <v>1</v>
      </c>
      <c r="AA62" s="212">
        <v>0</v>
      </c>
      <c r="AB62" s="210">
        <v>0</v>
      </c>
      <c r="AC62" s="210">
        <v>0</v>
      </c>
      <c r="AD62" s="210">
        <v>0</v>
      </c>
      <c r="AE62" s="210">
        <v>0</v>
      </c>
      <c r="AF62" s="210">
        <v>0</v>
      </c>
      <c r="AG62" s="210">
        <v>1</v>
      </c>
      <c r="AH62" s="210">
        <v>0</v>
      </c>
      <c r="AI62" s="210">
        <v>0</v>
      </c>
      <c r="AJ62" s="210">
        <v>0</v>
      </c>
      <c r="AK62" s="210">
        <v>0</v>
      </c>
      <c r="AL62" s="211">
        <v>1</v>
      </c>
      <c r="AM62" s="207">
        <v>0</v>
      </c>
      <c r="AN62" s="208">
        <v>0</v>
      </c>
      <c r="AO62" s="208">
        <v>0</v>
      </c>
      <c r="AP62" s="208">
        <v>0</v>
      </c>
      <c r="AQ62" s="208">
        <v>0</v>
      </c>
      <c r="AR62" s="208">
        <v>0</v>
      </c>
      <c r="AS62" s="208">
        <v>0</v>
      </c>
      <c r="AT62" s="208">
        <v>0</v>
      </c>
      <c r="AU62" s="208">
        <v>0</v>
      </c>
      <c r="AV62" s="208">
        <v>0</v>
      </c>
      <c r="AW62" s="208">
        <v>0</v>
      </c>
      <c r="AX62" s="209">
        <v>0</v>
      </c>
      <c r="AY62" s="208">
        <v>0</v>
      </c>
      <c r="AZ62" s="208">
        <v>0</v>
      </c>
      <c r="BA62" s="208">
        <v>0</v>
      </c>
      <c r="BB62" s="208">
        <v>0</v>
      </c>
      <c r="BC62" s="208">
        <v>0</v>
      </c>
      <c r="BD62" s="208">
        <v>0</v>
      </c>
      <c r="BE62" s="208">
        <v>0</v>
      </c>
      <c r="BF62" s="208">
        <v>0</v>
      </c>
      <c r="BG62" s="208">
        <v>0</v>
      </c>
      <c r="BH62" s="210">
        <v>0</v>
      </c>
      <c r="BI62" s="210">
        <v>1</v>
      </c>
      <c r="BJ62" s="211">
        <v>0</v>
      </c>
      <c r="BK62" s="242">
        <v>0</v>
      </c>
      <c r="BL62" s="208">
        <v>0</v>
      </c>
      <c r="BM62" s="208">
        <v>0</v>
      </c>
      <c r="BN62" s="208">
        <v>0</v>
      </c>
      <c r="BO62" s="208">
        <v>0</v>
      </c>
      <c r="BP62" s="208">
        <v>0</v>
      </c>
      <c r="BQ62" s="208">
        <v>0</v>
      </c>
      <c r="BR62" s="208">
        <v>0</v>
      </c>
      <c r="BS62" s="208">
        <v>0</v>
      </c>
      <c r="BT62" s="208">
        <v>0</v>
      </c>
      <c r="BU62" s="208">
        <v>1</v>
      </c>
      <c r="BV62" s="278">
        <v>0</v>
      </c>
    </row>
    <row r="63" spans="1:74" ht="17" thickBot="1" x14ac:dyDescent="0.5">
      <c r="A63" s="147" t="s">
        <v>211</v>
      </c>
      <c r="B63" s="243" t="s">
        <v>398</v>
      </c>
      <c r="C63" s="250">
        <v>0</v>
      </c>
      <c r="D63" s="251">
        <v>0</v>
      </c>
      <c r="E63" s="251">
        <v>0</v>
      </c>
      <c r="F63" s="251">
        <v>0</v>
      </c>
      <c r="G63" s="251">
        <v>0</v>
      </c>
      <c r="H63" s="251">
        <v>0</v>
      </c>
      <c r="I63" s="251">
        <v>0</v>
      </c>
      <c r="J63" s="251">
        <v>0</v>
      </c>
      <c r="K63" s="251">
        <v>0</v>
      </c>
      <c r="L63" s="251">
        <v>1</v>
      </c>
      <c r="M63" s="251">
        <v>0</v>
      </c>
      <c r="N63" s="252">
        <v>0</v>
      </c>
      <c r="O63" s="251">
        <v>0</v>
      </c>
      <c r="P63" s="251">
        <v>0</v>
      </c>
      <c r="Q63" s="251">
        <v>0</v>
      </c>
      <c r="R63" s="251">
        <v>0</v>
      </c>
      <c r="S63" s="251">
        <v>0</v>
      </c>
      <c r="T63" s="251">
        <v>0</v>
      </c>
      <c r="U63" s="251">
        <v>0</v>
      </c>
      <c r="V63" s="251">
        <v>1</v>
      </c>
      <c r="W63" s="251">
        <v>0</v>
      </c>
      <c r="X63" s="253">
        <v>1</v>
      </c>
      <c r="Y63" s="253">
        <v>1</v>
      </c>
      <c r="Z63" s="254">
        <v>1</v>
      </c>
      <c r="AA63" s="255">
        <v>0</v>
      </c>
      <c r="AB63" s="253">
        <v>0</v>
      </c>
      <c r="AC63" s="253">
        <v>0</v>
      </c>
      <c r="AD63" s="253">
        <v>0</v>
      </c>
      <c r="AE63" s="253">
        <v>0</v>
      </c>
      <c r="AF63" s="253">
        <v>0</v>
      </c>
      <c r="AG63" s="253">
        <v>1</v>
      </c>
      <c r="AH63" s="253">
        <v>0</v>
      </c>
      <c r="AI63" s="253">
        <v>0</v>
      </c>
      <c r="AJ63" s="253">
        <v>0</v>
      </c>
      <c r="AK63" s="253">
        <v>0</v>
      </c>
      <c r="AL63" s="254">
        <v>1</v>
      </c>
      <c r="AM63" s="250">
        <v>0</v>
      </c>
      <c r="AN63" s="251">
        <v>0</v>
      </c>
      <c r="AO63" s="251">
        <v>0</v>
      </c>
      <c r="AP63" s="251">
        <v>0</v>
      </c>
      <c r="AQ63" s="251">
        <v>0</v>
      </c>
      <c r="AR63" s="251">
        <v>0</v>
      </c>
      <c r="AS63" s="251">
        <v>0</v>
      </c>
      <c r="AT63" s="251">
        <v>0</v>
      </c>
      <c r="AU63" s="251">
        <v>0</v>
      </c>
      <c r="AV63" s="251">
        <v>0</v>
      </c>
      <c r="AW63" s="251">
        <v>0</v>
      </c>
      <c r="AX63" s="252">
        <v>0</v>
      </c>
      <c r="AY63" s="251">
        <v>0</v>
      </c>
      <c r="AZ63" s="251">
        <v>0</v>
      </c>
      <c r="BA63" s="251">
        <v>0</v>
      </c>
      <c r="BB63" s="251">
        <v>0</v>
      </c>
      <c r="BC63" s="251">
        <v>0</v>
      </c>
      <c r="BD63" s="251">
        <v>0</v>
      </c>
      <c r="BE63" s="251">
        <v>0</v>
      </c>
      <c r="BF63" s="251">
        <v>0</v>
      </c>
      <c r="BG63" s="251">
        <v>0</v>
      </c>
      <c r="BH63" s="253">
        <v>0</v>
      </c>
      <c r="BI63" s="253">
        <v>1</v>
      </c>
      <c r="BJ63" s="254">
        <v>0</v>
      </c>
      <c r="BK63" s="256">
        <v>0</v>
      </c>
      <c r="BL63" s="251">
        <v>0</v>
      </c>
      <c r="BM63" s="251">
        <v>0</v>
      </c>
      <c r="BN63" s="251">
        <v>0</v>
      </c>
      <c r="BO63" s="251">
        <v>0</v>
      </c>
      <c r="BP63" s="251">
        <v>0</v>
      </c>
      <c r="BQ63" s="251">
        <v>0</v>
      </c>
      <c r="BR63" s="251">
        <v>0</v>
      </c>
      <c r="BS63" s="251">
        <v>0</v>
      </c>
      <c r="BT63" s="251">
        <v>0</v>
      </c>
      <c r="BU63" s="251">
        <v>1</v>
      </c>
      <c r="BV63" s="257">
        <v>0</v>
      </c>
    </row>
    <row r="64" spans="1:74" ht="17" thickBot="1" x14ac:dyDescent="0.5">
      <c r="A64" s="147" t="s">
        <v>211</v>
      </c>
      <c r="B64" s="243" t="s">
        <v>404</v>
      </c>
      <c r="C64" s="258">
        <v>0</v>
      </c>
      <c r="D64" s="259">
        <v>0</v>
      </c>
      <c r="E64" s="259">
        <v>0</v>
      </c>
      <c r="F64" s="259">
        <v>0</v>
      </c>
      <c r="G64" s="259">
        <v>0</v>
      </c>
      <c r="H64" s="259">
        <v>0</v>
      </c>
      <c r="I64" s="259">
        <v>0</v>
      </c>
      <c r="J64" s="259">
        <v>0</v>
      </c>
      <c r="K64" s="259">
        <v>0</v>
      </c>
      <c r="L64" s="259">
        <v>0</v>
      </c>
      <c r="M64" s="259">
        <v>0</v>
      </c>
      <c r="N64" s="260">
        <v>0</v>
      </c>
      <c r="O64" s="259">
        <v>0</v>
      </c>
      <c r="P64" s="259">
        <v>0</v>
      </c>
      <c r="Q64" s="259">
        <v>0</v>
      </c>
      <c r="R64" s="259">
        <v>0</v>
      </c>
      <c r="S64" s="259">
        <v>0</v>
      </c>
      <c r="T64" s="259">
        <v>0</v>
      </c>
      <c r="U64" s="259">
        <v>0</v>
      </c>
      <c r="V64" s="259">
        <v>0</v>
      </c>
      <c r="W64" s="259">
        <v>0</v>
      </c>
      <c r="X64" s="261">
        <v>0</v>
      </c>
      <c r="Y64" s="261">
        <v>1</v>
      </c>
      <c r="Z64" s="262">
        <v>1</v>
      </c>
      <c r="AA64" s="263">
        <v>0</v>
      </c>
      <c r="AB64" s="261">
        <v>0</v>
      </c>
      <c r="AC64" s="261">
        <v>0</v>
      </c>
      <c r="AD64" s="261">
        <v>0</v>
      </c>
      <c r="AE64" s="261">
        <v>0</v>
      </c>
      <c r="AF64" s="261">
        <v>0</v>
      </c>
      <c r="AG64" s="261">
        <v>0</v>
      </c>
      <c r="AH64" s="261">
        <v>0</v>
      </c>
      <c r="AI64" s="261">
        <v>0</v>
      </c>
      <c r="AJ64" s="261">
        <v>0</v>
      </c>
      <c r="AK64" s="261">
        <v>0</v>
      </c>
      <c r="AL64" s="262">
        <v>0</v>
      </c>
      <c r="AM64" s="258">
        <v>0</v>
      </c>
      <c r="AN64" s="259">
        <v>0</v>
      </c>
      <c r="AO64" s="259">
        <v>0</v>
      </c>
      <c r="AP64" s="259">
        <v>0</v>
      </c>
      <c r="AQ64" s="259">
        <v>0</v>
      </c>
      <c r="AR64" s="259">
        <v>0</v>
      </c>
      <c r="AS64" s="259">
        <v>0</v>
      </c>
      <c r="AT64" s="259">
        <v>0</v>
      </c>
      <c r="AU64" s="259">
        <v>0</v>
      </c>
      <c r="AV64" s="259">
        <v>0</v>
      </c>
      <c r="AW64" s="259">
        <v>0</v>
      </c>
      <c r="AX64" s="260">
        <v>0</v>
      </c>
      <c r="AY64" s="259">
        <v>0</v>
      </c>
      <c r="AZ64" s="259">
        <v>0</v>
      </c>
      <c r="BA64" s="259">
        <v>0</v>
      </c>
      <c r="BB64" s="259">
        <v>0</v>
      </c>
      <c r="BC64" s="259">
        <v>0</v>
      </c>
      <c r="BD64" s="259">
        <v>0</v>
      </c>
      <c r="BE64" s="259">
        <v>0</v>
      </c>
      <c r="BF64" s="259">
        <v>0</v>
      </c>
      <c r="BG64" s="259">
        <v>0</v>
      </c>
      <c r="BH64" s="261">
        <v>0</v>
      </c>
      <c r="BI64" s="261">
        <v>0</v>
      </c>
      <c r="BJ64" s="262">
        <v>0</v>
      </c>
      <c r="BK64" s="264">
        <v>0</v>
      </c>
      <c r="BL64" s="259">
        <v>0</v>
      </c>
      <c r="BM64" s="259">
        <v>0</v>
      </c>
      <c r="BN64" s="259">
        <v>0</v>
      </c>
      <c r="BO64" s="259">
        <v>0</v>
      </c>
      <c r="BP64" s="259">
        <v>0</v>
      </c>
      <c r="BQ64" s="259">
        <v>0</v>
      </c>
      <c r="BR64" s="259">
        <v>0</v>
      </c>
      <c r="BS64" s="259">
        <v>0</v>
      </c>
      <c r="BT64" s="259">
        <v>0</v>
      </c>
      <c r="BU64" s="259">
        <v>0</v>
      </c>
      <c r="BV64" s="265">
        <v>0</v>
      </c>
    </row>
    <row r="65" spans="1:74" ht="17" thickBot="1" x14ac:dyDescent="0.35">
      <c r="A65" s="147" t="s">
        <v>211</v>
      </c>
      <c r="B65" s="243" t="s">
        <v>399</v>
      </c>
      <c r="C65" s="272">
        <v>0</v>
      </c>
      <c r="D65" s="273">
        <v>0</v>
      </c>
      <c r="E65" s="273">
        <v>0</v>
      </c>
      <c r="F65" s="273">
        <v>0</v>
      </c>
      <c r="G65" s="273">
        <v>0</v>
      </c>
      <c r="H65" s="273">
        <v>0</v>
      </c>
      <c r="I65" s="273">
        <v>0</v>
      </c>
      <c r="J65" s="273">
        <v>0</v>
      </c>
      <c r="K65" s="273">
        <v>0</v>
      </c>
      <c r="L65" s="273">
        <v>1</v>
      </c>
      <c r="M65" s="273">
        <v>0</v>
      </c>
      <c r="N65" s="275">
        <v>0</v>
      </c>
      <c r="O65" s="273">
        <v>0</v>
      </c>
      <c r="P65" s="273">
        <v>0</v>
      </c>
      <c r="Q65" s="273">
        <v>0</v>
      </c>
      <c r="R65" s="273">
        <v>0</v>
      </c>
      <c r="S65" s="273">
        <v>0</v>
      </c>
      <c r="T65" s="273">
        <v>0</v>
      </c>
      <c r="U65" s="273">
        <v>0</v>
      </c>
      <c r="V65" s="273">
        <v>1</v>
      </c>
      <c r="W65" s="273">
        <v>0</v>
      </c>
      <c r="X65" s="273">
        <v>1</v>
      </c>
      <c r="Y65" s="273">
        <v>1</v>
      </c>
      <c r="Z65" s="275">
        <v>1</v>
      </c>
      <c r="AA65" s="273">
        <v>0</v>
      </c>
      <c r="AB65" s="273">
        <v>0</v>
      </c>
      <c r="AC65" s="273">
        <v>0</v>
      </c>
      <c r="AD65" s="273">
        <v>0</v>
      </c>
      <c r="AE65" s="273">
        <v>0</v>
      </c>
      <c r="AF65" s="273">
        <v>0</v>
      </c>
      <c r="AG65" s="273">
        <v>1</v>
      </c>
      <c r="AH65" s="273">
        <v>0</v>
      </c>
      <c r="AI65" s="273">
        <v>0</v>
      </c>
      <c r="AJ65" s="273">
        <v>0</v>
      </c>
      <c r="AK65" s="273">
        <v>0</v>
      </c>
      <c r="AL65" s="275">
        <v>1</v>
      </c>
      <c r="AM65" s="272">
        <v>0</v>
      </c>
      <c r="AN65" s="273">
        <v>0</v>
      </c>
      <c r="AO65" s="273">
        <v>0</v>
      </c>
      <c r="AP65" s="273">
        <v>0</v>
      </c>
      <c r="AQ65" s="273">
        <v>0</v>
      </c>
      <c r="AR65" s="273">
        <v>0</v>
      </c>
      <c r="AS65" s="273">
        <v>0</v>
      </c>
      <c r="AT65" s="273">
        <v>0</v>
      </c>
      <c r="AU65" s="273">
        <v>0</v>
      </c>
      <c r="AV65" s="273">
        <v>0</v>
      </c>
      <c r="AW65" s="273">
        <v>0</v>
      </c>
      <c r="AX65" s="275">
        <v>0</v>
      </c>
      <c r="AY65" s="273">
        <v>0</v>
      </c>
      <c r="AZ65" s="273">
        <v>0</v>
      </c>
      <c r="BA65" s="273">
        <v>0</v>
      </c>
      <c r="BB65" s="273">
        <v>0</v>
      </c>
      <c r="BC65" s="273">
        <v>0</v>
      </c>
      <c r="BD65" s="273">
        <v>0</v>
      </c>
      <c r="BE65" s="273">
        <v>0</v>
      </c>
      <c r="BF65" s="273">
        <v>0</v>
      </c>
      <c r="BG65" s="273">
        <v>0</v>
      </c>
      <c r="BH65" s="273">
        <v>0</v>
      </c>
      <c r="BI65" s="273">
        <v>1</v>
      </c>
      <c r="BJ65" s="275">
        <v>0</v>
      </c>
      <c r="BK65" s="274">
        <v>0</v>
      </c>
      <c r="BL65" s="273">
        <v>0</v>
      </c>
      <c r="BM65" s="273">
        <v>0</v>
      </c>
      <c r="BN65" s="273">
        <v>0</v>
      </c>
      <c r="BO65" s="273">
        <v>0</v>
      </c>
      <c r="BP65" s="273">
        <v>0</v>
      </c>
      <c r="BQ65" s="273">
        <v>0</v>
      </c>
      <c r="BR65" s="273">
        <v>0</v>
      </c>
      <c r="BS65" s="273">
        <v>0</v>
      </c>
      <c r="BT65" s="273">
        <v>0</v>
      </c>
      <c r="BU65" s="273">
        <v>1</v>
      </c>
      <c r="BV65" s="276">
        <v>0</v>
      </c>
    </row>
    <row r="66" spans="1:74" ht="17" thickBot="1" x14ac:dyDescent="0.35">
      <c r="A66" s="147" t="s">
        <v>211</v>
      </c>
      <c r="B66" s="243" t="s">
        <v>400</v>
      </c>
      <c r="C66" s="245">
        <v>0</v>
      </c>
      <c r="D66" s="246">
        <v>0</v>
      </c>
      <c r="E66" s="246">
        <v>0</v>
      </c>
      <c r="F66" s="246">
        <v>0</v>
      </c>
      <c r="G66" s="246">
        <v>0</v>
      </c>
      <c r="H66" s="246">
        <v>0</v>
      </c>
      <c r="I66" s="246">
        <v>0</v>
      </c>
      <c r="J66" s="246">
        <v>0</v>
      </c>
      <c r="K66" s="246">
        <v>0</v>
      </c>
      <c r="L66" s="246">
        <v>1</v>
      </c>
      <c r="M66" s="246">
        <v>0</v>
      </c>
      <c r="N66" s="247">
        <v>0</v>
      </c>
      <c r="O66" s="246">
        <v>0</v>
      </c>
      <c r="P66" s="246">
        <v>0</v>
      </c>
      <c r="Q66" s="246">
        <v>0</v>
      </c>
      <c r="R66" s="246">
        <v>0</v>
      </c>
      <c r="S66" s="246">
        <v>0</v>
      </c>
      <c r="T66" s="246">
        <v>0</v>
      </c>
      <c r="U66" s="246">
        <v>0</v>
      </c>
      <c r="V66" s="246">
        <v>1</v>
      </c>
      <c r="W66" s="246">
        <v>0</v>
      </c>
      <c r="X66" s="246">
        <v>0</v>
      </c>
      <c r="Y66" s="246">
        <v>0</v>
      </c>
      <c r="Z66" s="247">
        <v>0</v>
      </c>
      <c r="AA66" s="246">
        <v>0</v>
      </c>
      <c r="AB66" s="246">
        <v>0</v>
      </c>
      <c r="AC66" s="246">
        <v>0</v>
      </c>
      <c r="AD66" s="246">
        <v>0</v>
      </c>
      <c r="AE66" s="246">
        <v>0</v>
      </c>
      <c r="AF66" s="246">
        <v>0</v>
      </c>
      <c r="AG66" s="246">
        <v>1</v>
      </c>
      <c r="AH66" s="246">
        <v>0</v>
      </c>
      <c r="AI66" s="246">
        <v>0</v>
      </c>
      <c r="AJ66" s="246">
        <v>0</v>
      </c>
      <c r="AK66" s="246">
        <v>0</v>
      </c>
      <c r="AL66" s="247">
        <v>0</v>
      </c>
      <c r="AM66" s="245">
        <v>0</v>
      </c>
      <c r="AN66" s="246">
        <v>0</v>
      </c>
      <c r="AO66" s="246">
        <v>0</v>
      </c>
      <c r="AP66" s="246">
        <v>0</v>
      </c>
      <c r="AQ66" s="246">
        <v>0</v>
      </c>
      <c r="AR66" s="246">
        <v>0</v>
      </c>
      <c r="AS66" s="246">
        <v>0</v>
      </c>
      <c r="AT66" s="246">
        <v>0</v>
      </c>
      <c r="AU66" s="246">
        <v>0</v>
      </c>
      <c r="AV66" s="246">
        <v>0</v>
      </c>
      <c r="AW66" s="246">
        <v>0</v>
      </c>
      <c r="AX66" s="247">
        <v>0</v>
      </c>
      <c r="AY66" s="246">
        <v>0</v>
      </c>
      <c r="AZ66" s="246">
        <v>0</v>
      </c>
      <c r="BA66" s="246">
        <v>0</v>
      </c>
      <c r="BB66" s="246">
        <v>0</v>
      </c>
      <c r="BC66" s="246">
        <v>0</v>
      </c>
      <c r="BD66" s="246">
        <v>0</v>
      </c>
      <c r="BE66" s="246">
        <v>0</v>
      </c>
      <c r="BF66" s="246">
        <v>0</v>
      </c>
      <c r="BG66" s="246">
        <v>0</v>
      </c>
      <c r="BH66" s="246">
        <v>0</v>
      </c>
      <c r="BI66" s="246">
        <v>1</v>
      </c>
      <c r="BJ66" s="247">
        <v>0</v>
      </c>
      <c r="BK66" s="248">
        <v>0</v>
      </c>
      <c r="BL66" s="246">
        <v>0</v>
      </c>
      <c r="BM66" s="246">
        <v>0</v>
      </c>
      <c r="BN66" s="246">
        <v>0</v>
      </c>
      <c r="BO66" s="246">
        <v>0</v>
      </c>
      <c r="BP66" s="246">
        <v>0</v>
      </c>
      <c r="BQ66" s="246">
        <v>0</v>
      </c>
      <c r="BR66" s="246">
        <v>0</v>
      </c>
      <c r="BS66" s="246">
        <v>0</v>
      </c>
      <c r="BT66" s="246">
        <v>0</v>
      </c>
      <c r="BU66" s="246">
        <v>0</v>
      </c>
      <c r="BV66" s="249">
        <v>0</v>
      </c>
    </row>
    <row r="67" spans="1:74" ht="17" thickBot="1" x14ac:dyDescent="0.35">
      <c r="A67" s="279" t="s">
        <v>211</v>
      </c>
      <c r="B67" s="243" t="s">
        <v>401</v>
      </c>
      <c r="C67" s="277">
        <v>0</v>
      </c>
      <c r="D67" s="268">
        <v>0</v>
      </c>
      <c r="E67" s="268">
        <v>0</v>
      </c>
      <c r="F67" s="268">
        <v>0</v>
      </c>
      <c r="G67" s="268">
        <v>0</v>
      </c>
      <c r="H67" s="268">
        <v>0</v>
      </c>
      <c r="I67" s="268">
        <v>0</v>
      </c>
      <c r="J67" s="268">
        <v>0</v>
      </c>
      <c r="K67" s="268">
        <v>0</v>
      </c>
      <c r="L67" s="268">
        <v>1</v>
      </c>
      <c r="M67" s="268">
        <v>0</v>
      </c>
      <c r="N67" s="270">
        <v>0</v>
      </c>
      <c r="O67" s="268">
        <v>0</v>
      </c>
      <c r="P67" s="268">
        <v>0</v>
      </c>
      <c r="Q67" s="268">
        <v>0</v>
      </c>
      <c r="R67" s="268">
        <v>0</v>
      </c>
      <c r="S67" s="268">
        <v>0</v>
      </c>
      <c r="T67" s="268">
        <v>0</v>
      </c>
      <c r="U67" s="268">
        <v>0</v>
      </c>
      <c r="V67" s="268">
        <v>1</v>
      </c>
      <c r="W67" s="268">
        <v>0</v>
      </c>
      <c r="X67" s="268">
        <v>0</v>
      </c>
      <c r="Y67" s="268">
        <v>0</v>
      </c>
      <c r="Z67" s="270">
        <v>0</v>
      </c>
      <c r="AA67" s="268">
        <v>0</v>
      </c>
      <c r="AB67" s="268">
        <v>0</v>
      </c>
      <c r="AC67" s="268">
        <v>0</v>
      </c>
      <c r="AD67" s="268">
        <v>0</v>
      </c>
      <c r="AE67" s="268">
        <v>0</v>
      </c>
      <c r="AF67" s="268">
        <v>0</v>
      </c>
      <c r="AG67" s="268">
        <v>1</v>
      </c>
      <c r="AH67" s="268">
        <v>0</v>
      </c>
      <c r="AI67" s="268">
        <v>0</v>
      </c>
      <c r="AJ67" s="268">
        <v>0</v>
      </c>
      <c r="AK67" s="268">
        <v>0</v>
      </c>
      <c r="AL67" s="270">
        <v>0</v>
      </c>
      <c r="AM67" s="277">
        <v>0</v>
      </c>
      <c r="AN67" s="268">
        <v>0</v>
      </c>
      <c r="AO67" s="268">
        <v>0</v>
      </c>
      <c r="AP67" s="268">
        <v>0</v>
      </c>
      <c r="AQ67" s="268">
        <v>0</v>
      </c>
      <c r="AR67" s="268">
        <v>0</v>
      </c>
      <c r="AS67" s="268">
        <v>0</v>
      </c>
      <c r="AT67" s="268">
        <v>0</v>
      </c>
      <c r="AU67" s="268">
        <v>0</v>
      </c>
      <c r="AV67" s="268">
        <v>0</v>
      </c>
      <c r="AW67" s="268">
        <v>0</v>
      </c>
      <c r="AX67" s="270">
        <v>0</v>
      </c>
      <c r="AY67" s="268">
        <v>0</v>
      </c>
      <c r="AZ67" s="268">
        <v>0</v>
      </c>
      <c r="BA67" s="268">
        <v>0</v>
      </c>
      <c r="BB67" s="268">
        <v>0</v>
      </c>
      <c r="BC67" s="268">
        <v>0</v>
      </c>
      <c r="BD67" s="268">
        <v>0</v>
      </c>
      <c r="BE67" s="268">
        <v>0</v>
      </c>
      <c r="BF67" s="268">
        <v>0</v>
      </c>
      <c r="BG67" s="268">
        <v>0</v>
      </c>
      <c r="BH67" s="268">
        <v>0</v>
      </c>
      <c r="BI67" s="268">
        <v>1</v>
      </c>
      <c r="BJ67" s="270">
        <v>0</v>
      </c>
      <c r="BK67" s="269">
        <v>0</v>
      </c>
      <c r="BL67" s="268">
        <v>0</v>
      </c>
      <c r="BM67" s="268">
        <v>0</v>
      </c>
      <c r="BN67" s="268">
        <v>0</v>
      </c>
      <c r="BO67" s="268">
        <v>0</v>
      </c>
      <c r="BP67" s="268">
        <v>0</v>
      </c>
      <c r="BQ67" s="268">
        <v>0</v>
      </c>
      <c r="BR67" s="268">
        <v>0</v>
      </c>
      <c r="BS67" s="268">
        <v>0</v>
      </c>
      <c r="BT67" s="268">
        <v>0</v>
      </c>
      <c r="BU67" s="268">
        <v>0</v>
      </c>
      <c r="BV67" s="271">
        <v>0</v>
      </c>
    </row>
    <row r="68" spans="1:74" ht="17" thickBot="1" x14ac:dyDescent="0.5">
      <c r="A68" s="74" t="s">
        <v>214</v>
      </c>
      <c r="B68" s="239" t="s">
        <v>403</v>
      </c>
      <c r="C68" s="207">
        <v>0</v>
      </c>
      <c r="D68" s="208">
        <v>0</v>
      </c>
      <c r="E68" s="208">
        <v>0</v>
      </c>
      <c r="F68" s="208">
        <v>1</v>
      </c>
      <c r="G68" s="208">
        <v>2</v>
      </c>
      <c r="H68" s="208">
        <v>1</v>
      </c>
      <c r="I68" s="208">
        <v>1</v>
      </c>
      <c r="J68" s="208">
        <v>0</v>
      </c>
      <c r="K68" s="208">
        <v>0</v>
      </c>
      <c r="L68" s="208">
        <v>1</v>
      </c>
      <c r="M68" s="208">
        <v>0</v>
      </c>
      <c r="N68" s="209">
        <v>0</v>
      </c>
      <c r="O68" s="208">
        <v>1</v>
      </c>
      <c r="P68" s="208">
        <v>0</v>
      </c>
      <c r="Q68" s="208">
        <v>0</v>
      </c>
      <c r="R68" s="208">
        <v>1</v>
      </c>
      <c r="S68" s="208">
        <v>0</v>
      </c>
      <c r="T68" s="208">
        <v>1</v>
      </c>
      <c r="U68" s="208">
        <v>0</v>
      </c>
      <c r="V68" s="208">
        <v>0</v>
      </c>
      <c r="W68" s="208">
        <v>0</v>
      </c>
      <c r="X68" s="210">
        <v>1</v>
      </c>
      <c r="Y68" s="210">
        <v>1</v>
      </c>
      <c r="Z68" s="211">
        <v>0</v>
      </c>
      <c r="AA68" s="212">
        <v>1</v>
      </c>
      <c r="AB68" s="210">
        <v>0</v>
      </c>
      <c r="AC68" s="210">
        <v>0</v>
      </c>
      <c r="AD68" s="210">
        <v>1</v>
      </c>
      <c r="AE68" s="210">
        <v>0</v>
      </c>
      <c r="AF68" s="210">
        <v>0</v>
      </c>
      <c r="AG68" s="210">
        <v>0</v>
      </c>
      <c r="AH68" s="210">
        <v>0</v>
      </c>
      <c r="AI68" s="210">
        <v>1</v>
      </c>
      <c r="AJ68" s="210">
        <v>0</v>
      </c>
      <c r="AK68" s="210">
        <v>1</v>
      </c>
      <c r="AL68" s="211">
        <v>0</v>
      </c>
      <c r="AM68" s="242">
        <v>0</v>
      </c>
      <c r="AN68" s="208">
        <v>0</v>
      </c>
      <c r="AO68" s="208">
        <v>0</v>
      </c>
      <c r="AP68" s="208">
        <v>0</v>
      </c>
      <c r="AQ68" s="208">
        <v>1</v>
      </c>
      <c r="AR68" s="208">
        <v>0</v>
      </c>
      <c r="AS68" s="208">
        <v>1</v>
      </c>
      <c r="AT68" s="208">
        <v>1</v>
      </c>
      <c r="AU68" s="208">
        <v>0</v>
      </c>
      <c r="AV68" s="208">
        <v>1</v>
      </c>
      <c r="AW68" s="208">
        <v>1</v>
      </c>
      <c r="AX68" s="209">
        <v>1</v>
      </c>
      <c r="AY68" s="207">
        <v>0</v>
      </c>
      <c r="AZ68" s="208">
        <v>1</v>
      </c>
      <c r="BA68" s="208">
        <v>0</v>
      </c>
      <c r="BB68" s="208">
        <v>1</v>
      </c>
      <c r="BC68" s="208">
        <v>0</v>
      </c>
      <c r="BD68" s="208">
        <v>1</v>
      </c>
      <c r="BE68" s="208">
        <v>1</v>
      </c>
      <c r="BF68" s="208">
        <v>1</v>
      </c>
      <c r="BG68" s="208">
        <v>0</v>
      </c>
      <c r="BH68" s="208">
        <v>0</v>
      </c>
      <c r="BI68" s="208">
        <v>0</v>
      </c>
      <c r="BJ68" s="209">
        <v>0</v>
      </c>
      <c r="BK68" s="208">
        <v>0</v>
      </c>
      <c r="BL68" s="208">
        <v>0</v>
      </c>
      <c r="BM68" s="208">
        <v>0</v>
      </c>
      <c r="BN68" s="208">
        <v>0</v>
      </c>
      <c r="BO68" s="208">
        <v>0</v>
      </c>
      <c r="BP68" s="208">
        <v>1</v>
      </c>
      <c r="BQ68" s="208">
        <v>1</v>
      </c>
      <c r="BR68" s="208">
        <v>0</v>
      </c>
      <c r="BS68" s="208">
        <v>0</v>
      </c>
      <c r="BT68" s="210">
        <v>1</v>
      </c>
      <c r="BU68" s="210">
        <v>0</v>
      </c>
      <c r="BV68" s="213">
        <v>0</v>
      </c>
    </row>
    <row r="69" spans="1:74" ht="17" thickBot="1" x14ac:dyDescent="0.5">
      <c r="A69" s="147" t="s">
        <v>214</v>
      </c>
      <c r="B69" s="243" t="s">
        <v>398</v>
      </c>
      <c r="C69" s="250">
        <v>0</v>
      </c>
      <c r="D69" s="251">
        <v>0</v>
      </c>
      <c r="E69" s="251">
        <v>0</v>
      </c>
      <c r="F69" s="251">
        <v>1</v>
      </c>
      <c r="G69" s="251">
        <v>2</v>
      </c>
      <c r="H69" s="251">
        <v>1</v>
      </c>
      <c r="I69" s="251">
        <v>1</v>
      </c>
      <c r="J69" s="251">
        <v>0</v>
      </c>
      <c r="K69" s="251">
        <v>0</v>
      </c>
      <c r="L69" s="251">
        <v>1</v>
      </c>
      <c r="M69" s="251">
        <v>0</v>
      </c>
      <c r="N69" s="252">
        <v>0</v>
      </c>
      <c r="O69" s="251">
        <v>1</v>
      </c>
      <c r="P69" s="251">
        <v>0</v>
      </c>
      <c r="Q69" s="251">
        <v>0</v>
      </c>
      <c r="R69" s="251">
        <v>1</v>
      </c>
      <c r="S69" s="251">
        <v>0</v>
      </c>
      <c r="T69" s="251">
        <v>1</v>
      </c>
      <c r="U69" s="251">
        <v>0</v>
      </c>
      <c r="V69" s="251">
        <v>0</v>
      </c>
      <c r="W69" s="251">
        <v>0</v>
      </c>
      <c r="X69" s="253">
        <v>1</v>
      </c>
      <c r="Y69" s="253">
        <v>1</v>
      </c>
      <c r="Z69" s="254">
        <v>0</v>
      </c>
      <c r="AA69" s="255">
        <v>1</v>
      </c>
      <c r="AB69" s="253">
        <v>0</v>
      </c>
      <c r="AC69" s="253">
        <v>0</v>
      </c>
      <c r="AD69" s="253">
        <v>1</v>
      </c>
      <c r="AE69" s="253">
        <v>0</v>
      </c>
      <c r="AF69" s="253">
        <v>0</v>
      </c>
      <c r="AG69" s="253">
        <v>0</v>
      </c>
      <c r="AH69" s="253">
        <v>0</v>
      </c>
      <c r="AI69" s="253">
        <v>1</v>
      </c>
      <c r="AJ69" s="253">
        <v>0</v>
      </c>
      <c r="AK69" s="253">
        <v>1</v>
      </c>
      <c r="AL69" s="254">
        <v>0</v>
      </c>
      <c r="AM69" s="256">
        <v>0</v>
      </c>
      <c r="AN69" s="251">
        <v>0</v>
      </c>
      <c r="AO69" s="251">
        <v>0</v>
      </c>
      <c r="AP69" s="251">
        <v>0</v>
      </c>
      <c r="AQ69" s="251">
        <v>1</v>
      </c>
      <c r="AR69" s="251">
        <v>0</v>
      </c>
      <c r="AS69" s="251">
        <v>1</v>
      </c>
      <c r="AT69" s="251">
        <v>1</v>
      </c>
      <c r="AU69" s="251">
        <v>0</v>
      </c>
      <c r="AV69" s="251">
        <v>1</v>
      </c>
      <c r="AW69" s="251">
        <v>1</v>
      </c>
      <c r="AX69" s="252">
        <v>1</v>
      </c>
      <c r="AY69" s="250">
        <v>0</v>
      </c>
      <c r="AZ69" s="251">
        <v>1</v>
      </c>
      <c r="BA69" s="251">
        <v>0</v>
      </c>
      <c r="BB69" s="251">
        <v>1</v>
      </c>
      <c r="BC69" s="251">
        <v>0</v>
      </c>
      <c r="BD69" s="251">
        <v>1</v>
      </c>
      <c r="BE69" s="251">
        <v>1</v>
      </c>
      <c r="BF69" s="251">
        <v>1</v>
      </c>
      <c r="BG69" s="251">
        <v>0</v>
      </c>
      <c r="BH69" s="251">
        <v>0</v>
      </c>
      <c r="BI69" s="251">
        <v>0</v>
      </c>
      <c r="BJ69" s="252">
        <v>0</v>
      </c>
      <c r="BK69" s="251">
        <v>0</v>
      </c>
      <c r="BL69" s="251">
        <v>0</v>
      </c>
      <c r="BM69" s="251">
        <v>0</v>
      </c>
      <c r="BN69" s="251">
        <v>0</v>
      </c>
      <c r="BO69" s="251">
        <v>0</v>
      </c>
      <c r="BP69" s="251">
        <v>1</v>
      </c>
      <c r="BQ69" s="251">
        <v>1</v>
      </c>
      <c r="BR69" s="251">
        <v>0</v>
      </c>
      <c r="BS69" s="251">
        <v>0</v>
      </c>
      <c r="BT69" s="253">
        <v>1</v>
      </c>
      <c r="BU69" s="253">
        <v>0</v>
      </c>
      <c r="BV69" s="266">
        <v>0</v>
      </c>
    </row>
    <row r="70" spans="1:74" ht="17" thickBot="1" x14ac:dyDescent="0.5">
      <c r="A70" s="147" t="s">
        <v>214</v>
      </c>
      <c r="B70" s="243" t="s">
        <v>404</v>
      </c>
      <c r="C70" s="258">
        <v>0</v>
      </c>
      <c r="D70" s="259">
        <v>0</v>
      </c>
      <c r="E70" s="259">
        <v>0</v>
      </c>
      <c r="F70" s="259">
        <v>0</v>
      </c>
      <c r="G70" s="259">
        <v>1</v>
      </c>
      <c r="H70" s="259">
        <v>0</v>
      </c>
      <c r="I70" s="259">
        <v>0</v>
      </c>
      <c r="J70" s="259">
        <v>0</v>
      </c>
      <c r="K70" s="259">
        <v>0</v>
      </c>
      <c r="L70" s="259">
        <v>1</v>
      </c>
      <c r="M70" s="259">
        <v>0</v>
      </c>
      <c r="N70" s="260">
        <v>0</v>
      </c>
      <c r="O70" s="259">
        <v>1</v>
      </c>
      <c r="P70" s="259">
        <v>0</v>
      </c>
      <c r="Q70" s="259">
        <v>0</v>
      </c>
      <c r="R70" s="259">
        <v>0</v>
      </c>
      <c r="S70" s="259">
        <v>0</v>
      </c>
      <c r="T70" s="259">
        <v>1</v>
      </c>
      <c r="U70" s="259">
        <v>0</v>
      </c>
      <c r="V70" s="259">
        <v>0</v>
      </c>
      <c r="W70" s="259">
        <v>0</v>
      </c>
      <c r="X70" s="261">
        <v>0</v>
      </c>
      <c r="Y70" s="261">
        <v>0</v>
      </c>
      <c r="Z70" s="262">
        <v>0</v>
      </c>
      <c r="AA70" s="263">
        <v>1</v>
      </c>
      <c r="AB70" s="261">
        <v>0</v>
      </c>
      <c r="AC70" s="261">
        <v>0</v>
      </c>
      <c r="AD70" s="261">
        <v>1</v>
      </c>
      <c r="AE70" s="261">
        <v>0</v>
      </c>
      <c r="AF70" s="261">
        <v>0</v>
      </c>
      <c r="AG70" s="261">
        <v>0</v>
      </c>
      <c r="AH70" s="261">
        <v>0</v>
      </c>
      <c r="AI70" s="261">
        <v>1</v>
      </c>
      <c r="AJ70" s="261">
        <v>0</v>
      </c>
      <c r="AK70" s="261">
        <v>1</v>
      </c>
      <c r="AL70" s="262">
        <v>0</v>
      </c>
      <c r="AM70" s="264">
        <v>0</v>
      </c>
      <c r="AN70" s="259">
        <v>0</v>
      </c>
      <c r="AO70" s="259">
        <v>0</v>
      </c>
      <c r="AP70" s="259">
        <v>0</v>
      </c>
      <c r="AQ70" s="259">
        <v>0</v>
      </c>
      <c r="AR70" s="259">
        <v>0</v>
      </c>
      <c r="AS70" s="259">
        <v>1</v>
      </c>
      <c r="AT70" s="259">
        <v>0</v>
      </c>
      <c r="AU70" s="259">
        <v>0</v>
      </c>
      <c r="AV70" s="259">
        <v>0</v>
      </c>
      <c r="AW70" s="259">
        <v>0</v>
      </c>
      <c r="AX70" s="260">
        <v>0</v>
      </c>
      <c r="AY70" s="258">
        <v>0</v>
      </c>
      <c r="AZ70" s="259">
        <v>1</v>
      </c>
      <c r="BA70" s="259">
        <v>0</v>
      </c>
      <c r="BB70" s="259">
        <v>0</v>
      </c>
      <c r="BC70" s="259">
        <v>0</v>
      </c>
      <c r="BD70" s="259">
        <v>0</v>
      </c>
      <c r="BE70" s="259">
        <v>1</v>
      </c>
      <c r="BF70" s="259">
        <v>1</v>
      </c>
      <c r="BG70" s="259">
        <v>0</v>
      </c>
      <c r="BH70" s="259">
        <v>0</v>
      </c>
      <c r="BI70" s="259">
        <v>0</v>
      </c>
      <c r="BJ70" s="260">
        <v>0</v>
      </c>
      <c r="BK70" s="259">
        <v>0</v>
      </c>
      <c r="BL70" s="259">
        <v>0</v>
      </c>
      <c r="BM70" s="259">
        <v>0</v>
      </c>
      <c r="BN70" s="259">
        <v>0</v>
      </c>
      <c r="BO70" s="259">
        <v>0</v>
      </c>
      <c r="BP70" s="259">
        <v>0</v>
      </c>
      <c r="BQ70" s="259">
        <v>1</v>
      </c>
      <c r="BR70" s="259">
        <v>0</v>
      </c>
      <c r="BS70" s="259">
        <v>0</v>
      </c>
      <c r="BT70" s="261">
        <v>0</v>
      </c>
      <c r="BU70" s="261">
        <v>0</v>
      </c>
      <c r="BV70" s="267">
        <v>0</v>
      </c>
    </row>
    <row r="71" spans="1:74" ht="17" thickBot="1" x14ac:dyDescent="0.35">
      <c r="A71" s="147" t="s">
        <v>214</v>
      </c>
      <c r="B71" s="243" t="s">
        <v>399</v>
      </c>
      <c r="C71" s="272">
        <v>0</v>
      </c>
      <c r="D71" s="273">
        <v>0</v>
      </c>
      <c r="E71" s="273">
        <v>0</v>
      </c>
      <c r="F71" s="273">
        <v>1</v>
      </c>
      <c r="G71" s="273">
        <v>2</v>
      </c>
      <c r="H71" s="273">
        <v>1</v>
      </c>
      <c r="I71" s="273">
        <v>1</v>
      </c>
      <c r="J71" s="273">
        <v>0</v>
      </c>
      <c r="K71" s="273">
        <v>0</v>
      </c>
      <c r="L71" s="273">
        <v>1</v>
      </c>
      <c r="M71" s="273">
        <v>0</v>
      </c>
      <c r="N71" s="275">
        <v>0</v>
      </c>
      <c r="O71" s="273">
        <v>1</v>
      </c>
      <c r="P71" s="273">
        <v>0</v>
      </c>
      <c r="Q71" s="273">
        <v>0</v>
      </c>
      <c r="R71" s="273">
        <v>1</v>
      </c>
      <c r="S71" s="273">
        <v>0</v>
      </c>
      <c r="T71" s="273">
        <v>1</v>
      </c>
      <c r="U71" s="273">
        <v>0</v>
      </c>
      <c r="V71" s="273">
        <v>0</v>
      </c>
      <c r="W71" s="273">
        <v>0</v>
      </c>
      <c r="X71" s="273">
        <v>1</v>
      </c>
      <c r="Y71" s="273">
        <v>1</v>
      </c>
      <c r="Z71" s="275">
        <v>0</v>
      </c>
      <c r="AA71" s="273">
        <v>1</v>
      </c>
      <c r="AB71" s="273">
        <v>0</v>
      </c>
      <c r="AC71" s="273">
        <v>0</v>
      </c>
      <c r="AD71" s="273">
        <v>1</v>
      </c>
      <c r="AE71" s="273">
        <v>0</v>
      </c>
      <c r="AF71" s="273">
        <v>0</v>
      </c>
      <c r="AG71" s="273">
        <v>0</v>
      </c>
      <c r="AH71" s="273">
        <v>0</v>
      </c>
      <c r="AI71" s="273">
        <v>1</v>
      </c>
      <c r="AJ71" s="273">
        <v>0</v>
      </c>
      <c r="AK71" s="273">
        <v>1</v>
      </c>
      <c r="AL71" s="275">
        <v>0</v>
      </c>
      <c r="AM71" s="274">
        <v>0</v>
      </c>
      <c r="AN71" s="273">
        <v>0</v>
      </c>
      <c r="AO71" s="273">
        <v>0</v>
      </c>
      <c r="AP71" s="273">
        <v>0</v>
      </c>
      <c r="AQ71" s="273">
        <v>1</v>
      </c>
      <c r="AR71" s="273">
        <v>0</v>
      </c>
      <c r="AS71" s="273">
        <v>1</v>
      </c>
      <c r="AT71" s="273">
        <v>1</v>
      </c>
      <c r="AU71" s="273">
        <v>0</v>
      </c>
      <c r="AV71" s="273">
        <v>1</v>
      </c>
      <c r="AW71" s="273">
        <v>1</v>
      </c>
      <c r="AX71" s="275">
        <v>1</v>
      </c>
      <c r="AY71" s="272">
        <v>0</v>
      </c>
      <c r="AZ71" s="273">
        <v>1</v>
      </c>
      <c r="BA71" s="273">
        <v>0</v>
      </c>
      <c r="BB71" s="273">
        <v>1</v>
      </c>
      <c r="BC71" s="273">
        <v>0</v>
      </c>
      <c r="BD71" s="273">
        <v>1</v>
      </c>
      <c r="BE71" s="273">
        <v>1</v>
      </c>
      <c r="BF71" s="273">
        <v>1</v>
      </c>
      <c r="BG71" s="273">
        <v>0</v>
      </c>
      <c r="BH71" s="273">
        <v>0</v>
      </c>
      <c r="BI71" s="273">
        <v>0</v>
      </c>
      <c r="BJ71" s="275">
        <v>0</v>
      </c>
      <c r="BK71" s="273">
        <v>0</v>
      </c>
      <c r="BL71" s="273">
        <v>0</v>
      </c>
      <c r="BM71" s="273">
        <v>0</v>
      </c>
      <c r="BN71" s="273">
        <v>0</v>
      </c>
      <c r="BO71" s="273">
        <v>0</v>
      </c>
      <c r="BP71" s="273">
        <v>1</v>
      </c>
      <c r="BQ71" s="273">
        <v>1</v>
      </c>
      <c r="BR71" s="273">
        <v>0</v>
      </c>
      <c r="BS71" s="273">
        <v>0</v>
      </c>
      <c r="BT71" s="273">
        <v>1</v>
      </c>
      <c r="BU71" s="273">
        <v>0</v>
      </c>
      <c r="BV71" s="276">
        <v>0</v>
      </c>
    </row>
    <row r="72" spans="1:74" ht="17" thickBot="1" x14ac:dyDescent="0.35">
      <c r="A72" s="147" t="s">
        <v>214</v>
      </c>
      <c r="B72" s="243" t="s">
        <v>400</v>
      </c>
      <c r="C72" s="245">
        <v>0</v>
      </c>
      <c r="D72" s="246">
        <v>0</v>
      </c>
      <c r="E72" s="246">
        <v>0</v>
      </c>
      <c r="F72" s="246">
        <v>0</v>
      </c>
      <c r="G72" s="246">
        <v>1</v>
      </c>
      <c r="H72" s="246">
        <v>0</v>
      </c>
      <c r="I72" s="246">
        <v>1</v>
      </c>
      <c r="J72" s="246">
        <v>0</v>
      </c>
      <c r="K72" s="246">
        <v>0</v>
      </c>
      <c r="L72" s="246">
        <v>0</v>
      </c>
      <c r="M72" s="246">
        <v>0</v>
      </c>
      <c r="N72" s="247">
        <v>0</v>
      </c>
      <c r="O72" s="246">
        <v>0</v>
      </c>
      <c r="P72" s="246">
        <v>0</v>
      </c>
      <c r="Q72" s="246">
        <v>0</v>
      </c>
      <c r="R72" s="246">
        <v>1</v>
      </c>
      <c r="S72" s="246">
        <v>0</v>
      </c>
      <c r="T72" s="246">
        <v>0</v>
      </c>
      <c r="U72" s="246">
        <v>0</v>
      </c>
      <c r="V72" s="246">
        <v>0</v>
      </c>
      <c r="W72" s="246">
        <v>0</v>
      </c>
      <c r="X72" s="246">
        <v>1</v>
      </c>
      <c r="Y72" s="246">
        <v>1</v>
      </c>
      <c r="Z72" s="247">
        <v>0</v>
      </c>
      <c r="AA72" s="246">
        <v>0</v>
      </c>
      <c r="AB72" s="246">
        <v>0</v>
      </c>
      <c r="AC72" s="246">
        <v>0</v>
      </c>
      <c r="AD72" s="246">
        <v>0</v>
      </c>
      <c r="AE72" s="246">
        <v>0</v>
      </c>
      <c r="AF72" s="246">
        <v>0</v>
      </c>
      <c r="AG72" s="246">
        <v>0</v>
      </c>
      <c r="AH72" s="246">
        <v>0</v>
      </c>
      <c r="AI72" s="246">
        <v>0</v>
      </c>
      <c r="AJ72" s="246">
        <v>0</v>
      </c>
      <c r="AK72" s="246">
        <v>0</v>
      </c>
      <c r="AL72" s="247">
        <v>0</v>
      </c>
      <c r="AM72" s="248">
        <v>0</v>
      </c>
      <c r="AN72" s="246">
        <v>0</v>
      </c>
      <c r="AO72" s="246">
        <v>0</v>
      </c>
      <c r="AP72" s="246">
        <v>0</v>
      </c>
      <c r="AQ72" s="246">
        <v>1</v>
      </c>
      <c r="AR72" s="246">
        <v>0</v>
      </c>
      <c r="AS72" s="246">
        <v>0</v>
      </c>
      <c r="AT72" s="246">
        <v>1</v>
      </c>
      <c r="AU72" s="246">
        <v>0</v>
      </c>
      <c r="AV72" s="246">
        <v>0</v>
      </c>
      <c r="AW72" s="246">
        <v>1</v>
      </c>
      <c r="AX72" s="247">
        <v>0</v>
      </c>
      <c r="AY72" s="245">
        <v>0</v>
      </c>
      <c r="AZ72" s="246">
        <v>0</v>
      </c>
      <c r="BA72" s="246">
        <v>0</v>
      </c>
      <c r="BB72" s="246">
        <v>1</v>
      </c>
      <c r="BC72" s="246">
        <v>0</v>
      </c>
      <c r="BD72" s="246">
        <v>0</v>
      </c>
      <c r="BE72" s="246">
        <v>0</v>
      </c>
      <c r="BF72" s="246">
        <v>0</v>
      </c>
      <c r="BG72" s="246">
        <v>0</v>
      </c>
      <c r="BH72" s="246">
        <v>0</v>
      </c>
      <c r="BI72" s="246">
        <v>0</v>
      </c>
      <c r="BJ72" s="247">
        <v>0</v>
      </c>
      <c r="BK72" s="246">
        <v>0</v>
      </c>
      <c r="BL72" s="246">
        <v>0</v>
      </c>
      <c r="BM72" s="246">
        <v>0</v>
      </c>
      <c r="BN72" s="246">
        <v>0</v>
      </c>
      <c r="BO72" s="246">
        <v>0</v>
      </c>
      <c r="BP72" s="246">
        <v>1</v>
      </c>
      <c r="BQ72" s="246">
        <v>0</v>
      </c>
      <c r="BR72" s="246">
        <v>0</v>
      </c>
      <c r="BS72" s="246">
        <v>0</v>
      </c>
      <c r="BT72" s="246">
        <v>1</v>
      </c>
      <c r="BU72" s="246">
        <v>0</v>
      </c>
      <c r="BV72" s="249">
        <v>0</v>
      </c>
    </row>
    <row r="73" spans="1:74" ht="17" thickBot="1" x14ac:dyDescent="0.35">
      <c r="A73" s="279" t="s">
        <v>214</v>
      </c>
      <c r="B73" s="243" t="s">
        <v>401</v>
      </c>
      <c r="C73" s="277">
        <v>0</v>
      </c>
      <c r="D73" s="268">
        <v>0</v>
      </c>
      <c r="E73" s="268">
        <v>0</v>
      </c>
      <c r="F73" s="268">
        <v>0</v>
      </c>
      <c r="G73" s="268">
        <v>1</v>
      </c>
      <c r="H73" s="268">
        <v>0</v>
      </c>
      <c r="I73" s="268">
        <v>1</v>
      </c>
      <c r="J73" s="268">
        <v>0</v>
      </c>
      <c r="K73" s="268">
        <v>0</v>
      </c>
      <c r="L73" s="268">
        <v>0</v>
      </c>
      <c r="M73" s="268">
        <v>0</v>
      </c>
      <c r="N73" s="270">
        <v>0</v>
      </c>
      <c r="O73" s="268">
        <v>0</v>
      </c>
      <c r="P73" s="268">
        <v>0</v>
      </c>
      <c r="Q73" s="268">
        <v>0</v>
      </c>
      <c r="R73" s="268">
        <v>1</v>
      </c>
      <c r="S73" s="268">
        <v>0</v>
      </c>
      <c r="T73" s="268">
        <v>1</v>
      </c>
      <c r="U73" s="268">
        <v>0</v>
      </c>
      <c r="V73" s="268">
        <v>0</v>
      </c>
      <c r="W73" s="268">
        <v>0</v>
      </c>
      <c r="X73" s="268">
        <v>1</v>
      </c>
      <c r="Y73" s="268">
        <v>1</v>
      </c>
      <c r="Z73" s="270">
        <v>0</v>
      </c>
      <c r="AA73" s="268">
        <v>0</v>
      </c>
      <c r="AB73" s="268">
        <v>0</v>
      </c>
      <c r="AC73" s="268">
        <v>0</v>
      </c>
      <c r="AD73" s="268">
        <v>0</v>
      </c>
      <c r="AE73" s="268">
        <v>0</v>
      </c>
      <c r="AF73" s="268">
        <v>0</v>
      </c>
      <c r="AG73" s="268">
        <v>0</v>
      </c>
      <c r="AH73" s="268">
        <v>0</v>
      </c>
      <c r="AI73" s="268">
        <v>0</v>
      </c>
      <c r="AJ73" s="268">
        <v>0</v>
      </c>
      <c r="AK73" s="268">
        <v>0</v>
      </c>
      <c r="AL73" s="270">
        <v>0</v>
      </c>
      <c r="AM73" s="269">
        <v>0</v>
      </c>
      <c r="AN73" s="268">
        <v>0</v>
      </c>
      <c r="AO73" s="268">
        <v>0</v>
      </c>
      <c r="AP73" s="268">
        <v>0</v>
      </c>
      <c r="AQ73" s="268">
        <v>1</v>
      </c>
      <c r="AR73" s="268">
        <v>0</v>
      </c>
      <c r="AS73" s="268">
        <v>0</v>
      </c>
      <c r="AT73" s="268">
        <v>1</v>
      </c>
      <c r="AU73" s="268">
        <v>0</v>
      </c>
      <c r="AV73" s="268">
        <v>0</v>
      </c>
      <c r="AW73" s="268">
        <v>1</v>
      </c>
      <c r="AX73" s="270">
        <v>0</v>
      </c>
      <c r="AY73" s="277">
        <v>0</v>
      </c>
      <c r="AZ73" s="268">
        <v>0</v>
      </c>
      <c r="BA73" s="268">
        <v>0</v>
      </c>
      <c r="BB73" s="268">
        <v>1</v>
      </c>
      <c r="BC73" s="268">
        <v>0</v>
      </c>
      <c r="BD73" s="268">
        <v>0</v>
      </c>
      <c r="BE73" s="268">
        <v>0</v>
      </c>
      <c r="BF73" s="268">
        <v>0</v>
      </c>
      <c r="BG73" s="268">
        <v>0</v>
      </c>
      <c r="BH73" s="268">
        <v>0</v>
      </c>
      <c r="BI73" s="268">
        <v>0</v>
      </c>
      <c r="BJ73" s="270">
        <v>0</v>
      </c>
      <c r="BK73" s="268">
        <v>0</v>
      </c>
      <c r="BL73" s="268">
        <v>0</v>
      </c>
      <c r="BM73" s="268">
        <v>0</v>
      </c>
      <c r="BN73" s="268">
        <v>0</v>
      </c>
      <c r="BO73" s="268">
        <v>0</v>
      </c>
      <c r="BP73" s="268">
        <v>1</v>
      </c>
      <c r="BQ73" s="268">
        <v>0</v>
      </c>
      <c r="BR73" s="268">
        <v>0</v>
      </c>
      <c r="BS73" s="268">
        <v>0</v>
      </c>
      <c r="BT73" s="268">
        <v>1</v>
      </c>
      <c r="BU73" s="268">
        <v>0</v>
      </c>
      <c r="BV73" s="271">
        <v>0</v>
      </c>
    </row>
    <row r="74" spans="1:74" ht="17" thickBot="1" x14ac:dyDescent="0.5">
      <c r="A74" s="74" t="s">
        <v>192</v>
      </c>
      <c r="B74" s="239" t="s">
        <v>403</v>
      </c>
      <c r="C74" s="207">
        <v>0</v>
      </c>
      <c r="D74" s="208">
        <v>0</v>
      </c>
      <c r="E74" s="208">
        <v>3</v>
      </c>
      <c r="F74" s="208">
        <v>2</v>
      </c>
      <c r="G74" s="208">
        <v>1</v>
      </c>
      <c r="H74" s="208">
        <v>2</v>
      </c>
      <c r="I74" s="208">
        <v>0</v>
      </c>
      <c r="J74" s="208">
        <v>2</v>
      </c>
      <c r="K74" s="208">
        <v>1</v>
      </c>
      <c r="L74" s="208">
        <v>1</v>
      </c>
      <c r="M74" s="208">
        <v>0</v>
      </c>
      <c r="N74" s="209">
        <v>1</v>
      </c>
      <c r="O74" s="208">
        <v>1</v>
      </c>
      <c r="P74" s="208">
        <v>3</v>
      </c>
      <c r="Q74" s="208">
        <v>1</v>
      </c>
      <c r="R74" s="208">
        <v>2</v>
      </c>
      <c r="S74" s="208">
        <v>0</v>
      </c>
      <c r="T74" s="208">
        <v>1</v>
      </c>
      <c r="U74" s="208">
        <v>3</v>
      </c>
      <c r="V74" s="208">
        <v>1</v>
      </c>
      <c r="W74" s="208">
        <v>2</v>
      </c>
      <c r="X74" s="210">
        <v>1</v>
      </c>
      <c r="Y74" s="210">
        <v>1</v>
      </c>
      <c r="Z74" s="211">
        <v>2</v>
      </c>
      <c r="AA74" s="212">
        <v>1</v>
      </c>
      <c r="AB74" s="210">
        <v>0</v>
      </c>
      <c r="AC74" s="210">
        <v>0</v>
      </c>
      <c r="AD74" s="210">
        <v>0</v>
      </c>
      <c r="AE74" s="210">
        <v>1</v>
      </c>
      <c r="AF74" s="210">
        <v>0</v>
      </c>
      <c r="AG74" s="210">
        <v>5</v>
      </c>
      <c r="AH74" s="210">
        <v>1</v>
      </c>
      <c r="AI74" s="210">
        <v>3</v>
      </c>
      <c r="AJ74" s="210">
        <v>1</v>
      </c>
      <c r="AK74" s="210">
        <v>3</v>
      </c>
      <c r="AL74" s="211">
        <v>0</v>
      </c>
      <c r="AM74" s="242">
        <v>1</v>
      </c>
      <c r="AN74" s="208">
        <v>2</v>
      </c>
      <c r="AO74" s="208">
        <v>1</v>
      </c>
      <c r="AP74" s="208">
        <v>0</v>
      </c>
      <c r="AQ74" s="208">
        <v>2</v>
      </c>
      <c r="AR74" s="208">
        <v>1</v>
      </c>
      <c r="AS74" s="208">
        <v>0</v>
      </c>
      <c r="AT74" s="208">
        <v>1</v>
      </c>
      <c r="AU74" s="208">
        <v>2</v>
      </c>
      <c r="AV74" s="208">
        <v>0</v>
      </c>
      <c r="AW74" s="208">
        <v>2</v>
      </c>
      <c r="AX74" s="209">
        <v>5</v>
      </c>
      <c r="AY74" s="207">
        <v>1</v>
      </c>
      <c r="AZ74" s="208">
        <v>0</v>
      </c>
      <c r="BA74" s="208">
        <v>3</v>
      </c>
      <c r="BB74" s="208">
        <v>1</v>
      </c>
      <c r="BC74" s="208">
        <v>1</v>
      </c>
      <c r="BD74" s="208">
        <v>0</v>
      </c>
      <c r="BE74" s="208">
        <v>1</v>
      </c>
      <c r="BF74" s="208">
        <v>0</v>
      </c>
      <c r="BG74" s="208">
        <v>1</v>
      </c>
      <c r="BH74" s="208">
        <v>1</v>
      </c>
      <c r="BI74" s="208">
        <v>0</v>
      </c>
      <c r="BJ74" s="209">
        <v>0</v>
      </c>
      <c r="BK74" s="208">
        <v>2</v>
      </c>
      <c r="BL74" s="208">
        <v>0</v>
      </c>
      <c r="BM74" s="208">
        <v>2</v>
      </c>
      <c r="BN74" s="208">
        <v>0</v>
      </c>
      <c r="BO74" s="208">
        <v>1</v>
      </c>
      <c r="BP74" s="208"/>
      <c r="BQ74" s="208"/>
      <c r="BR74" s="208"/>
      <c r="BS74" s="208"/>
      <c r="BT74" s="210"/>
      <c r="BU74" s="210"/>
      <c r="BV74" s="213"/>
    </row>
    <row r="75" spans="1:74" ht="17" thickBot="1" x14ac:dyDescent="0.5">
      <c r="A75" s="147" t="s">
        <v>192</v>
      </c>
      <c r="B75" s="243" t="s">
        <v>398</v>
      </c>
      <c r="C75" s="250">
        <v>0</v>
      </c>
      <c r="D75" s="251">
        <v>0</v>
      </c>
      <c r="E75" s="251">
        <v>2</v>
      </c>
      <c r="F75" s="251">
        <v>2</v>
      </c>
      <c r="G75" s="251">
        <v>1</v>
      </c>
      <c r="H75" s="251">
        <v>1</v>
      </c>
      <c r="I75" s="251">
        <v>0</v>
      </c>
      <c r="J75" s="251">
        <v>1</v>
      </c>
      <c r="K75" s="251">
        <v>1</v>
      </c>
      <c r="L75" s="251">
        <v>1</v>
      </c>
      <c r="M75" s="251">
        <v>0</v>
      </c>
      <c r="N75" s="252">
        <v>1</v>
      </c>
      <c r="O75" s="251">
        <v>1</v>
      </c>
      <c r="P75" s="251">
        <v>2</v>
      </c>
      <c r="Q75" s="251">
        <v>1</v>
      </c>
      <c r="R75" s="251">
        <v>2</v>
      </c>
      <c r="S75" s="251">
        <v>0</v>
      </c>
      <c r="T75" s="251">
        <v>0</v>
      </c>
      <c r="U75" s="251">
        <v>3</v>
      </c>
      <c r="V75" s="251">
        <v>1</v>
      </c>
      <c r="W75" s="251">
        <v>2</v>
      </c>
      <c r="X75" s="253">
        <v>1</v>
      </c>
      <c r="Y75" s="253">
        <v>1</v>
      </c>
      <c r="Z75" s="254">
        <v>2</v>
      </c>
      <c r="AA75" s="255">
        <v>1</v>
      </c>
      <c r="AB75" s="253">
        <v>0</v>
      </c>
      <c r="AC75" s="253">
        <v>0</v>
      </c>
      <c r="AD75" s="253">
        <v>0</v>
      </c>
      <c r="AE75" s="253">
        <v>0</v>
      </c>
      <c r="AF75" s="253">
        <v>0</v>
      </c>
      <c r="AG75" s="253">
        <v>5</v>
      </c>
      <c r="AH75" s="253">
        <v>1</v>
      </c>
      <c r="AI75" s="253">
        <v>3</v>
      </c>
      <c r="AJ75" s="253">
        <v>1</v>
      </c>
      <c r="AK75" s="253">
        <v>3</v>
      </c>
      <c r="AL75" s="254">
        <v>0</v>
      </c>
      <c r="AM75" s="256">
        <v>1</v>
      </c>
      <c r="AN75" s="251">
        <v>2</v>
      </c>
      <c r="AO75" s="251">
        <v>1</v>
      </c>
      <c r="AP75" s="251">
        <v>0</v>
      </c>
      <c r="AQ75" s="251">
        <v>2</v>
      </c>
      <c r="AR75" s="251">
        <v>1</v>
      </c>
      <c r="AS75" s="251">
        <v>0</v>
      </c>
      <c r="AT75" s="251">
        <v>1</v>
      </c>
      <c r="AU75" s="251">
        <v>2</v>
      </c>
      <c r="AV75" s="251">
        <v>0</v>
      </c>
      <c r="AW75" s="251">
        <v>2</v>
      </c>
      <c r="AX75" s="252">
        <v>3</v>
      </c>
      <c r="AY75" s="250">
        <v>1</v>
      </c>
      <c r="AZ75" s="251">
        <v>0</v>
      </c>
      <c r="BA75" s="251">
        <v>2</v>
      </c>
      <c r="BB75" s="251">
        <v>1</v>
      </c>
      <c r="BC75" s="251">
        <v>1</v>
      </c>
      <c r="BD75" s="251">
        <v>0</v>
      </c>
      <c r="BE75" s="251">
        <v>1</v>
      </c>
      <c r="BF75" s="251">
        <v>0</v>
      </c>
      <c r="BG75" s="251">
        <v>1</v>
      </c>
      <c r="BH75" s="251">
        <v>1</v>
      </c>
      <c r="BI75" s="251">
        <v>0</v>
      </c>
      <c r="BJ75" s="252">
        <v>0</v>
      </c>
      <c r="BK75" s="251">
        <v>2</v>
      </c>
      <c r="BL75" s="251">
        <v>0</v>
      </c>
      <c r="BM75" s="251">
        <v>1</v>
      </c>
      <c r="BN75" s="251">
        <v>0</v>
      </c>
      <c r="BO75" s="251">
        <v>1</v>
      </c>
      <c r="BP75" s="251"/>
      <c r="BQ75" s="251"/>
      <c r="BR75" s="251"/>
      <c r="BS75" s="251"/>
      <c r="BT75" s="253"/>
      <c r="BU75" s="253"/>
      <c r="BV75" s="266"/>
    </row>
    <row r="76" spans="1:74" ht="17" thickBot="1" x14ac:dyDescent="0.5">
      <c r="A76" s="147" t="s">
        <v>192</v>
      </c>
      <c r="B76" s="243" t="s">
        <v>404</v>
      </c>
      <c r="C76" s="258">
        <v>0</v>
      </c>
      <c r="D76" s="259">
        <v>0</v>
      </c>
      <c r="E76" s="259">
        <v>0</v>
      </c>
      <c r="F76" s="259">
        <v>1</v>
      </c>
      <c r="G76" s="259">
        <v>0</v>
      </c>
      <c r="H76" s="259">
        <v>0</v>
      </c>
      <c r="I76" s="259">
        <v>0</v>
      </c>
      <c r="J76" s="259">
        <v>0</v>
      </c>
      <c r="K76" s="259">
        <v>1</v>
      </c>
      <c r="L76" s="259">
        <v>0</v>
      </c>
      <c r="M76" s="259">
        <v>0</v>
      </c>
      <c r="N76" s="260">
        <v>0</v>
      </c>
      <c r="O76" s="259">
        <v>1</v>
      </c>
      <c r="P76" s="259">
        <v>1</v>
      </c>
      <c r="Q76" s="259">
        <v>0</v>
      </c>
      <c r="R76" s="259">
        <v>0</v>
      </c>
      <c r="S76" s="259">
        <v>0</v>
      </c>
      <c r="T76" s="259">
        <v>0</v>
      </c>
      <c r="U76" s="259">
        <v>0</v>
      </c>
      <c r="V76" s="259">
        <v>0</v>
      </c>
      <c r="W76" s="259">
        <v>0</v>
      </c>
      <c r="X76" s="261">
        <v>0</v>
      </c>
      <c r="Y76" s="261">
        <v>0</v>
      </c>
      <c r="Z76" s="262">
        <v>0</v>
      </c>
      <c r="AA76" s="263">
        <v>0</v>
      </c>
      <c r="AB76" s="261">
        <v>0</v>
      </c>
      <c r="AC76" s="261">
        <v>0</v>
      </c>
      <c r="AD76" s="261">
        <v>0</v>
      </c>
      <c r="AE76" s="261">
        <v>0</v>
      </c>
      <c r="AF76" s="261">
        <v>0</v>
      </c>
      <c r="AG76" s="261">
        <v>0</v>
      </c>
      <c r="AH76" s="261">
        <v>0</v>
      </c>
      <c r="AI76" s="261">
        <v>0</v>
      </c>
      <c r="AJ76" s="261">
        <v>0</v>
      </c>
      <c r="AK76" s="261">
        <v>1</v>
      </c>
      <c r="AL76" s="262">
        <v>0</v>
      </c>
      <c r="AM76" s="264">
        <v>0</v>
      </c>
      <c r="AN76" s="259">
        <v>0</v>
      </c>
      <c r="AO76" s="259">
        <v>0</v>
      </c>
      <c r="AP76" s="259">
        <v>0</v>
      </c>
      <c r="AQ76" s="259">
        <v>2</v>
      </c>
      <c r="AR76" s="259">
        <v>0</v>
      </c>
      <c r="AS76" s="259">
        <v>0</v>
      </c>
      <c r="AT76" s="259">
        <v>0</v>
      </c>
      <c r="AU76" s="259">
        <v>0</v>
      </c>
      <c r="AV76" s="259">
        <v>0</v>
      </c>
      <c r="AW76" s="259">
        <v>0</v>
      </c>
      <c r="AX76" s="260">
        <v>0</v>
      </c>
      <c r="AY76" s="258">
        <v>0</v>
      </c>
      <c r="AZ76" s="259">
        <v>0</v>
      </c>
      <c r="BA76" s="259">
        <v>2</v>
      </c>
      <c r="BB76" s="259">
        <v>0</v>
      </c>
      <c r="BC76" s="259">
        <v>0</v>
      </c>
      <c r="BD76" s="259">
        <v>0</v>
      </c>
      <c r="BE76" s="259">
        <v>0</v>
      </c>
      <c r="BF76" s="259">
        <v>0</v>
      </c>
      <c r="BG76" s="259">
        <v>1</v>
      </c>
      <c r="BH76" s="259">
        <v>0</v>
      </c>
      <c r="BI76" s="259">
        <v>0</v>
      </c>
      <c r="BJ76" s="260">
        <v>0</v>
      </c>
      <c r="BK76" s="259">
        <v>1</v>
      </c>
      <c r="BL76" s="259">
        <v>0</v>
      </c>
      <c r="BM76" s="259">
        <v>0</v>
      </c>
      <c r="BN76" s="259">
        <v>0</v>
      </c>
      <c r="BO76" s="259">
        <v>0</v>
      </c>
      <c r="BP76" s="259"/>
      <c r="BQ76" s="259"/>
      <c r="BR76" s="259"/>
      <c r="BS76" s="259"/>
      <c r="BT76" s="261"/>
      <c r="BU76" s="261"/>
      <c r="BV76" s="267"/>
    </row>
    <row r="77" spans="1:74" ht="17" thickBot="1" x14ac:dyDescent="0.35">
      <c r="A77" s="147" t="s">
        <v>192</v>
      </c>
      <c r="B77" s="243" t="s">
        <v>399</v>
      </c>
      <c r="C77" s="272">
        <v>0</v>
      </c>
      <c r="D77" s="273">
        <v>0</v>
      </c>
      <c r="E77" s="273">
        <v>2</v>
      </c>
      <c r="F77" s="273">
        <v>2</v>
      </c>
      <c r="G77" s="273">
        <v>1</v>
      </c>
      <c r="H77" s="273">
        <v>1</v>
      </c>
      <c r="I77" s="273">
        <v>0</v>
      </c>
      <c r="J77" s="273">
        <v>1</v>
      </c>
      <c r="K77" s="273">
        <v>1</v>
      </c>
      <c r="L77" s="273">
        <v>1</v>
      </c>
      <c r="M77" s="273">
        <v>0</v>
      </c>
      <c r="N77" s="275">
        <v>1</v>
      </c>
      <c r="O77" s="273">
        <v>1</v>
      </c>
      <c r="P77" s="273">
        <v>2</v>
      </c>
      <c r="Q77" s="273">
        <v>1</v>
      </c>
      <c r="R77" s="273">
        <v>2</v>
      </c>
      <c r="S77" s="273">
        <v>0</v>
      </c>
      <c r="T77" s="273">
        <v>0</v>
      </c>
      <c r="U77" s="273">
        <v>3</v>
      </c>
      <c r="V77" s="273">
        <v>1</v>
      </c>
      <c r="W77" s="273">
        <v>2</v>
      </c>
      <c r="X77" s="273">
        <v>1</v>
      </c>
      <c r="Y77" s="273">
        <v>1</v>
      </c>
      <c r="Z77" s="275">
        <v>2</v>
      </c>
      <c r="AA77" s="273">
        <v>1</v>
      </c>
      <c r="AB77" s="273">
        <v>0</v>
      </c>
      <c r="AC77" s="273">
        <v>0</v>
      </c>
      <c r="AD77" s="273">
        <v>0</v>
      </c>
      <c r="AE77" s="273">
        <v>0</v>
      </c>
      <c r="AF77" s="273">
        <v>0</v>
      </c>
      <c r="AG77" s="273">
        <v>5</v>
      </c>
      <c r="AH77" s="273">
        <v>1</v>
      </c>
      <c r="AI77" s="273">
        <v>3</v>
      </c>
      <c r="AJ77" s="273">
        <v>1</v>
      </c>
      <c r="AK77" s="273">
        <v>3</v>
      </c>
      <c r="AL77" s="275">
        <v>0</v>
      </c>
      <c r="AM77" s="274">
        <v>1</v>
      </c>
      <c r="AN77" s="273">
        <v>2</v>
      </c>
      <c r="AO77" s="273">
        <v>1</v>
      </c>
      <c r="AP77" s="273">
        <v>0</v>
      </c>
      <c r="AQ77" s="273">
        <v>2</v>
      </c>
      <c r="AR77" s="273">
        <v>1</v>
      </c>
      <c r="AS77" s="273">
        <v>0</v>
      </c>
      <c r="AT77" s="273">
        <v>1</v>
      </c>
      <c r="AU77" s="273">
        <v>2</v>
      </c>
      <c r="AV77" s="273">
        <v>0</v>
      </c>
      <c r="AW77" s="273">
        <v>2</v>
      </c>
      <c r="AX77" s="275">
        <v>3</v>
      </c>
      <c r="AY77" s="272">
        <v>1</v>
      </c>
      <c r="AZ77" s="273">
        <v>0</v>
      </c>
      <c r="BA77" s="273">
        <v>2</v>
      </c>
      <c r="BB77" s="273">
        <v>1</v>
      </c>
      <c r="BC77" s="273">
        <v>1</v>
      </c>
      <c r="BD77" s="273">
        <v>0</v>
      </c>
      <c r="BE77" s="273">
        <v>1</v>
      </c>
      <c r="BF77" s="273">
        <v>0</v>
      </c>
      <c r="BG77" s="273">
        <v>1</v>
      </c>
      <c r="BH77" s="273">
        <v>1</v>
      </c>
      <c r="BI77" s="273">
        <v>0</v>
      </c>
      <c r="BJ77" s="275">
        <v>0</v>
      </c>
      <c r="BK77" s="273">
        <v>2</v>
      </c>
      <c r="BL77" s="273">
        <v>0</v>
      </c>
      <c r="BM77" s="273">
        <v>1</v>
      </c>
      <c r="BN77" s="273">
        <v>0</v>
      </c>
      <c r="BO77" s="273">
        <v>1</v>
      </c>
      <c r="BP77" s="273"/>
      <c r="BQ77" s="273"/>
      <c r="BR77" s="273"/>
      <c r="BS77" s="273"/>
      <c r="BT77" s="273"/>
      <c r="BU77" s="273"/>
      <c r="BV77" s="276"/>
    </row>
    <row r="78" spans="1:74" ht="17" thickBot="1" x14ac:dyDescent="0.35">
      <c r="A78" s="147" t="s">
        <v>192</v>
      </c>
      <c r="B78" s="243" t="s">
        <v>400</v>
      </c>
      <c r="C78" s="245">
        <v>0</v>
      </c>
      <c r="D78" s="246">
        <v>0</v>
      </c>
      <c r="E78" s="246">
        <v>3</v>
      </c>
      <c r="F78" s="246">
        <v>1</v>
      </c>
      <c r="G78" s="246">
        <v>1</v>
      </c>
      <c r="H78" s="246">
        <v>1</v>
      </c>
      <c r="I78" s="246">
        <v>0</v>
      </c>
      <c r="J78" s="246">
        <v>2</v>
      </c>
      <c r="K78" s="246">
        <v>0</v>
      </c>
      <c r="L78" s="246">
        <v>1</v>
      </c>
      <c r="M78" s="246">
        <v>0</v>
      </c>
      <c r="N78" s="247">
        <v>1</v>
      </c>
      <c r="O78" s="246">
        <v>0</v>
      </c>
      <c r="P78" s="246">
        <v>2</v>
      </c>
      <c r="Q78" s="246">
        <v>1</v>
      </c>
      <c r="R78" s="246">
        <v>2</v>
      </c>
      <c r="S78" s="246">
        <v>0</v>
      </c>
      <c r="T78" s="246">
        <v>1</v>
      </c>
      <c r="U78" s="246">
        <v>3</v>
      </c>
      <c r="V78" s="246">
        <v>1</v>
      </c>
      <c r="W78" s="246">
        <v>2</v>
      </c>
      <c r="X78" s="246">
        <v>1</v>
      </c>
      <c r="Y78" s="246">
        <v>1</v>
      </c>
      <c r="Z78" s="247">
        <v>2</v>
      </c>
      <c r="AA78" s="246">
        <v>1</v>
      </c>
      <c r="AB78" s="246">
        <v>0</v>
      </c>
      <c r="AC78" s="246">
        <v>0</v>
      </c>
      <c r="AD78" s="246">
        <v>0</v>
      </c>
      <c r="AE78" s="246">
        <v>1</v>
      </c>
      <c r="AF78" s="246">
        <v>0</v>
      </c>
      <c r="AG78" s="246">
        <v>5</v>
      </c>
      <c r="AH78" s="246">
        <v>1</v>
      </c>
      <c r="AI78" s="246">
        <v>2</v>
      </c>
      <c r="AJ78" s="246">
        <v>1</v>
      </c>
      <c r="AK78" s="246">
        <v>2</v>
      </c>
      <c r="AL78" s="247">
        <v>0</v>
      </c>
      <c r="AM78" s="248">
        <v>1</v>
      </c>
      <c r="AN78" s="246">
        <v>2</v>
      </c>
      <c r="AO78" s="246">
        <v>1</v>
      </c>
      <c r="AP78" s="246">
        <v>0</v>
      </c>
      <c r="AQ78" s="246">
        <v>0</v>
      </c>
      <c r="AR78" s="246">
        <v>0</v>
      </c>
      <c r="AS78" s="246">
        <v>0</v>
      </c>
      <c r="AT78" s="246">
        <v>1</v>
      </c>
      <c r="AU78" s="246">
        <v>2</v>
      </c>
      <c r="AV78" s="246">
        <v>0</v>
      </c>
      <c r="AW78" s="246">
        <v>2</v>
      </c>
      <c r="AX78" s="247">
        <v>5</v>
      </c>
      <c r="AY78" s="245">
        <v>1</v>
      </c>
      <c r="AZ78" s="246">
        <v>0</v>
      </c>
      <c r="BA78" s="246">
        <v>1</v>
      </c>
      <c r="BB78" s="246">
        <v>1</v>
      </c>
      <c r="BC78" s="246">
        <v>1</v>
      </c>
      <c r="BD78" s="246">
        <v>0</v>
      </c>
      <c r="BE78" s="246">
        <v>1</v>
      </c>
      <c r="BF78" s="246">
        <v>0</v>
      </c>
      <c r="BG78" s="246">
        <v>0</v>
      </c>
      <c r="BH78" s="246">
        <v>1</v>
      </c>
      <c r="BI78" s="246">
        <v>0</v>
      </c>
      <c r="BJ78" s="247">
        <v>0</v>
      </c>
      <c r="BK78" s="246">
        <v>1</v>
      </c>
      <c r="BL78" s="246">
        <v>0</v>
      </c>
      <c r="BM78" s="246">
        <v>2</v>
      </c>
      <c r="BN78" s="246">
        <v>0</v>
      </c>
      <c r="BO78" s="246">
        <v>1</v>
      </c>
      <c r="BP78" s="246"/>
      <c r="BQ78" s="246"/>
      <c r="BR78" s="246"/>
      <c r="BS78" s="246"/>
      <c r="BT78" s="246"/>
      <c r="BU78" s="246"/>
      <c r="BV78" s="249"/>
    </row>
    <row r="79" spans="1:74" ht="17" thickBot="1" x14ac:dyDescent="0.35">
      <c r="A79" s="279" t="s">
        <v>192</v>
      </c>
      <c r="B79" s="244" t="s">
        <v>401</v>
      </c>
      <c r="C79" s="277">
        <v>0</v>
      </c>
      <c r="D79" s="268">
        <v>0</v>
      </c>
      <c r="E79" s="268">
        <v>3</v>
      </c>
      <c r="F79" s="268">
        <v>2</v>
      </c>
      <c r="G79" s="268">
        <v>1</v>
      </c>
      <c r="H79" s="268">
        <v>2</v>
      </c>
      <c r="I79" s="268">
        <v>0</v>
      </c>
      <c r="J79" s="268">
        <v>2</v>
      </c>
      <c r="K79" s="268">
        <v>0</v>
      </c>
      <c r="L79" s="268">
        <v>1</v>
      </c>
      <c r="M79" s="268">
        <v>0</v>
      </c>
      <c r="N79" s="270">
        <v>1</v>
      </c>
      <c r="O79" s="268">
        <v>0</v>
      </c>
      <c r="P79" s="268">
        <v>2</v>
      </c>
      <c r="Q79" s="268">
        <v>1</v>
      </c>
      <c r="R79" s="268">
        <v>2</v>
      </c>
      <c r="S79" s="268">
        <v>0</v>
      </c>
      <c r="T79" s="268">
        <v>1</v>
      </c>
      <c r="U79" s="268">
        <v>3</v>
      </c>
      <c r="V79" s="268">
        <v>1</v>
      </c>
      <c r="W79" s="268">
        <v>2</v>
      </c>
      <c r="X79" s="268">
        <v>1</v>
      </c>
      <c r="Y79" s="268">
        <v>1</v>
      </c>
      <c r="Z79" s="270">
        <v>2</v>
      </c>
      <c r="AA79" s="268">
        <v>1</v>
      </c>
      <c r="AB79" s="268">
        <v>0</v>
      </c>
      <c r="AC79" s="268">
        <v>0</v>
      </c>
      <c r="AD79" s="268">
        <v>0</v>
      </c>
      <c r="AE79" s="268">
        <v>1</v>
      </c>
      <c r="AF79" s="268">
        <v>0</v>
      </c>
      <c r="AG79" s="268">
        <v>5</v>
      </c>
      <c r="AH79" s="268">
        <v>1</v>
      </c>
      <c r="AI79" s="268">
        <v>2</v>
      </c>
      <c r="AJ79" s="268">
        <v>1</v>
      </c>
      <c r="AK79" s="268">
        <v>2</v>
      </c>
      <c r="AL79" s="270">
        <v>0</v>
      </c>
      <c r="AM79" s="269">
        <v>1</v>
      </c>
      <c r="AN79" s="268">
        <v>2</v>
      </c>
      <c r="AO79" s="268">
        <v>1</v>
      </c>
      <c r="AP79" s="268">
        <v>0</v>
      </c>
      <c r="AQ79" s="268">
        <v>0</v>
      </c>
      <c r="AR79" s="268">
        <v>1</v>
      </c>
      <c r="AS79" s="268">
        <v>0</v>
      </c>
      <c r="AT79" s="268">
        <v>1</v>
      </c>
      <c r="AU79" s="268">
        <v>2</v>
      </c>
      <c r="AV79" s="268">
        <v>0</v>
      </c>
      <c r="AW79" s="268">
        <v>2</v>
      </c>
      <c r="AX79" s="270">
        <v>5</v>
      </c>
      <c r="AY79" s="277">
        <v>1</v>
      </c>
      <c r="AZ79" s="268">
        <v>0</v>
      </c>
      <c r="BA79" s="268">
        <v>1</v>
      </c>
      <c r="BB79" s="268">
        <v>1</v>
      </c>
      <c r="BC79" s="268">
        <v>1</v>
      </c>
      <c r="BD79" s="268">
        <v>0</v>
      </c>
      <c r="BE79" s="268">
        <v>1</v>
      </c>
      <c r="BF79" s="268">
        <v>0</v>
      </c>
      <c r="BG79" s="268">
        <v>0</v>
      </c>
      <c r="BH79" s="268">
        <v>1</v>
      </c>
      <c r="BI79" s="268">
        <v>0</v>
      </c>
      <c r="BJ79" s="270">
        <v>0</v>
      </c>
      <c r="BK79" s="268">
        <v>1</v>
      </c>
      <c r="BL79" s="268">
        <v>0</v>
      </c>
      <c r="BM79" s="268">
        <v>2</v>
      </c>
      <c r="BN79" s="268">
        <v>0</v>
      </c>
      <c r="BO79" s="268">
        <v>1</v>
      </c>
      <c r="BP79" s="268"/>
      <c r="BQ79" s="268"/>
      <c r="BR79" s="268"/>
      <c r="BS79" s="268"/>
      <c r="BT79" s="268"/>
      <c r="BU79" s="268"/>
      <c r="BV79" s="271"/>
    </row>
  </sheetData>
  <mergeCells count="14">
    <mergeCell ref="AK8:AL13"/>
    <mergeCell ref="AM8:AN13"/>
    <mergeCell ref="BI32:BJ37"/>
    <mergeCell ref="BK32:BL37"/>
    <mergeCell ref="AP2:AQ7"/>
    <mergeCell ref="AR2:AS7"/>
    <mergeCell ref="AZ20:AZ25"/>
    <mergeCell ref="BA20:BB25"/>
    <mergeCell ref="BH26:BI31"/>
    <mergeCell ref="BL38:BL43"/>
    <mergeCell ref="BM38:BN43"/>
    <mergeCell ref="BK14:BK19"/>
    <mergeCell ref="BL14:BM19"/>
    <mergeCell ref="BJ26:BK31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1E991-EF68-4379-982E-715A89309BE0}">
  <dimension ref="A1:BV82"/>
  <sheetViews>
    <sheetView topLeftCell="A48" zoomScale="84" workbookViewId="0">
      <selection activeCell="J68" sqref="J68"/>
    </sheetView>
  </sheetViews>
  <sheetFormatPr defaultRowHeight="14.5" x14ac:dyDescent="0.3"/>
  <cols>
    <col min="1" max="1" width="18.09765625" bestFit="1" customWidth="1"/>
    <col min="2" max="2" width="10.09765625" bestFit="1" customWidth="1"/>
  </cols>
  <sheetData>
    <row r="1" spans="1:74" ht="17" thickBot="1" x14ac:dyDescent="0.5">
      <c r="A1" s="11" t="s">
        <v>131</v>
      </c>
      <c r="B1" s="20" t="s">
        <v>132</v>
      </c>
      <c r="C1" s="6" t="s">
        <v>71</v>
      </c>
      <c r="D1" s="6" t="s">
        <v>72</v>
      </c>
      <c r="E1" s="6" t="s">
        <v>73</v>
      </c>
      <c r="F1" s="6" t="s">
        <v>74</v>
      </c>
      <c r="G1" s="6" t="s">
        <v>75</v>
      </c>
      <c r="H1" s="6" t="s">
        <v>76</v>
      </c>
      <c r="I1" s="6" t="s">
        <v>77</v>
      </c>
      <c r="J1" s="6" t="s">
        <v>78</v>
      </c>
      <c r="K1" s="6" t="s">
        <v>79</v>
      </c>
      <c r="L1" s="6" t="s">
        <v>80</v>
      </c>
      <c r="M1" s="6" t="s">
        <v>81</v>
      </c>
      <c r="N1" s="6" t="s">
        <v>82</v>
      </c>
      <c r="O1" s="6" t="s">
        <v>168</v>
      </c>
      <c r="P1" s="6" t="s">
        <v>169</v>
      </c>
      <c r="Q1" s="6" t="s">
        <v>170</v>
      </c>
      <c r="R1" s="6" t="s">
        <v>171</v>
      </c>
      <c r="S1" s="6" t="s">
        <v>172</v>
      </c>
      <c r="T1" s="6" t="s">
        <v>173</v>
      </c>
      <c r="U1" s="6" t="s">
        <v>174</v>
      </c>
      <c r="V1" s="6" t="s">
        <v>175</v>
      </c>
      <c r="W1" s="6" t="s">
        <v>176</v>
      </c>
      <c r="X1" s="6" t="s">
        <v>177</v>
      </c>
      <c r="Y1" s="6" t="s">
        <v>178</v>
      </c>
      <c r="Z1" s="6" t="s">
        <v>179</v>
      </c>
      <c r="AA1" s="12" t="s">
        <v>83</v>
      </c>
      <c r="AB1" s="12" t="s">
        <v>84</v>
      </c>
      <c r="AC1" s="12" t="s">
        <v>85</v>
      </c>
      <c r="AD1" s="12" t="s">
        <v>86</v>
      </c>
      <c r="AE1" s="12" t="s">
        <v>87</v>
      </c>
      <c r="AF1" s="12" t="s">
        <v>88</v>
      </c>
      <c r="AG1" s="12" t="s">
        <v>89</v>
      </c>
      <c r="AH1" s="12" t="s">
        <v>90</v>
      </c>
      <c r="AI1" s="12" t="s">
        <v>91</v>
      </c>
      <c r="AJ1" s="12" t="s">
        <v>92</v>
      </c>
      <c r="AK1" s="12" t="s">
        <v>93</v>
      </c>
      <c r="AL1" s="12" t="s">
        <v>94</v>
      </c>
      <c r="AM1" s="6" t="s">
        <v>95</v>
      </c>
      <c r="AN1" s="6" t="s">
        <v>96</v>
      </c>
      <c r="AO1" s="6" t="s">
        <v>97</v>
      </c>
      <c r="AP1" s="6" t="s">
        <v>98</v>
      </c>
      <c r="AQ1" s="6" t="s">
        <v>99</v>
      </c>
      <c r="AR1" s="6" t="s">
        <v>100</v>
      </c>
      <c r="AS1" s="6" t="s">
        <v>101</v>
      </c>
      <c r="AT1" s="6" t="s">
        <v>102</v>
      </c>
      <c r="AU1" s="6" t="s">
        <v>103</v>
      </c>
      <c r="AV1" s="6" t="s">
        <v>104</v>
      </c>
      <c r="AW1" s="6" t="s">
        <v>105</v>
      </c>
      <c r="AX1" s="6" t="s">
        <v>106</v>
      </c>
      <c r="AY1" s="6" t="s">
        <v>107</v>
      </c>
      <c r="AZ1" s="6" t="s">
        <v>108</v>
      </c>
      <c r="BA1" s="6" t="s">
        <v>109</v>
      </c>
      <c r="BB1" s="6" t="s">
        <v>110</v>
      </c>
      <c r="BC1" s="6" t="s">
        <v>111</v>
      </c>
      <c r="BD1" s="6" t="s">
        <v>112</v>
      </c>
      <c r="BE1" s="6" t="s">
        <v>113</v>
      </c>
      <c r="BF1" s="6" t="s">
        <v>114</v>
      </c>
      <c r="BG1" s="6" t="s">
        <v>115</v>
      </c>
      <c r="BH1" s="6" t="s">
        <v>116</v>
      </c>
      <c r="BI1" s="6" t="s">
        <v>117</v>
      </c>
      <c r="BJ1" s="6" t="s">
        <v>118</v>
      </c>
      <c r="BK1" s="6" t="s">
        <v>119</v>
      </c>
      <c r="BL1" s="6" t="s">
        <v>120</v>
      </c>
      <c r="BM1" s="6" t="s">
        <v>121</v>
      </c>
      <c r="BN1" s="6" t="s">
        <v>122</v>
      </c>
      <c r="BO1" s="6" t="s">
        <v>123</v>
      </c>
      <c r="BP1" s="6" t="s">
        <v>124</v>
      </c>
      <c r="BQ1" s="6" t="s">
        <v>125</v>
      </c>
      <c r="BR1" s="6" t="s">
        <v>126</v>
      </c>
      <c r="BS1" s="6" t="s">
        <v>127</v>
      </c>
      <c r="BT1" s="6" t="s">
        <v>128</v>
      </c>
      <c r="BU1" s="6" t="s">
        <v>129</v>
      </c>
      <c r="BV1" s="6" t="s">
        <v>130</v>
      </c>
    </row>
    <row r="2" spans="1:74" ht="17" thickBot="1" x14ac:dyDescent="0.5">
      <c r="A2" s="74" t="s">
        <v>3</v>
      </c>
      <c r="B2" s="54" t="s">
        <v>69</v>
      </c>
      <c r="C2" s="30">
        <v>5</v>
      </c>
      <c r="D2" s="13">
        <v>1</v>
      </c>
      <c r="E2" s="13">
        <v>4</v>
      </c>
      <c r="F2" s="13">
        <v>2</v>
      </c>
      <c r="G2" s="13">
        <v>2</v>
      </c>
      <c r="H2" s="13">
        <v>1</v>
      </c>
      <c r="I2" s="13">
        <v>1</v>
      </c>
      <c r="J2" s="13">
        <v>2</v>
      </c>
      <c r="K2" s="13">
        <v>3</v>
      </c>
      <c r="L2" s="13">
        <v>1</v>
      </c>
      <c r="M2" s="13">
        <v>3</v>
      </c>
      <c r="N2" s="14">
        <v>2</v>
      </c>
      <c r="O2" s="13">
        <v>7</v>
      </c>
      <c r="P2" s="13">
        <v>1</v>
      </c>
      <c r="Q2" s="13">
        <v>1</v>
      </c>
      <c r="R2" s="13">
        <v>3</v>
      </c>
      <c r="S2" s="13">
        <v>1</v>
      </c>
      <c r="T2" s="13">
        <v>2</v>
      </c>
      <c r="U2" s="13">
        <v>4</v>
      </c>
      <c r="V2" s="13">
        <v>1</v>
      </c>
      <c r="W2" s="13">
        <v>3</v>
      </c>
      <c r="X2" s="15">
        <v>1</v>
      </c>
      <c r="Y2" s="15">
        <v>1</v>
      </c>
      <c r="Z2" s="16">
        <v>3</v>
      </c>
      <c r="AA2" s="17">
        <v>2</v>
      </c>
      <c r="AB2" s="15">
        <v>2</v>
      </c>
      <c r="AC2" s="15">
        <v>4</v>
      </c>
      <c r="AD2" s="15">
        <v>3</v>
      </c>
      <c r="AE2" s="15">
        <v>2</v>
      </c>
      <c r="AF2" s="15">
        <v>3</v>
      </c>
      <c r="AG2" s="15">
        <v>2</v>
      </c>
      <c r="AH2" s="15">
        <v>1</v>
      </c>
      <c r="AI2" s="15">
        <v>3</v>
      </c>
      <c r="AJ2" s="15">
        <v>3</v>
      </c>
      <c r="AK2" s="15">
        <v>2</v>
      </c>
      <c r="AL2" s="16">
        <v>4</v>
      </c>
      <c r="AM2" s="61">
        <v>5</v>
      </c>
      <c r="AN2" s="62">
        <v>4</v>
      </c>
      <c r="AO2" s="62">
        <v>4</v>
      </c>
      <c r="AP2" s="75" t="s">
        <v>57</v>
      </c>
      <c r="AQ2" s="75" t="s">
        <v>57</v>
      </c>
      <c r="AR2" s="76" t="s">
        <v>30</v>
      </c>
      <c r="AS2" s="76" t="s">
        <v>30</v>
      </c>
      <c r="AT2" s="18">
        <v>3</v>
      </c>
      <c r="AU2" s="18">
        <v>4</v>
      </c>
      <c r="AV2" s="18">
        <v>1</v>
      </c>
      <c r="AW2" s="18">
        <v>0</v>
      </c>
      <c r="AX2" s="18">
        <v>3</v>
      </c>
      <c r="AY2" s="35">
        <v>3</v>
      </c>
      <c r="AZ2" s="18">
        <v>0</v>
      </c>
      <c r="BA2" s="18">
        <v>4</v>
      </c>
      <c r="BB2" s="18">
        <v>1</v>
      </c>
      <c r="BC2" s="18">
        <v>0</v>
      </c>
      <c r="BD2" s="18">
        <v>4</v>
      </c>
      <c r="BE2" s="18">
        <v>1</v>
      </c>
      <c r="BF2" s="18">
        <v>1</v>
      </c>
      <c r="BG2" s="18">
        <v>3</v>
      </c>
      <c r="BH2" s="18">
        <v>1</v>
      </c>
      <c r="BI2" s="18">
        <v>2</v>
      </c>
      <c r="BJ2" s="19">
        <v>1</v>
      </c>
      <c r="BK2" s="9">
        <v>3</v>
      </c>
      <c r="BL2" s="9">
        <v>3</v>
      </c>
      <c r="BM2" s="9">
        <v>1</v>
      </c>
      <c r="BN2" s="9">
        <v>3</v>
      </c>
      <c r="BO2" s="9">
        <v>2</v>
      </c>
      <c r="BP2" s="9">
        <v>5</v>
      </c>
      <c r="BQ2" s="9">
        <v>0</v>
      </c>
      <c r="BR2" s="9">
        <v>1</v>
      </c>
      <c r="BS2" s="9">
        <v>3</v>
      </c>
      <c r="BT2" s="10">
        <v>2</v>
      </c>
      <c r="BU2" s="10">
        <v>0</v>
      </c>
      <c r="BV2" s="36">
        <v>1</v>
      </c>
    </row>
    <row r="3" spans="1:74" ht="17" thickBot="1" x14ac:dyDescent="0.5">
      <c r="A3" s="74" t="s">
        <v>3</v>
      </c>
      <c r="B3" s="161" t="s">
        <v>242</v>
      </c>
      <c r="C3" s="31">
        <v>1</v>
      </c>
      <c r="D3" s="21"/>
      <c r="E3" s="21">
        <v>1</v>
      </c>
      <c r="F3" s="21"/>
      <c r="G3" s="21"/>
      <c r="H3" s="21"/>
      <c r="I3" s="21"/>
      <c r="J3" s="21"/>
      <c r="K3" s="21">
        <v>1</v>
      </c>
      <c r="L3" s="21"/>
      <c r="M3" s="21"/>
      <c r="N3" s="22"/>
      <c r="O3" s="21">
        <v>1</v>
      </c>
      <c r="P3" s="21"/>
      <c r="Q3" s="21"/>
      <c r="R3" s="21"/>
      <c r="S3" s="21"/>
      <c r="T3" s="21"/>
      <c r="U3" s="21"/>
      <c r="V3" s="21"/>
      <c r="W3" s="21">
        <v>1</v>
      </c>
      <c r="X3" s="23">
        <v>1</v>
      </c>
      <c r="Y3" s="23">
        <v>1</v>
      </c>
      <c r="Z3" s="24">
        <v>1</v>
      </c>
      <c r="AA3" s="25"/>
      <c r="AB3" s="23"/>
      <c r="AC3" s="23">
        <v>2</v>
      </c>
      <c r="AD3" s="23">
        <v>1</v>
      </c>
      <c r="AE3" s="23"/>
      <c r="AF3" s="23">
        <v>2</v>
      </c>
      <c r="AG3" s="23"/>
      <c r="AH3" s="23">
        <v>1</v>
      </c>
      <c r="AI3" s="23">
        <v>1</v>
      </c>
      <c r="AJ3" s="23"/>
      <c r="AK3" s="23"/>
      <c r="AL3" s="24">
        <v>2</v>
      </c>
      <c r="AM3" s="29">
        <v>1</v>
      </c>
      <c r="AN3" s="21"/>
      <c r="AO3" s="21">
        <v>1</v>
      </c>
      <c r="AP3" s="75" t="s">
        <v>57</v>
      </c>
      <c r="AQ3" s="75" t="s">
        <v>57</v>
      </c>
      <c r="AR3" s="76" t="s">
        <v>30</v>
      </c>
      <c r="AS3" s="76" t="s">
        <v>30</v>
      </c>
      <c r="AT3" s="21"/>
      <c r="AU3" s="21">
        <v>1</v>
      </c>
      <c r="AV3" s="21">
        <v>1</v>
      </c>
      <c r="AW3" s="21"/>
      <c r="AX3" s="21"/>
      <c r="AY3" s="29"/>
      <c r="AZ3" s="21"/>
      <c r="BA3" s="21">
        <v>2</v>
      </c>
      <c r="BB3" s="21"/>
      <c r="BC3" s="21"/>
      <c r="BD3" s="21"/>
      <c r="BE3" s="21"/>
      <c r="BF3" s="21"/>
      <c r="BG3" s="21"/>
      <c r="BH3" s="21">
        <v>1</v>
      </c>
      <c r="BI3" s="21"/>
      <c r="BJ3" s="22"/>
      <c r="BK3" s="21"/>
      <c r="BL3" s="21"/>
      <c r="BM3" s="21"/>
      <c r="BN3" s="21">
        <v>1</v>
      </c>
      <c r="BO3" s="21"/>
      <c r="BP3" s="21"/>
      <c r="BQ3" s="21"/>
      <c r="BR3" s="21"/>
      <c r="BS3" s="21"/>
      <c r="BT3" s="23">
        <v>1</v>
      </c>
      <c r="BU3" s="23"/>
      <c r="BV3" s="32">
        <v>1</v>
      </c>
    </row>
    <row r="4" spans="1:74" ht="17" thickBot="1" x14ac:dyDescent="0.5">
      <c r="A4" s="74" t="s">
        <v>3</v>
      </c>
      <c r="B4" s="37" t="s">
        <v>243</v>
      </c>
      <c r="C4" s="31">
        <v>4</v>
      </c>
      <c r="D4" s="21">
        <v>1</v>
      </c>
      <c r="E4" s="21">
        <v>3</v>
      </c>
      <c r="F4" s="21">
        <v>2</v>
      </c>
      <c r="G4" s="21">
        <v>2</v>
      </c>
      <c r="H4" s="21">
        <v>1</v>
      </c>
      <c r="I4" s="21">
        <v>1</v>
      </c>
      <c r="J4" s="21">
        <v>1</v>
      </c>
      <c r="K4" s="21">
        <v>2</v>
      </c>
      <c r="L4" s="21">
        <v>1</v>
      </c>
      <c r="M4" s="21">
        <v>2</v>
      </c>
      <c r="N4" s="22">
        <v>2</v>
      </c>
      <c r="O4" s="21">
        <v>5</v>
      </c>
      <c r="P4" s="21"/>
      <c r="Q4" s="21">
        <v>1</v>
      </c>
      <c r="R4" s="21">
        <v>3</v>
      </c>
      <c r="S4" s="21">
        <v>1</v>
      </c>
      <c r="T4" s="21">
        <v>2</v>
      </c>
      <c r="U4" s="21">
        <v>3</v>
      </c>
      <c r="V4" s="21">
        <v>1</v>
      </c>
      <c r="W4" s="21">
        <v>2</v>
      </c>
      <c r="X4" s="23"/>
      <c r="Y4" s="23"/>
      <c r="Z4" s="24">
        <v>2</v>
      </c>
      <c r="AA4" s="25">
        <v>2</v>
      </c>
      <c r="AB4" s="23">
        <v>2</v>
      </c>
      <c r="AC4" s="23">
        <v>2</v>
      </c>
      <c r="AD4" s="23">
        <v>2</v>
      </c>
      <c r="AE4" s="23">
        <v>2</v>
      </c>
      <c r="AF4" s="23">
        <v>1</v>
      </c>
      <c r="AG4" s="23">
        <v>2</v>
      </c>
      <c r="AH4" s="23"/>
      <c r="AI4" s="23">
        <v>1</v>
      </c>
      <c r="AJ4" s="23">
        <v>2</v>
      </c>
      <c r="AK4" s="23">
        <v>1</v>
      </c>
      <c r="AL4" s="24">
        <v>1</v>
      </c>
      <c r="AM4" s="29">
        <v>4</v>
      </c>
      <c r="AN4" s="21">
        <v>2</v>
      </c>
      <c r="AO4" s="21">
        <v>2</v>
      </c>
      <c r="AP4" s="75" t="s">
        <v>57</v>
      </c>
      <c r="AQ4" s="75" t="s">
        <v>57</v>
      </c>
      <c r="AR4" s="76" t="s">
        <v>30</v>
      </c>
      <c r="AS4" s="76" t="s">
        <v>30</v>
      </c>
      <c r="AT4" s="21">
        <v>3</v>
      </c>
      <c r="AU4" s="21">
        <v>2</v>
      </c>
      <c r="AV4" s="21"/>
      <c r="AW4" s="21"/>
      <c r="AX4" s="21">
        <v>2</v>
      </c>
      <c r="AY4" s="29">
        <v>1</v>
      </c>
      <c r="AZ4" s="21"/>
      <c r="BA4" s="21">
        <v>1</v>
      </c>
      <c r="BB4" s="21">
        <v>1</v>
      </c>
      <c r="BC4" s="21"/>
      <c r="BD4" s="21">
        <v>4</v>
      </c>
      <c r="BE4" s="21"/>
      <c r="BF4" s="21"/>
      <c r="BG4" s="21">
        <v>1</v>
      </c>
      <c r="BH4" s="21"/>
      <c r="BI4" s="21"/>
      <c r="BJ4" s="22">
        <v>1</v>
      </c>
      <c r="BK4" s="21">
        <v>2</v>
      </c>
      <c r="BL4" s="21">
        <v>2</v>
      </c>
      <c r="BM4" s="21"/>
      <c r="BN4" s="21">
        <v>2</v>
      </c>
      <c r="BO4" s="21">
        <v>1</v>
      </c>
      <c r="BP4" s="21">
        <v>3</v>
      </c>
      <c r="BQ4" s="21"/>
      <c r="BR4" s="21">
        <v>1</v>
      </c>
      <c r="BS4" s="21">
        <v>2</v>
      </c>
      <c r="BT4" s="23">
        <v>1</v>
      </c>
      <c r="BU4" s="23"/>
      <c r="BV4" s="32"/>
    </row>
    <row r="5" spans="1:74" ht="17" thickBot="1" x14ac:dyDescent="0.35">
      <c r="A5" s="74" t="s">
        <v>3</v>
      </c>
      <c r="B5" s="37" t="s">
        <v>244</v>
      </c>
      <c r="C5" s="33"/>
      <c r="D5" s="26"/>
      <c r="E5" s="26"/>
      <c r="F5" s="26"/>
      <c r="G5" s="26"/>
      <c r="H5" s="26"/>
      <c r="I5" s="26"/>
      <c r="J5" s="26"/>
      <c r="K5" s="26"/>
      <c r="L5" s="26"/>
      <c r="M5" s="26"/>
      <c r="N5" s="27"/>
      <c r="O5" s="26"/>
      <c r="P5" s="26">
        <v>1</v>
      </c>
      <c r="Q5" s="26"/>
      <c r="R5" s="26"/>
      <c r="S5" s="26"/>
      <c r="T5" s="26"/>
      <c r="U5" s="26"/>
      <c r="V5" s="26"/>
      <c r="W5" s="26"/>
      <c r="X5" s="26"/>
      <c r="Y5" s="26"/>
      <c r="Z5" s="27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7"/>
      <c r="AM5" s="28"/>
      <c r="AN5" s="26">
        <v>1</v>
      </c>
      <c r="AO5" s="26"/>
      <c r="AP5" s="75" t="s">
        <v>57</v>
      </c>
      <c r="AQ5" s="75" t="s">
        <v>57</v>
      </c>
      <c r="AR5" s="76" t="s">
        <v>30</v>
      </c>
      <c r="AS5" s="76" t="s">
        <v>30</v>
      </c>
      <c r="AT5" s="26"/>
      <c r="AU5" s="26"/>
      <c r="AV5" s="26"/>
      <c r="AW5" s="26"/>
      <c r="AX5" s="26"/>
      <c r="AY5" s="28">
        <v>1</v>
      </c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7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34"/>
    </row>
    <row r="6" spans="1:74" ht="17" thickBot="1" x14ac:dyDescent="0.35">
      <c r="A6" s="74" t="s">
        <v>3</v>
      </c>
      <c r="B6" s="53" t="s">
        <v>63</v>
      </c>
      <c r="C6" s="56"/>
      <c r="D6" s="57"/>
      <c r="E6" s="57"/>
      <c r="F6" s="57"/>
      <c r="G6" s="57"/>
      <c r="H6" s="57"/>
      <c r="I6" s="57"/>
      <c r="J6" s="57"/>
      <c r="K6" s="57"/>
      <c r="L6" s="57"/>
      <c r="M6" s="57"/>
      <c r="N6" s="58"/>
      <c r="O6" s="57">
        <v>1</v>
      </c>
      <c r="P6" s="57"/>
      <c r="Q6" s="57"/>
      <c r="R6" s="57"/>
      <c r="S6" s="57"/>
      <c r="T6" s="57"/>
      <c r="U6" s="57"/>
      <c r="V6" s="57"/>
      <c r="W6" s="57"/>
      <c r="X6" s="57"/>
      <c r="Y6" s="57"/>
      <c r="Z6" s="58"/>
      <c r="AA6" s="57"/>
      <c r="AB6" s="57"/>
      <c r="AC6" s="57"/>
      <c r="AD6" s="57"/>
      <c r="AE6" s="57"/>
      <c r="AF6" s="57"/>
      <c r="AG6" s="57"/>
      <c r="AH6" s="57"/>
      <c r="AI6" s="57"/>
      <c r="AJ6" s="57">
        <v>1</v>
      </c>
      <c r="AK6" s="57"/>
      <c r="AL6" s="58"/>
      <c r="AM6" s="59"/>
      <c r="AN6" s="57">
        <v>1</v>
      </c>
      <c r="AO6" s="57"/>
      <c r="AP6" s="75" t="s">
        <v>57</v>
      </c>
      <c r="AQ6" s="75" t="s">
        <v>57</v>
      </c>
      <c r="AR6" s="76" t="s">
        <v>30</v>
      </c>
      <c r="AS6" s="76" t="s">
        <v>30</v>
      </c>
      <c r="AT6" s="57"/>
      <c r="AU6" s="57"/>
      <c r="AV6" s="57"/>
      <c r="AW6" s="57"/>
      <c r="AX6" s="57">
        <v>1</v>
      </c>
      <c r="AY6" s="59"/>
      <c r="AZ6" s="57"/>
      <c r="BA6" s="57"/>
      <c r="BB6" s="57"/>
      <c r="BC6" s="57"/>
      <c r="BD6" s="57"/>
      <c r="BE6" s="57">
        <v>1</v>
      </c>
      <c r="BF6" s="57"/>
      <c r="BG6" s="57">
        <v>1</v>
      </c>
      <c r="BH6" s="57"/>
      <c r="BI6" s="57"/>
      <c r="BJ6" s="58"/>
      <c r="BK6" s="57"/>
      <c r="BL6" s="57"/>
      <c r="BM6" s="57"/>
      <c r="BN6" s="57"/>
      <c r="BO6" s="57"/>
      <c r="BP6" s="57">
        <v>1</v>
      </c>
      <c r="BQ6" s="57"/>
      <c r="BR6" s="57"/>
      <c r="BS6" s="57"/>
      <c r="BT6" s="57"/>
      <c r="BU6" s="57"/>
      <c r="BV6" s="60"/>
    </row>
    <row r="7" spans="1:74" ht="17" thickBot="1" x14ac:dyDescent="0.35">
      <c r="A7" s="74" t="s">
        <v>3</v>
      </c>
      <c r="B7" s="37" t="s">
        <v>42</v>
      </c>
      <c r="C7" s="55"/>
      <c r="D7" s="39"/>
      <c r="E7" s="39"/>
      <c r="F7" s="39"/>
      <c r="G7" s="39"/>
      <c r="H7" s="39"/>
      <c r="I7" s="39"/>
      <c r="J7" s="39">
        <v>1</v>
      </c>
      <c r="K7" s="39"/>
      <c r="L7" s="39"/>
      <c r="M7" s="39">
        <v>1</v>
      </c>
      <c r="N7" s="40"/>
      <c r="O7" s="39"/>
      <c r="P7" s="39"/>
      <c r="Q7" s="39"/>
      <c r="R7" s="39"/>
      <c r="S7" s="39"/>
      <c r="T7" s="39"/>
      <c r="U7" s="39">
        <v>1</v>
      </c>
      <c r="V7" s="39"/>
      <c r="W7" s="39"/>
      <c r="X7" s="39"/>
      <c r="Y7" s="39"/>
      <c r="Z7" s="40"/>
      <c r="AA7" s="39"/>
      <c r="AB7" s="39"/>
      <c r="AC7" s="39"/>
      <c r="AD7" s="39"/>
      <c r="AE7" s="39"/>
      <c r="AF7" s="39"/>
      <c r="AG7" s="39"/>
      <c r="AH7" s="39"/>
      <c r="AI7" s="39">
        <v>1</v>
      </c>
      <c r="AJ7" s="39"/>
      <c r="AK7" s="39">
        <v>1</v>
      </c>
      <c r="AL7" s="40">
        <v>1</v>
      </c>
      <c r="AM7" s="38"/>
      <c r="AN7" s="39"/>
      <c r="AO7" s="39">
        <v>1</v>
      </c>
      <c r="AP7" s="75" t="s">
        <v>57</v>
      </c>
      <c r="AQ7" s="75" t="s">
        <v>57</v>
      </c>
      <c r="AR7" s="76" t="s">
        <v>30</v>
      </c>
      <c r="AS7" s="76" t="s">
        <v>30</v>
      </c>
      <c r="AT7" s="39"/>
      <c r="AU7" s="39">
        <v>1</v>
      </c>
      <c r="AV7" s="39"/>
      <c r="AW7" s="39"/>
      <c r="AX7" s="39"/>
      <c r="AY7" s="38">
        <v>1</v>
      </c>
      <c r="AZ7" s="39"/>
      <c r="BA7" s="39">
        <v>1</v>
      </c>
      <c r="BB7" s="39"/>
      <c r="BC7" s="39"/>
      <c r="BD7" s="39"/>
      <c r="BE7" s="39"/>
      <c r="BF7" s="39">
        <v>1</v>
      </c>
      <c r="BG7" s="39">
        <v>1</v>
      </c>
      <c r="BH7" s="39"/>
      <c r="BI7" s="39">
        <v>2</v>
      </c>
      <c r="BJ7" s="40"/>
      <c r="BK7" s="39">
        <v>1</v>
      </c>
      <c r="BL7" s="39">
        <v>1</v>
      </c>
      <c r="BM7" s="39">
        <v>1</v>
      </c>
      <c r="BN7" s="39"/>
      <c r="BO7" s="39">
        <v>1</v>
      </c>
      <c r="BP7" s="39">
        <v>1</v>
      </c>
      <c r="BQ7" s="39"/>
      <c r="BR7" s="39"/>
      <c r="BS7" s="39">
        <v>1</v>
      </c>
      <c r="BT7" s="39"/>
      <c r="BU7" s="39"/>
      <c r="BV7" s="41"/>
    </row>
    <row r="8" spans="1:74" ht="17" thickBot="1" x14ac:dyDescent="0.5">
      <c r="A8" s="74" t="s">
        <v>4</v>
      </c>
      <c r="B8" s="54" t="s">
        <v>69</v>
      </c>
      <c r="C8" s="30">
        <v>1</v>
      </c>
      <c r="D8" s="13">
        <v>1</v>
      </c>
      <c r="E8" s="13">
        <v>1</v>
      </c>
      <c r="F8" s="13">
        <v>1</v>
      </c>
      <c r="G8" s="13">
        <v>0</v>
      </c>
      <c r="H8" s="13">
        <v>3</v>
      </c>
      <c r="I8" s="13">
        <v>2</v>
      </c>
      <c r="J8" s="13">
        <v>3</v>
      </c>
      <c r="K8" s="13">
        <v>1</v>
      </c>
      <c r="L8" s="13">
        <v>2</v>
      </c>
      <c r="M8" s="13">
        <v>1</v>
      </c>
      <c r="N8" s="14">
        <v>4</v>
      </c>
      <c r="O8" s="13">
        <v>3</v>
      </c>
      <c r="P8" s="13">
        <v>2</v>
      </c>
      <c r="Q8" s="13">
        <v>4</v>
      </c>
      <c r="R8" s="13">
        <v>4</v>
      </c>
      <c r="S8" s="13">
        <v>3</v>
      </c>
      <c r="T8" s="13">
        <v>4</v>
      </c>
      <c r="U8" s="13">
        <v>2</v>
      </c>
      <c r="V8" s="13">
        <v>1</v>
      </c>
      <c r="W8" s="13">
        <v>5</v>
      </c>
      <c r="X8" s="15">
        <v>2</v>
      </c>
      <c r="Y8" s="15">
        <v>2</v>
      </c>
      <c r="Z8" s="16">
        <v>1</v>
      </c>
      <c r="AA8" s="17">
        <v>7</v>
      </c>
      <c r="AB8" s="15">
        <v>3</v>
      </c>
      <c r="AC8" s="15">
        <v>4</v>
      </c>
      <c r="AD8" s="15">
        <v>5</v>
      </c>
      <c r="AE8" s="15">
        <v>1</v>
      </c>
      <c r="AF8" s="16">
        <v>4</v>
      </c>
      <c r="AG8" s="15">
        <v>3</v>
      </c>
      <c r="AH8" s="15">
        <v>3</v>
      </c>
      <c r="AI8" s="139">
        <v>2</v>
      </c>
      <c r="AJ8" s="16">
        <v>1</v>
      </c>
      <c r="AK8" s="75" t="s">
        <v>57</v>
      </c>
      <c r="AL8" s="75" t="s">
        <v>57</v>
      </c>
      <c r="AM8" s="76" t="s">
        <v>30</v>
      </c>
      <c r="AN8" s="76" t="s">
        <v>30</v>
      </c>
      <c r="AO8" s="15">
        <v>1</v>
      </c>
      <c r="AP8" s="15">
        <v>1</v>
      </c>
      <c r="AQ8" s="15">
        <v>2</v>
      </c>
      <c r="AR8" s="16">
        <v>1</v>
      </c>
      <c r="AS8" s="17">
        <v>2</v>
      </c>
      <c r="AT8" s="15">
        <v>2</v>
      </c>
      <c r="AU8" s="15">
        <v>0</v>
      </c>
      <c r="AV8" s="15">
        <v>2</v>
      </c>
      <c r="AW8" s="15">
        <v>3</v>
      </c>
      <c r="AX8" s="16">
        <v>2</v>
      </c>
      <c r="AY8" s="35">
        <v>2</v>
      </c>
      <c r="AZ8" s="18">
        <v>2</v>
      </c>
      <c r="BA8" s="18">
        <v>3</v>
      </c>
      <c r="BB8" s="18">
        <v>1</v>
      </c>
      <c r="BC8" s="18">
        <v>1</v>
      </c>
      <c r="BD8" s="18">
        <v>1</v>
      </c>
      <c r="BE8" s="18">
        <v>0</v>
      </c>
      <c r="BF8" s="18">
        <v>3</v>
      </c>
      <c r="BG8" s="18">
        <v>1</v>
      </c>
      <c r="BH8" s="18">
        <v>1</v>
      </c>
      <c r="BI8" s="18">
        <v>2</v>
      </c>
      <c r="BJ8" s="19">
        <v>3</v>
      </c>
      <c r="BK8" s="9">
        <v>4</v>
      </c>
      <c r="BL8" s="9">
        <v>2</v>
      </c>
      <c r="BM8" s="9">
        <v>0</v>
      </c>
      <c r="BN8" s="9">
        <v>4</v>
      </c>
      <c r="BO8" s="9">
        <v>4</v>
      </c>
      <c r="BP8" s="9">
        <v>4</v>
      </c>
      <c r="BQ8" s="9">
        <v>3</v>
      </c>
      <c r="BR8" s="9">
        <v>5</v>
      </c>
      <c r="BS8" s="9">
        <v>5</v>
      </c>
      <c r="BT8" s="10">
        <v>3</v>
      </c>
      <c r="BU8" s="10">
        <v>4</v>
      </c>
      <c r="BV8" s="36">
        <v>3</v>
      </c>
    </row>
    <row r="9" spans="1:74" ht="17" thickBot="1" x14ac:dyDescent="0.5">
      <c r="A9" s="74" t="s">
        <v>4</v>
      </c>
      <c r="B9" s="161" t="s">
        <v>242</v>
      </c>
      <c r="C9" s="21"/>
      <c r="D9" s="21"/>
      <c r="E9" s="21"/>
      <c r="F9" s="21"/>
      <c r="G9" s="21"/>
      <c r="H9" s="21">
        <v>2</v>
      </c>
      <c r="I9" s="21">
        <v>1</v>
      </c>
      <c r="J9" s="21"/>
      <c r="K9" s="21"/>
      <c r="L9" s="21"/>
      <c r="M9" s="21"/>
      <c r="N9" s="22">
        <v>1</v>
      </c>
      <c r="O9" s="21">
        <v>1</v>
      </c>
      <c r="P9" s="21"/>
      <c r="Q9" s="21"/>
      <c r="R9" s="21"/>
      <c r="S9" s="21">
        <v>2</v>
      </c>
      <c r="T9" s="21">
        <v>1</v>
      </c>
      <c r="U9" s="21"/>
      <c r="V9" s="21">
        <v>1</v>
      </c>
      <c r="W9" s="21">
        <v>1</v>
      </c>
      <c r="X9" s="23">
        <v>1</v>
      </c>
      <c r="Y9" s="23">
        <v>1</v>
      </c>
      <c r="Z9" s="24">
        <v>1</v>
      </c>
      <c r="AA9" s="25">
        <v>1</v>
      </c>
      <c r="AB9" s="23"/>
      <c r="AC9" s="23">
        <v>2</v>
      </c>
      <c r="AD9" s="23">
        <v>2</v>
      </c>
      <c r="AE9" s="23"/>
      <c r="AF9" s="23">
        <v>2</v>
      </c>
      <c r="AG9" s="23">
        <v>1</v>
      </c>
      <c r="AH9" s="23"/>
      <c r="AI9" s="23"/>
      <c r="AJ9" s="24"/>
      <c r="AK9" s="75" t="s">
        <v>57</v>
      </c>
      <c r="AL9" s="75" t="s">
        <v>57</v>
      </c>
      <c r="AM9" s="76" t="s">
        <v>30</v>
      </c>
      <c r="AN9" s="76" t="s">
        <v>30</v>
      </c>
      <c r="AO9" s="23">
        <v>1</v>
      </c>
      <c r="AP9" s="23"/>
      <c r="AQ9" s="23">
        <v>1</v>
      </c>
      <c r="AR9" s="24"/>
      <c r="AS9" s="25"/>
      <c r="AT9" s="23"/>
      <c r="AU9" s="23"/>
      <c r="AV9" s="23">
        <v>1</v>
      </c>
      <c r="AW9" s="23"/>
      <c r="AX9" s="24"/>
      <c r="AY9" s="29"/>
      <c r="AZ9" s="21"/>
      <c r="BA9" s="21">
        <v>1</v>
      </c>
      <c r="BB9" s="21"/>
      <c r="BC9" s="21"/>
      <c r="BD9" s="21"/>
      <c r="BE9" s="21"/>
      <c r="BF9" s="21"/>
      <c r="BG9" s="21">
        <v>1</v>
      </c>
      <c r="BH9" s="21">
        <v>1</v>
      </c>
      <c r="BI9" s="21"/>
      <c r="BJ9" s="22"/>
      <c r="BK9" s="21"/>
      <c r="BL9" s="21"/>
      <c r="BM9" s="21"/>
      <c r="BN9" s="21"/>
      <c r="BO9" s="21">
        <v>1</v>
      </c>
      <c r="BP9" s="21"/>
      <c r="BQ9" s="21">
        <v>2</v>
      </c>
      <c r="BR9" s="21">
        <v>2</v>
      </c>
      <c r="BS9" s="21">
        <v>2</v>
      </c>
      <c r="BT9" s="23"/>
      <c r="BU9" s="23">
        <v>1</v>
      </c>
      <c r="BV9" s="32"/>
    </row>
    <row r="10" spans="1:74" ht="17" thickBot="1" x14ac:dyDescent="0.5">
      <c r="A10" s="74" t="s">
        <v>4</v>
      </c>
      <c r="B10" s="37" t="s">
        <v>243</v>
      </c>
      <c r="C10" s="21">
        <v>1</v>
      </c>
      <c r="D10" s="21">
        <v>1</v>
      </c>
      <c r="E10" s="21">
        <v>1</v>
      </c>
      <c r="F10" s="21">
        <v>1</v>
      </c>
      <c r="G10" s="21"/>
      <c r="H10" s="21">
        <v>1</v>
      </c>
      <c r="I10" s="21">
        <v>1</v>
      </c>
      <c r="J10" s="21">
        <v>3</v>
      </c>
      <c r="K10" s="21">
        <v>1</v>
      </c>
      <c r="L10" s="21">
        <v>2</v>
      </c>
      <c r="M10" s="21"/>
      <c r="N10" s="22">
        <v>2</v>
      </c>
      <c r="O10" s="21">
        <v>2</v>
      </c>
      <c r="P10" s="21">
        <v>2</v>
      </c>
      <c r="Q10" s="21">
        <v>4</v>
      </c>
      <c r="R10" s="21">
        <v>2</v>
      </c>
      <c r="S10" s="21">
        <v>1</v>
      </c>
      <c r="T10" s="21">
        <v>3</v>
      </c>
      <c r="U10" s="21">
        <v>2</v>
      </c>
      <c r="V10" s="21"/>
      <c r="W10" s="21">
        <v>3</v>
      </c>
      <c r="X10" s="23">
        <v>1</v>
      </c>
      <c r="Y10" s="23">
        <v>1</v>
      </c>
      <c r="Z10" s="24"/>
      <c r="AA10" s="25">
        <v>6</v>
      </c>
      <c r="AB10" s="23">
        <v>3</v>
      </c>
      <c r="AC10" s="23">
        <v>2</v>
      </c>
      <c r="AD10" s="23">
        <v>3</v>
      </c>
      <c r="AE10" s="23"/>
      <c r="AF10" s="23">
        <v>2</v>
      </c>
      <c r="AG10" s="23">
        <v>1</v>
      </c>
      <c r="AH10" s="23">
        <v>2</v>
      </c>
      <c r="AI10" s="23">
        <v>1</v>
      </c>
      <c r="AJ10" s="24">
        <v>1</v>
      </c>
      <c r="AK10" s="75" t="s">
        <v>57</v>
      </c>
      <c r="AL10" s="75" t="s">
        <v>57</v>
      </c>
      <c r="AM10" s="76" t="s">
        <v>30</v>
      </c>
      <c r="AN10" s="76" t="s">
        <v>30</v>
      </c>
      <c r="AO10" s="23"/>
      <c r="AP10" s="23">
        <v>1</v>
      </c>
      <c r="AQ10" s="23">
        <v>1</v>
      </c>
      <c r="AR10" s="24">
        <v>1</v>
      </c>
      <c r="AS10" s="25">
        <v>2</v>
      </c>
      <c r="AT10" s="23">
        <v>2</v>
      </c>
      <c r="AU10" s="23"/>
      <c r="AV10" s="23">
        <v>1</v>
      </c>
      <c r="AW10" s="23">
        <v>3</v>
      </c>
      <c r="AX10" s="24">
        <v>2</v>
      </c>
      <c r="AY10" s="29">
        <v>1</v>
      </c>
      <c r="AZ10" s="21">
        <v>2</v>
      </c>
      <c r="BA10" s="21">
        <v>2</v>
      </c>
      <c r="BB10" s="21">
        <v>1</v>
      </c>
      <c r="BC10" s="21">
        <v>1</v>
      </c>
      <c r="BD10" s="21">
        <v>1</v>
      </c>
      <c r="BE10" s="21"/>
      <c r="BF10" s="21">
        <v>3</v>
      </c>
      <c r="BG10" s="21"/>
      <c r="BH10" s="21"/>
      <c r="BI10" s="21">
        <v>1</v>
      </c>
      <c r="BJ10" s="22">
        <v>3</v>
      </c>
      <c r="BK10" s="21">
        <v>4</v>
      </c>
      <c r="BL10" s="21">
        <v>1</v>
      </c>
      <c r="BM10" s="21"/>
      <c r="BN10" s="21">
        <v>4</v>
      </c>
      <c r="BO10" s="21">
        <v>2</v>
      </c>
      <c r="BP10" s="21">
        <v>2</v>
      </c>
      <c r="BQ10" s="21"/>
      <c r="BR10" s="21">
        <v>3</v>
      </c>
      <c r="BS10" s="21">
        <v>3</v>
      </c>
      <c r="BT10" s="23">
        <v>2</v>
      </c>
      <c r="BU10" s="23">
        <v>3</v>
      </c>
      <c r="BV10" s="32">
        <v>3</v>
      </c>
    </row>
    <row r="11" spans="1:74" ht="17" thickBot="1" x14ac:dyDescent="0.35">
      <c r="A11" s="74" t="s">
        <v>4</v>
      </c>
      <c r="B11" s="37" t="s">
        <v>244</v>
      </c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7"/>
      <c r="O11" s="26"/>
      <c r="P11" s="26"/>
      <c r="Q11" s="26"/>
      <c r="R11" s="26">
        <v>1</v>
      </c>
      <c r="S11" s="26"/>
      <c r="T11" s="26"/>
      <c r="U11" s="26"/>
      <c r="V11" s="26"/>
      <c r="W11" s="26">
        <v>1</v>
      </c>
      <c r="X11" s="26"/>
      <c r="Y11" s="26"/>
      <c r="Z11" s="27"/>
      <c r="AA11" s="28"/>
      <c r="AB11" s="26"/>
      <c r="AC11" s="26"/>
      <c r="AD11" s="26"/>
      <c r="AE11" s="26"/>
      <c r="AF11" s="26"/>
      <c r="AG11" s="26"/>
      <c r="AH11" s="26"/>
      <c r="AI11" s="26">
        <v>1</v>
      </c>
      <c r="AJ11" s="27"/>
      <c r="AK11" s="75" t="s">
        <v>57</v>
      </c>
      <c r="AL11" s="75" t="s">
        <v>57</v>
      </c>
      <c r="AM11" s="76" t="s">
        <v>30</v>
      </c>
      <c r="AN11" s="76" t="s">
        <v>30</v>
      </c>
      <c r="AO11" s="26"/>
      <c r="AP11" s="26"/>
      <c r="AQ11" s="26"/>
      <c r="AR11" s="27"/>
      <c r="AS11" s="28"/>
      <c r="AT11" s="26"/>
      <c r="AU11" s="26"/>
      <c r="AV11" s="26"/>
      <c r="AW11" s="26"/>
      <c r="AX11" s="27"/>
      <c r="AY11" s="28"/>
      <c r="AZ11" s="26"/>
      <c r="BA11" s="26"/>
      <c r="BB11" s="26"/>
      <c r="BC11" s="26"/>
      <c r="BD11" s="26"/>
      <c r="BE11" s="26"/>
      <c r="BF11" s="26"/>
      <c r="BG11" s="26"/>
      <c r="BH11" s="26"/>
      <c r="BI11" s="26"/>
      <c r="BJ11" s="27"/>
      <c r="BK11" s="26"/>
      <c r="BL11" s="26"/>
      <c r="BM11" s="26"/>
      <c r="BN11" s="26"/>
      <c r="BO11" s="26"/>
      <c r="BP11" s="26"/>
      <c r="BQ11" s="26"/>
      <c r="BR11" s="26"/>
      <c r="BS11" s="26"/>
      <c r="BT11" s="26"/>
      <c r="BU11" s="26"/>
      <c r="BV11" s="34"/>
    </row>
    <row r="12" spans="1:74" ht="17" thickBot="1" x14ac:dyDescent="0.35">
      <c r="A12" s="74" t="s">
        <v>4</v>
      </c>
      <c r="B12" s="37" t="s">
        <v>63</v>
      </c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>
        <v>1</v>
      </c>
      <c r="N12" s="27">
        <v>1</v>
      </c>
      <c r="O12" s="26"/>
      <c r="P12" s="26"/>
      <c r="Q12" s="26"/>
      <c r="R12" s="26">
        <v>1</v>
      </c>
      <c r="S12" s="26"/>
      <c r="T12" s="26"/>
      <c r="U12" s="26"/>
      <c r="V12" s="26"/>
      <c r="W12" s="26"/>
      <c r="X12" s="26"/>
      <c r="Y12" s="26"/>
      <c r="Z12" s="27"/>
      <c r="AA12" s="28"/>
      <c r="AB12" s="26"/>
      <c r="AC12" s="26"/>
      <c r="AD12" s="26"/>
      <c r="AE12" s="26"/>
      <c r="AF12" s="26"/>
      <c r="AG12" s="26">
        <v>1</v>
      </c>
      <c r="AH12" s="26"/>
      <c r="AI12" s="26"/>
      <c r="AJ12" s="27"/>
      <c r="AK12" s="75" t="s">
        <v>57</v>
      </c>
      <c r="AL12" s="75" t="s">
        <v>57</v>
      </c>
      <c r="AM12" s="76" t="s">
        <v>30</v>
      </c>
      <c r="AN12" s="76" t="s">
        <v>30</v>
      </c>
      <c r="AO12" s="26"/>
      <c r="AP12" s="26"/>
      <c r="AQ12" s="26"/>
      <c r="AR12" s="27"/>
      <c r="AS12" s="28"/>
      <c r="AT12" s="26"/>
      <c r="AU12" s="26"/>
      <c r="AV12" s="26"/>
      <c r="AW12" s="26"/>
      <c r="AX12" s="27"/>
      <c r="AY12" s="28">
        <v>1</v>
      </c>
      <c r="AZ12" s="26"/>
      <c r="BA12" s="26"/>
      <c r="BB12" s="26"/>
      <c r="BC12" s="26"/>
      <c r="BD12" s="26"/>
      <c r="BE12" s="26"/>
      <c r="BF12" s="26"/>
      <c r="BG12" s="26"/>
      <c r="BH12" s="26"/>
      <c r="BI12" s="26"/>
      <c r="BJ12" s="27"/>
      <c r="BK12" s="26"/>
      <c r="BL12" s="26">
        <v>1</v>
      </c>
      <c r="BM12" s="26"/>
      <c r="BN12" s="26"/>
      <c r="BO12" s="26">
        <v>1</v>
      </c>
      <c r="BP12" s="26"/>
      <c r="BQ12" s="26"/>
      <c r="BR12" s="26"/>
      <c r="BS12" s="26"/>
      <c r="BT12" s="26"/>
      <c r="BU12" s="26"/>
      <c r="BV12" s="34"/>
    </row>
    <row r="13" spans="1:74" ht="17" thickBot="1" x14ac:dyDescent="0.35">
      <c r="A13" s="74" t="s">
        <v>4</v>
      </c>
      <c r="B13" s="161" t="s">
        <v>42</v>
      </c>
      <c r="C13" s="57"/>
      <c r="D13" s="57"/>
      <c r="E13" s="57"/>
      <c r="F13" s="57"/>
      <c r="G13" s="57"/>
      <c r="H13" s="57"/>
      <c r="I13" s="57"/>
      <c r="J13" s="57"/>
      <c r="K13" s="57"/>
      <c r="L13" s="57"/>
      <c r="M13" s="57"/>
      <c r="N13" s="58"/>
      <c r="O13" s="57"/>
      <c r="P13" s="57"/>
      <c r="Q13" s="57"/>
      <c r="R13" s="57"/>
      <c r="S13" s="57"/>
      <c r="T13" s="57"/>
      <c r="U13" s="57"/>
      <c r="V13" s="57"/>
      <c r="W13" s="57"/>
      <c r="X13" s="57"/>
      <c r="Y13" s="57"/>
      <c r="Z13" s="58"/>
      <c r="AA13" s="59"/>
      <c r="AB13" s="57"/>
      <c r="AC13" s="57"/>
      <c r="AD13" s="57"/>
      <c r="AE13" s="57">
        <v>1</v>
      </c>
      <c r="AF13" s="39"/>
      <c r="AG13" s="57"/>
      <c r="AH13" s="57">
        <v>1</v>
      </c>
      <c r="AI13" s="39"/>
      <c r="AJ13" s="58"/>
      <c r="AK13" s="75" t="s">
        <v>57</v>
      </c>
      <c r="AL13" s="75" t="s">
        <v>57</v>
      </c>
      <c r="AM13" s="76" t="s">
        <v>30</v>
      </c>
      <c r="AN13" s="76" t="s">
        <v>30</v>
      </c>
      <c r="AO13" s="57"/>
      <c r="AP13" s="57"/>
      <c r="AQ13" s="57"/>
      <c r="AR13" s="58"/>
      <c r="AS13" s="59"/>
      <c r="AT13" s="57"/>
      <c r="AU13" s="57"/>
      <c r="AV13" s="57"/>
      <c r="AW13" s="57"/>
      <c r="AX13" s="58"/>
      <c r="AY13" s="59"/>
      <c r="AZ13" s="57"/>
      <c r="BA13" s="57"/>
      <c r="BB13" s="57"/>
      <c r="BC13" s="57"/>
      <c r="BD13" s="57"/>
      <c r="BE13" s="57"/>
      <c r="BF13" s="57"/>
      <c r="BG13" s="57"/>
      <c r="BH13" s="57"/>
      <c r="BI13" s="57">
        <v>1</v>
      </c>
      <c r="BJ13" s="58"/>
      <c r="BK13" s="57"/>
      <c r="BL13" s="57"/>
      <c r="BM13" s="57"/>
      <c r="BN13" s="57"/>
      <c r="BO13" s="57"/>
      <c r="BP13" s="57">
        <v>2</v>
      </c>
      <c r="BQ13" s="57">
        <v>1</v>
      </c>
      <c r="BR13" s="57"/>
      <c r="BS13" s="57"/>
      <c r="BT13" s="57">
        <v>1</v>
      </c>
      <c r="BU13" s="57"/>
      <c r="BV13" s="60"/>
    </row>
    <row r="14" spans="1:74" ht="17" thickBot="1" x14ac:dyDescent="0.5">
      <c r="A14" s="74" t="s">
        <v>34</v>
      </c>
      <c r="B14" s="54" t="s">
        <v>69</v>
      </c>
      <c r="C14" s="136">
        <v>0</v>
      </c>
      <c r="D14" s="137">
        <v>1</v>
      </c>
      <c r="E14" s="137">
        <v>1</v>
      </c>
      <c r="F14" s="137">
        <v>0</v>
      </c>
      <c r="G14" s="137">
        <v>1</v>
      </c>
      <c r="H14" s="137">
        <v>0</v>
      </c>
      <c r="I14" s="137">
        <v>2</v>
      </c>
      <c r="J14" s="137">
        <v>1</v>
      </c>
      <c r="K14" s="137">
        <v>0</v>
      </c>
      <c r="L14" s="137">
        <v>3</v>
      </c>
      <c r="M14" s="137">
        <v>4</v>
      </c>
      <c r="N14" s="138">
        <v>1</v>
      </c>
      <c r="O14" s="137">
        <v>2</v>
      </c>
      <c r="P14" s="137">
        <v>1</v>
      </c>
      <c r="Q14" s="137">
        <v>0</v>
      </c>
      <c r="R14" s="137">
        <v>3</v>
      </c>
      <c r="S14" s="137">
        <v>1</v>
      </c>
      <c r="T14" s="137">
        <v>3</v>
      </c>
      <c r="U14" s="137">
        <v>0</v>
      </c>
      <c r="V14" s="137">
        <v>1</v>
      </c>
      <c r="W14" s="137">
        <v>2</v>
      </c>
      <c r="X14" s="139">
        <v>4</v>
      </c>
      <c r="Y14" s="139">
        <v>0</v>
      </c>
      <c r="Z14" s="140">
        <v>6</v>
      </c>
      <c r="AA14" s="141">
        <v>2</v>
      </c>
      <c r="AB14" s="139">
        <v>1</v>
      </c>
      <c r="AC14" s="139">
        <v>0</v>
      </c>
      <c r="AD14" s="139">
        <v>1</v>
      </c>
      <c r="AE14" s="139">
        <v>2</v>
      </c>
      <c r="AF14" s="140">
        <v>0</v>
      </c>
      <c r="AG14" s="141">
        <v>3</v>
      </c>
      <c r="AH14" s="139">
        <v>4</v>
      </c>
      <c r="AI14" s="139">
        <v>0</v>
      </c>
      <c r="AJ14" s="139">
        <v>1</v>
      </c>
      <c r="AK14" s="139">
        <v>0</v>
      </c>
      <c r="AL14" s="140">
        <v>1</v>
      </c>
      <c r="AM14" s="141">
        <v>2</v>
      </c>
      <c r="AN14" s="139">
        <v>3</v>
      </c>
      <c r="AO14" s="139">
        <v>0</v>
      </c>
      <c r="AP14" s="139">
        <v>2</v>
      </c>
      <c r="AQ14" s="139">
        <v>1</v>
      </c>
      <c r="AR14" s="140">
        <v>3</v>
      </c>
      <c r="AS14" s="141">
        <v>2</v>
      </c>
      <c r="AT14" s="139">
        <v>3</v>
      </c>
      <c r="AU14" s="139">
        <v>1</v>
      </c>
      <c r="AV14" s="139">
        <v>4</v>
      </c>
      <c r="AW14" s="139">
        <v>1</v>
      </c>
      <c r="AX14" s="140">
        <v>2</v>
      </c>
      <c r="AY14" s="156">
        <v>2</v>
      </c>
      <c r="AZ14" s="142">
        <v>0</v>
      </c>
      <c r="BA14" s="142">
        <v>3</v>
      </c>
      <c r="BB14" s="142">
        <v>2</v>
      </c>
      <c r="BC14" s="142">
        <v>0</v>
      </c>
      <c r="BD14" s="142">
        <v>0</v>
      </c>
      <c r="BE14" s="142">
        <v>1</v>
      </c>
      <c r="BF14" s="142">
        <v>0</v>
      </c>
      <c r="BG14" s="142">
        <v>1</v>
      </c>
      <c r="BH14" s="142">
        <v>0</v>
      </c>
      <c r="BI14" s="142">
        <v>2</v>
      </c>
      <c r="BJ14" s="142">
        <v>0</v>
      </c>
      <c r="BK14" s="143" t="s">
        <v>57</v>
      </c>
      <c r="BL14" s="144" t="s">
        <v>30</v>
      </c>
      <c r="BM14" s="144" t="s">
        <v>30</v>
      </c>
      <c r="BN14" s="142">
        <v>0</v>
      </c>
      <c r="BO14" s="142">
        <v>0</v>
      </c>
      <c r="BP14" s="157">
        <v>0</v>
      </c>
      <c r="BQ14" s="142">
        <v>0</v>
      </c>
      <c r="BR14" s="142">
        <v>3</v>
      </c>
      <c r="BS14" s="142">
        <v>1</v>
      </c>
      <c r="BT14" s="145">
        <v>0</v>
      </c>
      <c r="BU14" s="145">
        <v>1</v>
      </c>
      <c r="BV14" s="146">
        <v>0</v>
      </c>
    </row>
    <row r="15" spans="1:74" ht="17" thickBot="1" x14ac:dyDescent="0.5">
      <c r="A15" s="74" t="s">
        <v>34</v>
      </c>
      <c r="B15" s="161" t="s">
        <v>242</v>
      </c>
      <c r="C15" s="21"/>
      <c r="D15" s="21"/>
      <c r="E15" s="21"/>
      <c r="F15" s="21"/>
      <c r="G15" s="21"/>
      <c r="H15" s="21"/>
      <c r="I15" s="21"/>
      <c r="J15" s="21"/>
      <c r="K15" s="21"/>
      <c r="L15" s="21">
        <v>1</v>
      </c>
      <c r="M15" s="21"/>
      <c r="N15" s="22">
        <v>1</v>
      </c>
      <c r="O15" s="21"/>
      <c r="P15" s="21"/>
      <c r="Q15" s="21"/>
      <c r="R15" s="21"/>
      <c r="S15" s="21"/>
      <c r="T15" s="21"/>
      <c r="U15" s="21"/>
      <c r="V15" s="21"/>
      <c r="W15" s="21"/>
      <c r="X15" s="23"/>
      <c r="Y15" s="23"/>
      <c r="Z15" s="24"/>
      <c r="AA15" s="25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4"/>
      <c r="AM15" s="25"/>
      <c r="AN15" s="23"/>
      <c r="AO15" s="23"/>
      <c r="AP15" s="23"/>
      <c r="AQ15" s="23"/>
      <c r="AR15" s="23"/>
      <c r="AS15" s="23"/>
      <c r="AT15" s="23">
        <v>1</v>
      </c>
      <c r="AU15" s="23"/>
      <c r="AV15" s="23"/>
      <c r="AW15" s="23">
        <v>1</v>
      </c>
      <c r="AX15" s="24"/>
      <c r="AY15" s="29"/>
      <c r="AZ15" s="21"/>
      <c r="BA15" s="21"/>
      <c r="BB15" s="21"/>
      <c r="BC15" s="21"/>
      <c r="BD15" s="21"/>
      <c r="BE15" s="21"/>
      <c r="BF15" s="21"/>
      <c r="BG15" s="21"/>
      <c r="BH15" s="21"/>
      <c r="BI15" s="21"/>
      <c r="BJ15" s="21"/>
      <c r="BK15" s="75" t="s">
        <v>57</v>
      </c>
      <c r="BL15" s="76" t="s">
        <v>30</v>
      </c>
      <c r="BM15" s="76" t="s">
        <v>30</v>
      </c>
      <c r="BN15" s="21"/>
      <c r="BO15" s="21"/>
      <c r="BP15" s="22"/>
      <c r="BQ15" s="21"/>
      <c r="BR15" s="21">
        <v>3</v>
      </c>
      <c r="BS15" s="21">
        <v>1</v>
      </c>
      <c r="BT15" s="23"/>
      <c r="BU15" s="23"/>
      <c r="BV15" s="32"/>
    </row>
    <row r="16" spans="1:74" ht="17" thickBot="1" x14ac:dyDescent="0.5">
      <c r="A16" s="74" t="s">
        <v>34</v>
      </c>
      <c r="B16" s="37" t="s">
        <v>243</v>
      </c>
      <c r="C16" s="21"/>
      <c r="D16" s="21">
        <v>1</v>
      </c>
      <c r="E16" s="21">
        <v>1</v>
      </c>
      <c r="F16" s="21"/>
      <c r="G16" s="21">
        <v>1</v>
      </c>
      <c r="H16" s="21"/>
      <c r="I16" s="21">
        <v>2</v>
      </c>
      <c r="J16" s="21">
        <v>1</v>
      </c>
      <c r="K16" s="21"/>
      <c r="L16" s="21">
        <v>1</v>
      </c>
      <c r="M16" s="21">
        <v>4</v>
      </c>
      <c r="N16" s="22"/>
      <c r="O16" s="21">
        <v>2</v>
      </c>
      <c r="P16" s="21"/>
      <c r="Q16" s="21"/>
      <c r="R16" s="21">
        <v>2</v>
      </c>
      <c r="S16" s="21">
        <v>1</v>
      </c>
      <c r="T16" s="21">
        <v>2</v>
      </c>
      <c r="U16" s="21"/>
      <c r="V16" s="21">
        <v>1</v>
      </c>
      <c r="W16" s="21">
        <v>2</v>
      </c>
      <c r="X16" s="23">
        <v>3</v>
      </c>
      <c r="Y16" s="23"/>
      <c r="Z16" s="24">
        <v>4</v>
      </c>
      <c r="AA16" s="25">
        <v>1</v>
      </c>
      <c r="AB16" s="23">
        <v>1</v>
      </c>
      <c r="AC16" s="23"/>
      <c r="AD16" s="23">
        <v>1</v>
      </c>
      <c r="AE16" s="23">
        <v>2</v>
      </c>
      <c r="AF16" s="23"/>
      <c r="AG16" s="23">
        <v>3</v>
      </c>
      <c r="AH16" s="23">
        <v>2</v>
      </c>
      <c r="AI16" s="23"/>
      <c r="AJ16" s="23">
        <v>1</v>
      </c>
      <c r="AK16" s="23"/>
      <c r="AL16" s="24">
        <v>1</v>
      </c>
      <c r="AM16" s="25"/>
      <c r="AN16" s="23">
        <v>3</v>
      </c>
      <c r="AO16" s="23"/>
      <c r="AP16" s="23">
        <v>2</v>
      </c>
      <c r="AQ16" s="23">
        <v>1</v>
      </c>
      <c r="AR16" s="23">
        <v>3</v>
      </c>
      <c r="AS16" s="23">
        <v>2</v>
      </c>
      <c r="AT16" s="23">
        <v>2</v>
      </c>
      <c r="AU16" s="23">
        <v>1</v>
      </c>
      <c r="AV16" s="23">
        <v>3</v>
      </c>
      <c r="AW16" s="23"/>
      <c r="AX16" s="24">
        <v>2</v>
      </c>
      <c r="AY16" s="29">
        <v>2</v>
      </c>
      <c r="AZ16" s="21"/>
      <c r="BA16" s="21">
        <v>3</v>
      </c>
      <c r="BB16" s="21">
        <v>2</v>
      </c>
      <c r="BC16" s="21"/>
      <c r="BD16" s="21"/>
      <c r="BE16" s="21">
        <v>1</v>
      </c>
      <c r="BF16" s="21"/>
      <c r="BG16" s="21">
        <v>1</v>
      </c>
      <c r="BH16" s="21"/>
      <c r="BI16" s="21">
        <v>2</v>
      </c>
      <c r="BJ16" s="21"/>
      <c r="BK16" s="75" t="s">
        <v>57</v>
      </c>
      <c r="BL16" s="76" t="s">
        <v>30</v>
      </c>
      <c r="BM16" s="76" t="s">
        <v>30</v>
      </c>
      <c r="BN16" s="21"/>
      <c r="BO16" s="21"/>
      <c r="BP16" s="22"/>
      <c r="BQ16" s="21"/>
      <c r="BR16" s="21"/>
      <c r="BS16" s="21"/>
      <c r="BT16" s="23"/>
      <c r="BU16" s="23"/>
      <c r="BV16" s="32"/>
    </row>
    <row r="17" spans="1:74" ht="17" thickBot="1" x14ac:dyDescent="0.35">
      <c r="A17" s="74" t="s">
        <v>34</v>
      </c>
      <c r="B17" s="37" t="s">
        <v>244</v>
      </c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7"/>
      <c r="O17" s="26"/>
      <c r="P17" s="26"/>
      <c r="Q17" s="26"/>
      <c r="R17" s="26">
        <v>1</v>
      </c>
      <c r="S17" s="26"/>
      <c r="T17" s="26"/>
      <c r="U17" s="26"/>
      <c r="V17" s="26"/>
      <c r="W17" s="26"/>
      <c r="X17" s="26">
        <v>1</v>
      </c>
      <c r="Y17" s="26"/>
      <c r="Z17" s="27">
        <v>1</v>
      </c>
      <c r="AA17" s="28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7"/>
      <c r="AM17" s="28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7"/>
      <c r="AY17" s="28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75" t="s">
        <v>57</v>
      </c>
      <c r="BL17" s="76" t="s">
        <v>30</v>
      </c>
      <c r="BM17" s="76" t="s">
        <v>30</v>
      </c>
      <c r="BN17" s="26"/>
      <c r="BO17" s="26"/>
      <c r="BP17" s="27"/>
      <c r="BQ17" s="26"/>
      <c r="BR17" s="26"/>
      <c r="BS17" s="26"/>
      <c r="BT17" s="26"/>
      <c r="BU17" s="26"/>
      <c r="BV17" s="34"/>
    </row>
    <row r="18" spans="1:74" ht="17" thickBot="1" x14ac:dyDescent="0.35">
      <c r="A18" s="74" t="s">
        <v>34</v>
      </c>
      <c r="B18" s="37" t="s">
        <v>63</v>
      </c>
      <c r="C18" s="26"/>
      <c r="D18" s="26"/>
      <c r="E18" s="26"/>
      <c r="F18" s="26"/>
      <c r="G18" s="26"/>
      <c r="H18" s="26"/>
      <c r="I18" s="26"/>
      <c r="J18" s="26"/>
      <c r="K18" s="26"/>
      <c r="L18" s="26">
        <v>1</v>
      </c>
      <c r="M18" s="26"/>
      <c r="N18" s="27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7"/>
      <c r="AA18" s="28"/>
      <c r="AB18" s="26"/>
      <c r="AC18" s="26"/>
      <c r="AD18" s="26"/>
      <c r="AE18" s="26"/>
      <c r="AF18" s="26"/>
      <c r="AG18" s="26"/>
      <c r="AH18" s="26">
        <v>1</v>
      </c>
      <c r="AI18" s="26"/>
      <c r="AJ18" s="26"/>
      <c r="AK18" s="26"/>
      <c r="AL18" s="27"/>
      <c r="AM18" s="28">
        <v>2</v>
      </c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7"/>
      <c r="AY18" s="28"/>
      <c r="AZ18" s="26"/>
      <c r="BA18" s="26"/>
      <c r="BB18" s="26"/>
      <c r="BC18" s="26"/>
      <c r="BD18" s="26"/>
      <c r="BE18" s="26"/>
      <c r="BF18" s="26"/>
      <c r="BG18" s="26"/>
      <c r="BH18" s="26"/>
      <c r="BI18" s="26"/>
      <c r="BJ18" s="26"/>
      <c r="BK18" s="75" t="s">
        <v>57</v>
      </c>
      <c r="BL18" s="76" t="s">
        <v>30</v>
      </c>
      <c r="BM18" s="76" t="s">
        <v>30</v>
      </c>
      <c r="BN18" s="26"/>
      <c r="BO18" s="26"/>
      <c r="BP18" s="27"/>
      <c r="BQ18" s="26"/>
      <c r="BR18" s="26"/>
      <c r="BS18" s="26"/>
      <c r="BT18" s="26"/>
      <c r="BU18" s="26"/>
      <c r="BV18" s="34"/>
    </row>
    <row r="19" spans="1:74" ht="17" thickBot="1" x14ac:dyDescent="0.35">
      <c r="A19" s="86" t="s">
        <v>34</v>
      </c>
      <c r="B19" s="37" t="s">
        <v>42</v>
      </c>
      <c r="C19" s="39"/>
      <c r="D19" s="39"/>
      <c r="E19" s="39"/>
      <c r="F19" s="39"/>
      <c r="G19" s="39"/>
      <c r="H19" s="39"/>
      <c r="I19" s="39"/>
      <c r="J19" s="39"/>
      <c r="K19" s="39"/>
      <c r="L19" s="39"/>
      <c r="M19" s="39"/>
      <c r="N19" s="40"/>
      <c r="O19" s="39"/>
      <c r="P19" s="39">
        <v>1</v>
      </c>
      <c r="Q19" s="39"/>
      <c r="R19" s="39"/>
      <c r="S19" s="39"/>
      <c r="T19" s="39">
        <v>1</v>
      </c>
      <c r="U19" s="39"/>
      <c r="V19" s="39"/>
      <c r="W19" s="39"/>
      <c r="X19" s="39"/>
      <c r="Y19" s="39"/>
      <c r="Z19" s="40">
        <v>1</v>
      </c>
      <c r="AA19" s="38">
        <v>1</v>
      </c>
      <c r="AB19" s="39"/>
      <c r="AC19" s="39"/>
      <c r="AD19" s="39"/>
      <c r="AE19" s="39"/>
      <c r="AF19" s="39"/>
      <c r="AG19" s="39"/>
      <c r="AH19" s="39">
        <v>1</v>
      </c>
      <c r="AI19" s="39"/>
      <c r="AJ19" s="39"/>
      <c r="AK19" s="39"/>
      <c r="AL19" s="40"/>
      <c r="AM19" s="38"/>
      <c r="AN19" s="39"/>
      <c r="AO19" s="39"/>
      <c r="AP19" s="39"/>
      <c r="AQ19" s="39"/>
      <c r="AR19" s="39"/>
      <c r="AS19" s="39"/>
      <c r="AT19" s="39"/>
      <c r="AU19" s="39"/>
      <c r="AV19" s="39">
        <v>1</v>
      </c>
      <c r="AW19" s="39"/>
      <c r="AX19" s="40"/>
      <c r="AY19" s="38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158" t="s">
        <v>57</v>
      </c>
      <c r="BL19" s="159" t="s">
        <v>30</v>
      </c>
      <c r="BM19" s="159" t="s">
        <v>30</v>
      </c>
      <c r="BN19" s="39"/>
      <c r="BO19" s="39"/>
      <c r="BP19" s="40"/>
      <c r="BQ19" s="39"/>
      <c r="BR19" s="39"/>
      <c r="BS19" s="39"/>
      <c r="BT19" s="39"/>
      <c r="BU19" s="39">
        <v>1</v>
      </c>
      <c r="BV19" s="41"/>
    </row>
    <row r="20" spans="1:74" ht="17" thickBot="1" x14ac:dyDescent="0.5">
      <c r="A20" s="147" t="s">
        <v>35</v>
      </c>
      <c r="B20" s="148" t="s">
        <v>69</v>
      </c>
      <c r="C20" s="149">
        <v>1</v>
      </c>
      <c r="D20" s="150">
        <v>0</v>
      </c>
      <c r="E20" s="150">
        <v>0</v>
      </c>
      <c r="F20" s="150">
        <v>0</v>
      </c>
      <c r="G20" s="150">
        <v>2</v>
      </c>
      <c r="H20" s="150">
        <v>0</v>
      </c>
      <c r="I20" s="150">
        <v>0</v>
      </c>
      <c r="J20" s="150">
        <v>1</v>
      </c>
      <c r="K20" s="150">
        <v>0</v>
      </c>
      <c r="L20" s="150">
        <v>1</v>
      </c>
      <c r="M20" s="150">
        <v>0</v>
      </c>
      <c r="N20" s="151">
        <v>0</v>
      </c>
      <c r="O20" s="150">
        <v>0</v>
      </c>
      <c r="P20" s="150">
        <v>0</v>
      </c>
      <c r="Q20" s="150">
        <v>0</v>
      </c>
      <c r="R20" s="150">
        <v>1</v>
      </c>
      <c r="S20" s="150">
        <v>0</v>
      </c>
      <c r="T20" s="150">
        <v>0</v>
      </c>
      <c r="U20" s="150">
        <v>1</v>
      </c>
      <c r="V20" s="150">
        <v>1</v>
      </c>
      <c r="W20" s="150">
        <v>0</v>
      </c>
      <c r="X20" s="152">
        <v>0</v>
      </c>
      <c r="Y20" s="152">
        <v>0</v>
      </c>
      <c r="Z20" s="153">
        <v>0</v>
      </c>
      <c r="AA20" s="154">
        <v>0</v>
      </c>
      <c r="AB20" s="152">
        <v>0</v>
      </c>
      <c r="AC20" s="152">
        <v>0</v>
      </c>
      <c r="AD20" s="152">
        <v>0</v>
      </c>
      <c r="AE20" s="152">
        <v>1</v>
      </c>
      <c r="AF20" s="153">
        <v>0</v>
      </c>
      <c r="AG20" s="154">
        <v>1</v>
      </c>
      <c r="AH20" s="152">
        <v>0</v>
      </c>
      <c r="AI20" s="152">
        <v>0</v>
      </c>
      <c r="AJ20" s="152">
        <v>0</v>
      </c>
      <c r="AK20" s="152">
        <v>0</v>
      </c>
      <c r="AL20" s="153">
        <v>0</v>
      </c>
      <c r="AM20" s="154">
        <v>1</v>
      </c>
      <c r="AN20" s="152">
        <v>0</v>
      </c>
      <c r="AO20" s="152">
        <v>0</v>
      </c>
      <c r="AP20" s="152">
        <v>0</v>
      </c>
      <c r="AQ20" s="152">
        <v>0</v>
      </c>
      <c r="AR20" s="153">
        <v>0</v>
      </c>
      <c r="AS20" s="154">
        <v>0</v>
      </c>
      <c r="AT20" s="152">
        <v>0</v>
      </c>
      <c r="AU20" s="152">
        <v>0</v>
      </c>
      <c r="AV20" s="152">
        <v>0</v>
      </c>
      <c r="AW20" s="152">
        <v>0</v>
      </c>
      <c r="AX20" s="153">
        <v>0</v>
      </c>
      <c r="AY20" s="153">
        <v>0</v>
      </c>
      <c r="AZ20" s="75" t="s">
        <v>57</v>
      </c>
      <c r="BA20" s="76" t="s">
        <v>30</v>
      </c>
      <c r="BB20" s="76" t="s">
        <v>30</v>
      </c>
      <c r="BC20" s="9">
        <v>0</v>
      </c>
      <c r="BD20" s="9">
        <v>0</v>
      </c>
      <c r="BE20" s="9">
        <v>0</v>
      </c>
      <c r="BF20" s="9">
        <v>0</v>
      </c>
      <c r="BG20" s="9">
        <v>0</v>
      </c>
      <c r="BH20" s="9">
        <v>0</v>
      </c>
      <c r="BI20" s="9">
        <v>1</v>
      </c>
      <c r="BJ20" s="155">
        <v>0</v>
      </c>
      <c r="BK20" s="9">
        <v>0</v>
      </c>
      <c r="BL20" s="9">
        <v>0</v>
      </c>
      <c r="BM20" s="9">
        <v>0</v>
      </c>
      <c r="BN20" s="10">
        <v>0</v>
      </c>
      <c r="BO20" s="10">
        <v>0</v>
      </c>
      <c r="BP20" s="10">
        <v>1</v>
      </c>
      <c r="BQ20" s="9">
        <v>0</v>
      </c>
      <c r="BR20" s="9">
        <v>0</v>
      </c>
      <c r="BS20" s="9">
        <v>1</v>
      </c>
      <c r="BT20" s="10">
        <v>0</v>
      </c>
      <c r="BU20" s="10">
        <v>0</v>
      </c>
      <c r="BV20" s="36">
        <v>1</v>
      </c>
    </row>
    <row r="21" spans="1:74" ht="17" thickBot="1" x14ac:dyDescent="0.5">
      <c r="A21" s="74" t="s">
        <v>35</v>
      </c>
      <c r="B21" s="161" t="s">
        <v>242</v>
      </c>
      <c r="C21" s="21"/>
      <c r="D21" s="21"/>
      <c r="E21" s="21"/>
      <c r="F21" s="21"/>
      <c r="G21" s="21">
        <v>1</v>
      </c>
      <c r="H21" s="21"/>
      <c r="I21" s="21"/>
      <c r="J21" s="21">
        <v>1</v>
      </c>
      <c r="K21" s="21"/>
      <c r="L21" s="21"/>
      <c r="M21" s="21"/>
      <c r="N21" s="22"/>
      <c r="O21" s="21"/>
      <c r="P21" s="21"/>
      <c r="Q21" s="21"/>
      <c r="R21" s="21"/>
      <c r="S21" s="21"/>
      <c r="T21" s="21"/>
      <c r="U21" s="21">
        <v>1</v>
      </c>
      <c r="V21" s="21"/>
      <c r="W21" s="21"/>
      <c r="X21" s="23"/>
      <c r="Y21" s="23"/>
      <c r="Z21" s="24"/>
      <c r="AA21" s="25"/>
      <c r="AB21" s="23"/>
      <c r="AC21" s="23"/>
      <c r="AD21" s="23"/>
      <c r="AE21" s="23"/>
      <c r="AF21" s="23"/>
      <c r="AG21" s="23"/>
      <c r="AH21" s="23"/>
      <c r="AI21" s="23"/>
      <c r="AJ21" s="23"/>
      <c r="AK21" s="23"/>
      <c r="AL21" s="24"/>
      <c r="AM21" s="25"/>
      <c r="AN21" s="23"/>
      <c r="AO21" s="23"/>
      <c r="AP21" s="23"/>
      <c r="AQ21" s="23"/>
      <c r="AR21" s="23"/>
      <c r="AS21" s="23"/>
      <c r="AT21" s="23"/>
      <c r="AU21" s="23"/>
      <c r="AV21" s="23"/>
      <c r="AW21" s="23"/>
      <c r="AX21" s="24"/>
      <c r="AY21" s="24"/>
      <c r="AZ21" s="75" t="s">
        <v>57</v>
      </c>
      <c r="BA21" s="76" t="s">
        <v>30</v>
      </c>
      <c r="BB21" s="76" t="s">
        <v>30</v>
      </c>
      <c r="BC21" s="21"/>
      <c r="BD21" s="21"/>
      <c r="BE21" s="21"/>
      <c r="BF21" s="21"/>
      <c r="BG21" s="21"/>
      <c r="BH21" s="21"/>
      <c r="BI21" s="21"/>
      <c r="BJ21" s="22"/>
      <c r="BK21" s="21"/>
      <c r="BL21" s="21"/>
      <c r="BM21" s="21"/>
      <c r="BN21" s="23"/>
      <c r="BO21" s="23"/>
      <c r="BP21" s="23"/>
      <c r="BQ21" s="21"/>
      <c r="BR21" s="21"/>
      <c r="BS21" s="21">
        <v>1</v>
      </c>
      <c r="BT21" s="23"/>
      <c r="BU21" s="23"/>
      <c r="BV21" s="32"/>
    </row>
    <row r="22" spans="1:74" ht="17" thickBot="1" x14ac:dyDescent="0.5">
      <c r="A22" s="74" t="s">
        <v>35</v>
      </c>
      <c r="B22" s="37" t="s">
        <v>243</v>
      </c>
      <c r="C22" s="21">
        <v>1</v>
      </c>
      <c r="D22" s="21"/>
      <c r="E22" s="21"/>
      <c r="F22" s="21"/>
      <c r="G22" s="21"/>
      <c r="H22" s="21"/>
      <c r="I22" s="21"/>
      <c r="J22" s="21"/>
      <c r="K22" s="21"/>
      <c r="L22" s="21">
        <v>1</v>
      </c>
      <c r="M22" s="21"/>
      <c r="N22" s="22"/>
      <c r="O22" s="21"/>
      <c r="P22" s="21"/>
      <c r="Q22" s="21"/>
      <c r="R22" s="21">
        <v>1</v>
      </c>
      <c r="S22" s="21"/>
      <c r="T22" s="21"/>
      <c r="U22" s="21"/>
      <c r="V22" s="21">
        <v>1</v>
      </c>
      <c r="W22" s="21"/>
      <c r="X22" s="23"/>
      <c r="Y22" s="23"/>
      <c r="Z22" s="24"/>
      <c r="AA22" s="25"/>
      <c r="AB22" s="23"/>
      <c r="AC22" s="23"/>
      <c r="AD22" s="23"/>
      <c r="AE22" s="23">
        <v>1</v>
      </c>
      <c r="AF22" s="23"/>
      <c r="AG22" s="23"/>
      <c r="AH22" s="23"/>
      <c r="AI22" s="23"/>
      <c r="AJ22" s="23"/>
      <c r="AK22" s="23"/>
      <c r="AL22" s="24"/>
      <c r="AM22" s="25">
        <v>1</v>
      </c>
      <c r="AN22" s="23"/>
      <c r="AO22" s="23"/>
      <c r="AP22" s="23"/>
      <c r="AQ22" s="23"/>
      <c r="AR22" s="23"/>
      <c r="AS22" s="23"/>
      <c r="AT22" s="23"/>
      <c r="AU22" s="23"/>
      <c r="AV22" s="23"/>
      <c r="AW22" s="23"/>
      <c r="AX22" s="24"/>
      <c r="AY22" s="24"/>
      <c r="AZ22" s="75" t="s">
        <v>57</v>
      </c>
      <c r="BA22" s="76" t="s">
        <v>30</v>
      </c>
      <c r="BB22" s="76" t="s">
        <v>30</v>
      </c>
      <c r="BC22" s="21"/>
      <c r="BD22" s="21"/>
      <c r="BE22" s="21"/>
      <c r="BF22" s="21"/>
      <c r="BG22" s="21"/>
      <c r="BH22" s="21"/>
      <c r="BI22" s="21">
        <v>1</v>
      </c>
      <c r="BJ22" s="22"/>
      <c r="BK22" s="21"/>
      <c r="BL22" s="21"/>
      <c r="BM22" s="21"/>
      <c r="BN22" s="23"/>
      <c r="BO22" s="23"/>
      <c r="BP22" s="23">
        <v>1</v>
      </c>
      <c r="BQ22" s="21"/>
      <c r="BR22" s="21"/>
      <c r="BS22" s="21"/>
      <c r="BT22" s="23"/>
      <c r="BU22" s="23"/>
      <c r="BV22" s="32"/>
    </row>
    <row r="23" spans="1:74" ht="17" thickBot="1" x14ac:dyDescent="0.35">
      <c r="A23" s="74" t="s">
        <v>35</v>
      </c>
      <c r="B23" s="37" t="s">
        <v>244</v>
      </c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7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7"/>
      <c r="AA23" s="28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7"/>
      <c r="AM23" s="28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7"/>
      <c r="AY23" s="27"/>
      <c r="AZ23" s="75" t="s">
        <v>57</v>
      </c>
      <c r="BA23" s="76" t="s">
        <v>30</v>
      </c>
      <c r="BB23" s="76" t="s">
        <v>30</v>
      </c>
      <c r="BC23" s="26"/>
      <c r="BD23" s="26"/>
      <c r="BE23" s="26"/>
      <c r="BF23" s="26"/>
      <c r="BG23" s="26"/>
      <c r="BH23" s="26"/>
      <c r="BI23" s="26"/>
      <c r="BJ23" s="27"/>
      <c r="BK23" s="26"/>
      <c r="BL23" s="26"/>
      <c r="BM23" s="26"/>
      <c r="BN23" s="26"/>
      <c r="BO23" s="26"/>
      <c r="BP23" s="26"/>
      <c r="BQ23" s="26"/>
      <c r="BR23" s="26"/>
      <c r="BS23" s="26"/>
      <c r="BT23" s="26"/>
      <c r="BU23" s="26"/>
      <c r="BV23" s="34"/>
    </row>
    <row r="24" spans="1:74" ht="17" thickBot="1" x14ac:dyDescent="0.35">
      <c r="A24" s="74" t="s">
        <v>35</v>
      </c>
      <c r="B24" s="37" t="s">
        <v>63</v>
      </c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7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7"/>
      <c r="AA24" s="28"/>
      <c r="AB24" s="26"/>
      <c r="AC24" s="26"/>
      <c r="AD24" s="26"/>
      <c r="AE24" s="26"/>
      <c r="AF24" s="26"/>
      <c r="AG24" s="26">
        <v>1</v>
      </c>
      <c r="AH24" s="26"/>
      <c r="AI24" s="26"/>
      <c r="AJ24" s="26"/>
      <c r="AK24" s="26"/>
      <c r="AL24" s="27"/>
      <c r="AM24" s="28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7"/>
      <c r="AY24" s="27"/>
      <c r="AZ24" s="75" t="s">
        <v>57</v>
      </c>
      <c r="BA24" s="76" t="s">
        <v>30</v>
      </c>
      <c r="BB24" s="76" t="s">
        <v>30</v>
      </c>
      <c r="BC24" s="26"/>
      <c r="BD24" s="26"/>
      <c r="BE24" s="26"/>
      <c r="BF24" s="26"/>
      <c r="BG24" s="26"/>
      <c r="BH24" s="26"/>
      <c r="BI24" s="26"/>
      <c r="BJ24" s="27"/>
      <c r="BK24" s="26"/>
      <c r="BL24" s="26"/>
      <c r="BM24" s="26"/>
      <c r="BN24" s="26"/>
      <c r="BO24" s="26"/>
      <c r="BP24" s="26"/>
      <c r="BQ24" s="26"/>
      <c r="BR24" s="26"/>
      <c r="BS24" s="26"/>
      <c r="BT24" s="26"/>
      <c r="BU24" s="26"/>
      <c r="BV24" s="34"/>
    </row>
    <row r="25" spans="1:74" ht="17" thickBot="1" x14ac:dyDescent="0.35">
      <c r="A25" s="74" t="s">
        <v>35</v>
      </c>
      <c r="B25" s="161" t="s">
        <v>42</v>
      </c>
      <c r="C25" s="57"/>
      <c r="D25" s="57"/>
      <c r="E25" s="57"/>
      <c r="F25" s="57"/>
      <c r="G25" s="57">
        <v>1</v>
      </c>
      <c r="H25" s="57"/>
      <c r="I25" s="57"/>
      <c r="J25" s="57"/>
      <c r="K25" s="57"/>
      <c r="L25" s="57"/>
      <c r="M25" s="57"/>
      <c r="N25" s="58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8"/>
      <c r="AA25" s="59"/>
      <c r="AB25" s="57"/>
      <c r="AC25" s="57"/>
      <c r="AD25" s="57"/>
      <c r="AE25" s="57"/>
      <c r="AF25" s="57"/>
      <c r="AG25" s="57"/>
      <c r="AH25" s="57"/>
      <c r="AI25" s="57"/>
      <c r="AJ25" s="57"/>
      <c r="AK25" s="57"/>
      <c r="AL25" s="58"/>
      <c r="AM25" s="59"/>
      <c r="AN25" s="57"/>
      <c r="AO25" s="57"/>
      <c r="AP25" s="57"/>
      <c r="AQ25" s="57"/>
      <c r="AR25" s="57"/>
      <c r="AS25" s="57"/>
      <c r="AT25" s="57"/>
      <c r="AU25" s="57"/>
      <c r="AV25" s="57"/>
      <c r="AW25" s="57"/>
      <c r="AX25" s="58"/>
      <c r="AY25" s="58"/>
      <c r="AZ25" s="75" t="s">
        <v>57</v>
      </c>
      <c r="BA25" s="76" t="s">
        <v>30</v>
      </c>
      <c r="BB25" s="76" t="s">
        <v>30</v>
      </c>
      <c r="BC25" s="57"/>
      <c r="BD25" s="57"/>
      <c r="BE25" s="57"/>
      <c r="BF25" s="57"/>
      <c r="BG25" s="57"/>
      <c r="BH25" s="57"/>
      <c r="BI25" s="57"/>
      <c r="BJ25" s="58"/>
      <c r="BK25" s="57"/>
      <c r="BL25" s="57"/>
      <c r="BM25" s="57"/>
      <c r="BN25" s="57"/>
      <c r="BO25" s="57"/>
      <c r="BP25" s="57"/>
      <c r="BQ25" s="57"/>
      <c r="BR25" s="57"/>
      <c r="BS25" s="57"/>
      <c r="BT25" s="57"/>
      <c r="BU25" s="57"/>
      <c r="BV25" s="60">
        <v>1</v>
      </c>
    </row>
    <row r="26" spans="1:74" ht="17" thickBot="1" x14ac:dyDescent="0.5">
      <c r="A26" s="74" t="s">
        <v>31</v>
      </c>
      <c r="B26" s="54" t="s">
        <v>69</v>
      </c>
      <c r="C26" s="136">
        <v>2</v>
      </c>
      <c r="D26" s="137">
        <v>0</v>
      </c>
      <c r="E26" s="137">
        <v>0</v>
      </c>
      <c r="F26" s="137">
        <v>0</v>
      </c>
      <c r="G26" s="137">
        <v>0</v>
      </c>
      <c r="H26" s="137">
        <v>1</v>
      </c>
      <c r="I26" s="137">
        <v>0</v>
      </c>
      <c r="J26" s="137">
        <v>1</v>
      </c>
      <c r="K26" s="137">
        <v>0</v>
      </c>
      <c r="L26" s="137">
        <v>1</v>
      </c>
      <c r="M26" s="137">
        <v>0</v>
      </c>
      <c r="N26" s="138">
        <v>0</v>
      </c>
      <c r="O26" s="137">
        <v>0</v>
      </c>
      <c r="P26" s="137">
        <v>0</v>
      </c>
      <c r="Q26" s="137">
        <v>0</v>
      </c>
      <c r="R26" s="137">
        <v>1</v>
      </c>
      <c r="S26" s="137">
        <v>0</v>
      </c>
      <c r="T26" s="137">
        <v>0</v>
      </c>
      <c r="U26" s="137">
        <v>0</v>
      </c>
      <c r="V26" s="137">
        <v>1</v>
      </c>
      <c r="W26" s="137">
        <v>0</v>
      </c>
      <c r="X26" s="139">
        <v>1</v>
      </c>
      <c r="Y26" s="139">
        <v>1</v>
      </c>
      <c r="Z26" s="140">
        <v>0</v>
      </c>
      <c r="AA26" s="141">
        <v>0</v>
      </c>
      <c r="AB26" s="139">
        <v>0</v>
      </c>
      <c r="AC26" s="139">
        <v>0</v>
      </c>
      <c r="AD26" s="139">
        <v>0</v>
      </c>
      <c r="AE26" s="139">
        <v>0</v>
      </c>
      <c r="AF26" s="140">
        <v>0</v>
      </c>
      <c r="AG26" s="141">
        <v>1</v>
      </c>
      <c r="AH26" s="139">
        <v>0</v>
      </c>
      <c r="AI26" s="139">
        <v>0</v>
      </c>
      <c r="AJ26" s="139">
        <v>1</v>
      </c>
      <c r="AK26" s="139">
        <v>0</v>
      </c>
      <c r="AL26" s="140">
        <v>0</v>
      </c>
      <c r="AM26" s="141">
        <v>1</v>
      </c>
      <c r="AN26" s="139">
        <v>1</v>
      </c>
      <c r="AO26" s="139">
        <v>0</v>
      </c>
      <c r="AP26" s="139">
        <v>1</v>
      </c>
      <c r="AQ26" s="139">
        <v>0</v>
      </c>
      <c r="AR26" s="140">
        <v>1</v>
      </c>
      <c r="AS26" s="141">
        <v>0</v>
      </c>
      <c r="AT26" s="139">
        <v>0</v>
      </c>
      <c r="AU26" s="139">
        <v>1</v>
      </c>
      <c r="AV26" s="139">
        <v>1</v>
      </c>
      <c r="AW26" s="139">
        <v>1</v>
      </c>
      <c r="AX26" s="140">
        <v>1</v>
      </c>
      <c r="AY26" s="141">
        <v>1</v>
      </c>
      <c r="AZ26" s="139">
        <v>0</v>
      </c>
      <c r="BA26" s="139">
        <v>0</v>
      </c>
      <c r="BB26" s="139">
        <v>1</v>
      </c>
      <c r="BC26" s="139">
        <v>0</v>
      </c>
      <c r="BD26" s="139">
        <v>0</v>
      </c>
      <c r="BE26" s="142">
        <v>0</v>
      </c>
      <c r="BF26" s="142">
        <v>0</v>
      </c>
      <c r="BG26" s="142">
        <v>0</v>
      </c>
      <c r="BH26" s="143" t="s">
        <v>57</v>
      </c>
      <c r="BI26" s="143" t="s">
        <v>57</v>
      </c>
      <c r="BJ26" s="144" t="s">
        <v>30</v>
      </c>
      <c r="BK26" s="144" t="s">
        <v>30</v>
      </c>
      <c r="BL26" s="142">
        <v>0</v>
      </c>
      <c r="BM26" s="142">
        <v>0</v>
      </c>
      <c r="BN26" s="145">
        <v>1</v>
      </c>
      <c r="BO26" s="145">
        <v>0</v>
      </c>
      <c r="BP26" s="140">
        <v>0</v>
      </c>
      <c r="BQ26" s="142">
        <v>0</v>
      </c>
      <c r="BR26" s="142">
        <v>1</v>
      </c>
      <c r="BS26" s="142">
        <v>1</v>
      </c>
      <c r="BT26" s="145">
        <v>0</v>
      </c>
      <c r="BU26" s="145">
        <v>0</v>
      </c>
      <c r="BV26" s="146">
        <v>0</v>
      </c>
    </row>
    <row r="27" spans="1:74" ht="17" thickBot="1" x14ac:dyDescent="0.5">
      <c r="A27" s="74" t="s">
        <v>31</v>
      </c>
      <c r="B27" s="161" t="s">
        <v>242</v>
      </c>
      <c r="C27" s="31">
        <v>1</v>
      </c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2"/>
      <c r="O27" s="21"/>
      <c r="P27" s="21"/>
      <c r="Q27" s="21"/>
      <c r="R27" s="21"/>
      <c r="S27" s="21"/>
      <c r="T27" s="21"/>
      <c r="U27" s="21"/>
      <c r="V27" s="21"/>
      <c r="W27" s="21"/>
      <c r="X27" s="23"/>
      <c r="Y27" s="23"/>
      <c r="Z27" s="24"/>
      <c r="AA27" s="25"/>
      <c r="AB27" s="23"/>
      <c r="AC27" s="23"/>
      <c r="AD27" s="23"/>
      <c r="AE27" s="23"/>
      <c r="AF27" s="23"/>
      <c r="AG27" s="23">
        <v>1</v>
      </c>
      <c r="AH27" s="23"/>
      <c r="AI27" s="23"/>
      <c r="AJ27" s="23"/>
      <c r="AK27" s="23"/>
      <c r="AL27" s="24"/>
      <c r="AM27" s="25">
        <v>1</v>
      </c>
      <c r="AN27" s="23"/>
      <c r="AO27" s="23"/>
      <c r="AP27" s="23"/>
      <c r="AQ27" s="23"/>
      <c r="AR27" s="23"/>
      <c r="AS27" s="23"/>
      <c r="AT27" s="23"/>
      <c r="AU27" s="23"/>
      <c r="AV27" s="23"/>
      <c r="AW27" s="23"/>
      <c r="AX27" s="24"/>
      <c r="AY27" s="25"/>
      <c r="AZ27" s="23"/>
      <c r="BA27" s="23"/>
      <c r="BB27" s="23"/>
      <c r="BC27" s="23"/>
      <c r="BD27" s="23"/>
      <c r="BE27" s="21"/>
      <c r="BF27" s="21"/>
      <c r="BG27" s="21"/>
      <c r="BH27" s="75" t="s">
        <v>57</v>
      </c>
      <c r="BI27" s="75" t="s">
        <v>57</v>
      </c>
      <c r="BJ27" s="76" t="s">
        <v>30</v>
      </c>
      <c r="BK27" s="76" t="s">
        <v>30</v>
      </c>
      <c r="BL27" s="21"/>
      <c r="BM27" s="21"/>
      <c r="BN27" s="23"/>
      <c r="BO27" s="23"/>
      <c r="BP27" s="24"/>
      <c r="BQ27" s="21"/>
      <c r="BR27" s="21"/>
      <c r="BS27" s="21"/>
      <c r="BT27" s="23"/>
      <c r="BU27" s="23"/>
      <c r="BV27" s="32"/>
    </row>
    <row r="28" spans="1:74" ht="17" thickBot="1" x14ac:dyDescent="0.5">
      <c r="A28" s="74" t="s">
        <v>31</v>
      </c>
      <c r="B28" s="37" t="s">
        <v>243</v>
      </c>
      <c r="C28" s="31">
        <v>1</v>
      </c>
      <c r="D28" s="21"/>
      <c r="E28" s="21"/>
      <c r="F28" s="21"/>
      <c r="G28" s="21"/>
      <c r="H28" s="21">
        <v>1</v>
      </c>
      <c r="I28" s="21"/>
      <c r="J28" s="21"/>
      <c r="K28" s="21"/>
      <c r="L28" s="21">
        <v>1</v>
      </c>
      <c r="M28" s="21"/>
      <c r="N28" s="22"/>
      <c r="O28" s="21"/>
      <c r="P28" s="21"/>
      <c r="Q28" s="21"/>
      <c r="R28" s="21"/>
      <c r="S28" s="21"/>
      <c r="T28" s="21"/>
      <c r="U28" s="21"/>
      <c r="V28" s="21">
        <v>1</v>
      </c>
      <c r="W28" s="21"/>
      <c r="X28" s="23">
        <v>1</v>
      </c>
      <c r="Y28" s="23">
        <v>1</v>
      </c>
      <c r="Z28" s="24"/>
      <c r="AA28" s="25"/>
      <c r="AB28" s="23"/>
      <c r="AC28" s="23"/>
      <c r="AD28" s="23"/>
      <c r="AE28" s="23"/>
      <c r="AF28" s="23"/>
      <c r="AG28" s="23"/>
      <c r="AH28" s="23"/>
      <c r="AI28" s="23"/>
      <c r="AJ28" s="23">
        <v>1</v>
      </c>
      <c r="AK28" s="23"/>
      <c r="AL28" s="24"/>
      <c r="AM28" s="25"/>
      <c r="AN28" s="23"/>
      <c r="AO28" s="23"/>
      <c r="AP28" s="23"/>
      <c r="AQ28" s="23"/>
      <c r="AR28" s="23"/>
      <c r="AS28" s="23"/>
      <c r="AT28" s="23"/>
      <c r="AU28" s="23">
        <v>1</v>
      </c>
      <c r="AV28" s="23"/>
      <c r="AW28" s="23">
        <v>1</v>
      </c>
      <c r="AX28" s="24"/>
      <c r="AY28" s="25">
        <v>1</v>
      </c>
      <c r="AZ28" s="23"/>
      <c r="BA28" s="23"/>
      <c r="BB28" s="23">
        <v>1</v>
      </c>
      <c r="BC28" s="23"/>
      <c r="BD28" s="23"/>
      <c r="BE28" s="21"/>
      <c r="BF28" s="21"/>
      <c r="BG28" s="21"/>
      <c r="BH28" s="75" t="s">
        <v>57</v>
      </c>
      <c r="BI28" s="75" t="s">
        <v>57</v>
      </c>
      <c r="BJ28" s="76" t="s">
        <v>30</v>
      </c>
      <c r="BK28" s="76" t="s">
        <v>30</v>
      </c>
      <c r="BL28" s="21"/>
      <c r="BM28" s="21"/>
      <c r="BN28" s="23">
        <v>1</v>
      </c>
      <c r="BO28" s="23"/>
      <c r="BP28" s="24"/>
      <c r="BQ28" s="21"/>
      <c r="BR28" s="21">
        <v>1</v>
      </c>
      <c r="BS28" s="21"/>
      <c r="BT28" s="23"/>
      <c r="BU28" s="23"/>
      <c r="BV28" s="32"/>
    </row>
    <row r="29" spans="1:74" ht="17" thickBot="1" x14ac:dyDescent="0.35">
      <c r="A29" s="74" t="s">
        <v>31</v>
      </c>
      <c r="B29" s="37" t="s">
        <v>244</v>
      </c>
      <c r="C29" s="33"/>
      <c r="D29" s="26"/>
      <c r="E29" s="26"/>
      <c r="F29" s="26"/>
      <c r="G29" s="26"/>
      <c r="H29" s="26"/>
      <c r="I29" s="26"/>
      <c r="J29" s="26"/>
      <c r="K29" s="21"/>
      <c r="L29" s="26"/>
      <c r="M29" s="26"/>
      <c r="N29" s="27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7"/>
      <c r="AA29" s="28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7"/>
      <c r="AM29" s="28"/>
      <c r="AN29" s="26"/>
      <c r="AO29" s="26"/>
      <c r="AP29" s="26"/>
      <c r="AQ29" s="26"/>
      <c r="AR29" s="26">
        <v>1</v>
      </c>
      <c r="AS29" s="26"/>
      <c r="AT29" s="26"/>
      <c r="AU29" s="26"/>
      <c r="AV29" s="26">
        <v>1</v>
      </c>
      <c r="AW29" s="26"/>
      <c r="AX29" s="27"/>
      <c r="AY29" s="28"/>
      <c r="AZ29" s="26"/>
      <c r="BA29" s="26"/>
      <c r="BB29" s="26"/>
      <c r="BC29" s="26"/>
      <c r="BD29" s="26"/>
      <c r="BE29" s="26"/>
      <c r="BF29" s="26"/>
      <c r="BG29" s="26"/>
      <c r="BH29" s="75" t="s">
        <v>57</v>
      </c>
      <c r="BI29" s="75" t="s">
        <v>57</v>
      </c>
      <c r="BJ29" s="76" t="s">
        <v>30</v>
      </c>
      <c r="BK29" s="76" t="s">
        <v>30</v>
      </c>
      <c r="BL29" s="26"/>
      <c r="BM29" s="26"/>
      <c r="BN29" s="26"/>
      <c r="BO29" s="26"/>
      <c r="BP29" s="27"/>
      <c r="BQ29" s="26"/>
      <c r="BR29" s="26"/>
      <c r="BS29" s="26"/>
      <c r="BT29" s="26"/>
      <c r="BU29" s="26"/>
      <c r="BV29" s="34"/>
    </row>
    <row r="30" spans="1:74" ht="17" thickBot="1" x14ac:dyDescent="0.35">
      <c r="A30" s="74" t="s">
        <v>31</v>
      </c>
      <c r="B30" s="37" t="s">
        <v>63</v>
      </c>
      <c r="C30" s="33"/>
      <c r="D30" s="26"/>
      <c r="E30" s="26"/>
      <c r="F30" s="26"/>
      <c r="G30" s="26"/>
      <c r="H30" s="26"/>
      <c r="I30" s="26"/>
      <c r="J30" s="26">
        <v>1</v>
      </c>
      <c r="K30" s="26"/>
      <c r="L30" s="26"/>
      <c r="M30" s="26"/>
      <c r="N30" s="27"/>
      <c r="O30" s="26"/>
      <c r="P30" s="26"/>
      <c r="Q30" s="26"/>
      <c r="R30" s="26">
        <v>1</v>
      </c>
      <c r="S30" s="26"/>
      <c r="T30" s="26"/>
      <c r="U30" s="26"/>
      <c r="V30" s="26"/>
      <c r="W30" s="26"/>
      <c r="X30" s="26"/>
      <c r="Y30" s="26"/>
      <c r="Z30" s="27"/>
      <c r="AA30" s="28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7"/>
      <c r="AM30" s="28"/>
      <c r="AN30" s="26">
        <v>1</v>
      </c>
      <c r="AO30" s="26"/>
      <c r="AP30" s="26">
        <v>1</v>
      </c>
      <c r="AQ30" s="26"/>
      <c r="AR30" s="26"/>
      <c r="AS30" s="26"/>
      <c r="AT30" s="26"/>
      <c r="AU30" s="26"/>
      <c r="AV30" s="26"/>
      <c r="AW30" s="26"/>
      <c r="AX30" s="27">
        <v>1</v>
      </c>
      <c r="AY30" s="28"/>
      <c r="AZ30" s="26"/>
      <c r="BA30" s="26"/>
      <c r="BB30" s="26"/>
      <c r="BC30" s="26"/>
      <c r="BD30" s="26"/>
      <c r="BE30" s="26"/>
      <c r="BF30" s="26"/>
      <c r="BG30" s="26"/>
      <c r="BH30" s="75" t="s">
        <v>57</v>
      </c>
      <c r="BI30" s="75" t="s">
        <v>57</v>
      </c>
      <c r="BJ30" s="76" t="s">
        <v>30</v>
      </c>
      <c r="BK30" s="76" t="s">
        <v>30</v>
      </c>
      <c r="BL30" s="26"/>
      <c r="BM30" s="26"/>
      <c r="BN30" s="26"/>
      <c r="BO30" s="26"/>
      <c r="BP30" s="27"/>
      <c r="BQ30" s="26"/>
      <c r="BR30" s="26"/>
      <c r="BS30" s="26">
        <v>1</v>
      </c>
      <c r="BT30" s="26"/>
      <c r="BU30" s="26"/>
      <c r="BV30" s="34"/>
    </row>
    <row r="31" spans="1:74" ht="17" thickBot="1" x14ac:dyDescent="0.35">
      <c r="A31" s="74" t="s">
        <v>31</v>
      </c>
      <c r="B31" s="37" t="s">
        <v>42</v>
      </c>
      <c r="C31" s="55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40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40"/>
      <c r="AA31" s="38"/>
      <c r="AB31" s="39"/>
      <c r="AC31" s="39"/>
      <c r="AD31" s="39"/>
      <c r="AE31" s="39"/>
      <c r="AF31" s="39"/>
      <c r="AG31" s="39"/>
      <c r="AH31" s="39"/>
      <c r="AI31" s="39"/>
      <c r="AJ31" s="39"/>
      <c r="AK31" s="39"/>
      <c r="AL31" s="40"/>
      <c r="AM31" s="38"/>
      <c r="AN31" s="39"/>
      <c r="AO31" s="39"/>
      <c r="AP31" s="39"/>
      <c r="AQ31" s="39"/>
      <c r="AR31" s="39"/>
      <c r="AS31" s="39"/>
      <c r="AT31" s="39"/>
      <c r="AU31" s="39"/>
      <c r="AV31" s="39"/>
      <c r="AW31" s="39"/>
      <c r="AX31" s="40"/>
      <c r="AY31" s="38"/>
      <c r="AZ31" s="39"/>
      <c r="BA31" s="39"/>
      <c r="BB31" s="39"/>
      <c r="BC31" s="39"/>
      <c r="BD31" s="39"/>
      <c r="BE31" s="39"/>
      <c r="BF31" s="39"/>
      <c r="BG31" s="39"/>
      <c r="BH31" s="75" t="s">
        <v>57</v>
      </c>
      <c r="BI31" s="75" t="s">
        <v>57</v>
      </c>
      <c r="BJ31" s="76" t="s">
        <v>30</v>
      </c>
      <c r="BK31" s="76" t="s">
        <v>30</v>
      </c>
      <c r="BL31" s="39"/>
      <c r="BM31" s="39"/>
      <c r="BN31" s="39"/>
      <c r="BO31" s="39"/>
      <c r="BP31" s="40"/>
      <c r="BQ31" s="39"/>
      <c r="BR31" s="39"/>
      <c r="BS31" s="39"/>
      <c r="BT31" s="39"/>
      <c r="BU31" s="39"/>
      <c r="BV31" s="41"/>
    </row>
    <row r="32" spans="1:74" ht="17" thickBot="1" x14ac:dyDescent="0.5">
      <c r="A32" s="74" t="s">
        <v>70</v>
      </c>
      <c r="B32" s="54" t="s">
        <v>69</v>
      </c>
      <c r="C32" s="30">
        <v>0</v>
      </c>
      <c r="D32" s="13">
        <v>0</v>
      </c>
      <c r="E32" s="13">
        <v>0</v>
      </c>
      <c r="F32" s="13">
        <v>0</v>
      </c>
      <c r="G32" s="13">
        <v>2</v>
      </c>
      <c r="H32" s="13">
        <v>0</v>
      </c>
      <c r="I32" s="13">
        <v>0</v>
      </c>
      <c r="J32" s="13">
        <v>0</v>
      </c>
      <c r="K32" s="13">
        <v>0</v>
      </c>
      <c r="L32" s="13">
        <v>0</v>
      </c>
      <c r="M32" s="13">
        <v>0</v>
      </c>
      <c r="N32" s="14">
        <v>1</v>
      </c>
      <c r="O32" s="13">
        <v>1</v>
      </c>
      <c r="P32" s="13">
        <v>0</v>
      </c>
      <c r="Q32" s="13">
        <v>0</v>
      </c>
      <c r="R32" s="13">
        <v>0</v>
      </c>
      <c r="S32" s="13">
        <v>0</v>
      </c>
      <c r="T32" s="13">
        <v>0</v>
      </c>
      <c r="U32" s="13">
        <v>2</v>
      </c>
      <c r="V32" s="13">
        <v>1</v>
      </c>
      <c r="W32" s="13">
        <v>0</v>
      </c>
      <c r="X32" s="15">
        <v>0</v>
      </c>
      <c r="Y32" s="15">
        <v>0</v>
      </c>
      <c r="Z32" s="16">
        <v>1</v>
      </c>
      <c r="AA32" s="17">
        <v>0</v>
      </c>
      <c r="AB32" s="15">
        <v>1</v>
      </c>
      <c r="AC32" s="15">
        <v>1</v>
      </c>
      <c r="AD32" s="15">
        <v>2</v>
      </c>
      <c r="AE32" s="15">
        <v>0</v>
      </c>
      <c r="AF32" s="16">
        <v>1</v>
      </c>
      <c r="AG32" s="17">
        <v>0</v>
      </c>
      <c r="AH32" s="15">
        <v>0</v>
      </c>
      <c r="AI32" s="15">
        <v>0</v>
      </c>
      <c r="AJ32" s="15">
        <v>1</v>
      </c>
      <c r="AK32" s="15">
        <v>0</v>
      </c>
      <c r="AL32" s="16">
        <v>0</v>
      </c>
      <c r="AM32" s="17">
        <v>1</v>
      </c>
      <c r="AN32" s="15">
        <v>0</v>
      </c>
      <c r="AO32" s="15">
        <v>1</v>
      </c>
      <c r="AP32" s="15">
        <v>0</v>
      </c>
      <c r="AQ32" s="15">
        <v>0</v>
      </c>
      <c r="AR32" s="16">
        <v>1</v>
      </c>
      <c r="AS32" s="17">
        <v>0</v>
      </c>
      <c r="AT32" s="15">
        <v>0</v>
      </c>
      <c r="AU32" s="15">
        <v>1</v>
      </c>
      <c r="AV32" s="15">
        <v>0</v>
      </c>
      <c r="AW32" s="15">
        <v>0</v>
      </c>
      <c r="AX32" s="16">
        <v>1</v>
      </c>
      <c r="AY32" s="17">
        <v>0</v>
      </c>
      <c r="AZ32" s="15">
        <v>1</v>
      </c>
      <c r="BA32" s="15">
        <v>0</v>
      </c>
      <c r="BB32" s="15">
        <v>0</v>
      </c>
      <c r="BC32" s="15">
        <v>0</v>
      </c>
      <c r="BD32" s="15">
        <v>0</v>
      </c>
      <c r="BE32" s="18">
        <v>0</v>
      </c>
      <c r="BF32" s="18">
        <v>0</v>
      </c>
      <c r="BG32" s="18">
        <v>1</v>
      </c>
      <c r="BH32" s="18">
        <v>0</v>
      </c>
      <c r="BI32" s="75" t="s">
        <v>57</v>
      </c>
      <c r="BJ32" s="75" t="s">
        <v>57</v>
      </c>
      <c r="BK32" s="76" t="s">
        <v>30</v>
      </c>
      <c r="BL32" s="76" t="s">
        <v>30</v>
      </c>
      <c r="BM32" s="10">
        <v>1</v>
      </c>
      <c r="BN32" s="10">
        <v>0</v>
      </c>
      <c r="BO32" s="10">
        <v>1</v>
      </c>
      <c r="BP32" s="16">
        <v>0</v>
      </c>
      <c r="BQ32" s="9">
        <v>0</v>
      </c>
      <c r="BR32" s="9">
        <v>0</v>
      </c>
      <c r="BS32" s="9">
        <v>0</v>
      </c>
      <c r="BT32" s="10">
        <v>0</v>
      </c>
      <c r="BU32" s="10">
        <v>0</v>
      </c>
      <c r="BV32" s="36">
        <v>0</v>
      </c>
    </row>
    <row r="33" spans="1:74" ht="17" thickBot="1" x14ac:dyDescent="0.5">
      <c r="A33" s="74" t="s">
        <v>70</v>
      </c>
      <c r="B33" s="161" t="s">
        <v>242</v>
      </c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2">
        <v>1</v>
      </c>
      <c r="O33" s="21"/>
      <c r="P33" s="21"/>
      <c r="Q33" s="21"/>
      <c r="R33" s="21"/>
      <c r="S33" s="21"/>
      <c r="T33" s="21"/>
      <c r="U33" s="21">
        <v>2</v>
      </c>
      <c r="V33" s="21"/>
      <c r="W33" s="21"/>
      <c r="X33" s="23"/>
      <c r="Y33" s="23"/>
      <c r="Z33" s="24"/>
      <c r="AA33" s="25"/>
      <c r="AB33" s="23"/>
      <c r="AC33" s="23">
        <v>1</v>
      </c>
      <c r="AD33" s="23">
        <v>1</v>
      </c>
      <c r="AE33" s="23"/>
      <c r="AF33" s="23"/>
      <c r="AG33" s="23"/>
      <c r="AH33" s="23"/>
      <c r="AI33" s="23"/>
      <c r="AJ33" s="23"/>
      <c r="AK33" s="23"/>
      <c r="AL33" s="24"/>
      <c r="AM33" s="25">
        <v>1</v>
      </c>
      <c r="AN33" s="23"/>
      <c r="AO33" s="23">
        <v>1</v>
      </c>
      <c r="AP33" s="23"/>
      <c r="AQ33" s="23"/>
      <c r="AR33" s="23"/>
      <c r="AS33" s="23"/>
      <c r="AT33" s="23"/>
      <c r="AU33" s="23"/>
      <c r="AV33" s="23"/>
      <c r="AW33" s="23"/>
      <c r="AX33" s="24"/>
      <c r="AY33" s="25"/>
      <c r="AZ33" s="23"/>
      <c r="BA33" s="23"/>
      <c r="BB33" s="23"/>
      <c r="BC33" s="23"/>
      <c r="BD33" s="23"/>
      <c r="BE33" s="21"/>
      <c r="BF33" s="21"/>
      <c r="BG33" s="21">
        <v>1</v>
      </c>
      <c r="BH33" s="21"/>
      <c r="BI33" s="75" t="s">
        <v>57</v>
      </c>
      <c r="BJ33" s="75" t="s">
        <v>57</v>
      </c>
      <c r="BK33" s="76" t="s">
        <v>30</v>
      </c>
      <c r="BL33" s="76" t="s">
        <v>30</v>
      </c>
      <c r="BM33" s="23"/>
      <c r="BN33" s="23"/>
      <c r="BO33" s="23">
        <v>1</v>
      </c>
      <c r="BP33" s="24"/>
      <c r="BQ33" s="21"/>
      <c r="BR33" s="21"/>
      <c r="BS33" s="21"/>
      <c r="BT33" s="23"/>
      <c r="BU33" s="23"/>
      <c r="BV33" s="32"/>
    </row>
    <row r="34" spans="1:74" ht="17" thickBot="1" x14ac:dyDescent="0.5">
      <c r="A34" s="74" t="s">
        <v>70</v>
      </c>
      <c r="B34" s="37" t="s">
        <v>243</v>
      </c>
      <c r="C34" s="21"/>
      <c r="D34" s="21"/>
      <c r="E34" s="21"/>
      <c r="F34" s="21"/>
      <c r="G34" s="21">
        <v>1</v>
      </c>
      <c r="H34" s="21"/>
      <c r="I34" s="21"/>
      <c r="J34" s="21"/>
      <c r="K34" s="21"/>
      <c r="L34" s="21"/>
      <c r="M34" s="21"/>
      <c r="N34" s="22"/>
      <c r="O34" s="21">
        <v>1</v>
      </c>
      <c r="P34" s="21"/>
      <c r="Q34" s="21"/>
      <c r="R34" s="21"/>
      <c r="S34" s="21"/>
      <c r="T34" s="21"/>
      <c r="U34" s="21"/>
      <c r="V34" s="21"/>
      <c r="W34" s="21"/>
      <c r="X34" s="23"/>
      <c r="Y34" s="23"/>
      <c r="Z34" s="24"/>
      <c r="AA34" s="25"/>
      <c r="AB34" s="23">
        <v>1</v>
      </c>
      <c r="AC34" s="23"/>
      <c r="AD34" s="23">
        <v>1</v>
      </c>
      <c r="AE34" s="23"/>
      <c r="AF34" s="23">
        <v>1</v>
      </c>
      <c r="AG34" s="23"/>
      <c r="AH34" s="23"/>
      <c r="AI34" s="23"/>
      <c r="AJ34" s="23">
        <v>1</v>
      </c>
      <c r="AK34" s="23"/>
      <c r="AL34" s="24"/>
      <c r="AM34" s="25"/>
      <c r="AN34" s="23"/>
      <c r="AO34" s="23"/>
      <c r="AP34" s="23"/>
      <c r="AQ34" s="23"/>
      <c r="AR34" s="23">
        <v>1</v>
      </c>
      <c r="AS34" s="23"/>
      <c r="AT34" s="23"/>
      <c r="AU34" s="23"/>
      <c r="AV34" s="23"/>
      <c r="AW34" s="23"/>
      <c r="AX34" s="24"/>
      <c r="AY34" s="25"/>
      <c r="AZ34" s="23"/>
      <c r="BA34" s="23"/>
      <c r="BB34" s="23"/>
      <c r="BC34" s="23"/>
      <c r="BD34" s="23"/>
      <c r="BE34" s="21"/>
      <c r="BF34" s="21"/>
      <c r="BG34" s="21"/>
      <c r="BH34" s="21"/>
      <c r="BI34" s="75" t="s">
        <v>57</v>
      </c>
      <c r="BJ34" s="75" t="s">
        <v>57</v>
      </c>
      <c r="BK34" s="76" t="s">
        <v>30</v>
      </c>
      <c r="BL34" s="76" t="s">
        <v>30</v>
      </c>
      <c r="BM34" s="23"/>
      <c r="BN34" s="23"/>
      <c r="BO34" s="23"/>
      <c r="BP34" s="24"/>
      <c r="BQ34" s="21"/>
      <c r="BR34" s="21"/>
      <c r="BS34" s="21"/>
      <c r="BT34" s="23"/>
      <c r="BU34" s="23"/>
      <c r="BV34" s="32"/>
    </row>
    <row r="35" spans="1:74" ht="17" thickBot="1" x14ac:dyDescent="0.35">
      <c r="A35" s="74" t="s">
        <v>70</v>
      </c>
      <c r="B35" s="37" t="s">
        <v>244</v>
      </c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7"/>
      <c r="O35" s="26"/>
      <c r="P35" s="26"/>
      <c r="Q35" s="26"/>
      <c r="R35" s="26"/>
      <c r="S35" s="26"/>
      <c r="T35" s="26"/>
      <c r="U35" s="26"/>
      <c r="V35" s="26">
        <v>1</v>
      </c>
      <c r="W35" s="26"/>
      <c r="X35" s="26"/>
      <c r="Y35" s="26"/>
      <c r="Z35" s="27"/>
      <c r="AA35" s="28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7"/>
      <c r="AM35" s="28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7"/>
      <c r="AY35" s="28"/>
      <c r="AZ35" s="26"/>
      <c r="BA35" s="26"/>
      <c r="BB35" s="26"/>
      <c r="BC35" s="26"/>
      <c r="BD35" s="26"/>
      <c r="BE35" s="26"/>
      <c r="BF35" s="26"/>
      <c r="BG35" s="26"/>
      <c r="BH35" s="26"/>
      <c r="BI35" s="75" t="s">
        <v>57</v>
      </c>
      <c r="BJ35" s="75" t="s">
        <v>57</v>
      </c>
      <c r="BK35" s="76" t="s">
        <v>30</v>
      </c>
      <c r="BL35" s="76" t="s">
        <v>30</v>
      </c>
      <c r="BM35" s="26"/>
      <c r="BN35" s="26"/>
      <c r="BO35" s="26"/>
      <c r="BP35" s="27"/>
      <c r="BQ35" s="26"/>
      <c r="BR35" s="26"/>
      <c r="BS35" s="26"/>
      <c r="BT35" s="26"/>
      <c r="BU35" s="26"/>
      <c r="BV35" s="34"/>
    </row>
    <row r="36" spans="1:74" ht="17" thickBot="1" x14ac:dyDescent="0.35">
      <c r="A36" s="74" t="s">
        <v>70</v>
      </c>
      <c r="B36" s="37" t="s">
        <v>63</v>
      </c>
      <c r="C36" s="26"/>
      <c r="D36" s="26"/>
      <c r="E36" s="26"/>
      <c r="F36" s="26"/>
      <c r="G36" s="26">
        <v>1</v>
      </c>
      <c r="H36" s="26"/>
      <c r="I36" s="26"/>
      <c r="J36" s="26"/>
      <c r="K36" s="26"/>
      <c r="L36" s="26"/>
      <c r="M36" s="26"/>
      <c r="N36" s="27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7">
        <v>1</v>
      </c>
      <c r="AA36" s="28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7"/>
      <c r="AM36" s="28"/>
      <c r="AN36" s="26"/>
      <c r="AO36" s="26"/>
      <c r="AP36" s="26"/>
      <c r="AQ36" s="26"/>
      <c r="AR36" s="26"/>
      <c r="AS36" s="26"/>
      <c r="AT36" s="26"/>
      <c r="AU36" s="26">
        <v>1</v>
      </c>
      <c r="AV36" s="26"/>
      <c r="AW36" s="26"/>
      <c r="AX36" s="27">
        <v>1</v>
      </c>
      <c r="AY36" s="28"/>
      <c r="AZ36" s="26"/>
      <c r="BA36" s="26"/>
      <c r="BB36" s="26"/>
      <c r="BC36" s="26"/>
      <c r="BD36" s="26"/>
      <c r="BE36" s="26"/>
      <c r="BF36" s="26"/>
      <c r="BG36" s="26"/>
      <c r="BH36" s="26"/>
      <c r="BI36" s="75" t="s">
        <v>57</v>
      </c>
      <c r="BJ36" s="75" t="s">
        <v>57</v>
      </c>
      <c r="BK36" s="76" t="s">
        <v>30</v>
      </c>
      <c r="BL36" s="76" t="s">
        <v>30</v>
      </c>
      <c r="BM36" s="26"/>
      <c r="BN36" s="26"/>
      <c r="BO36" s="26"/>
      <c r="BP36" s="27"/>
      <c r="BQ36" s="26"/>
      <c r="BR36" s="26"/>
      <c r="BS36" s="26"/>
      <c r="BT36" s="26"/>
      <c r="BU36" s="26"/>
      <c r="BV36" s="34"/>
    </row>
    <row r="37" spans="1:74" ht="17" thickBot="1" x14ac:dyDescent="0.35">
      <c r="A37" s="74" t="s">
        <v>70</v>
      </c>
      <c r="B37" s="161" t="s">
        <v>42</v>
      </c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8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8"/>
      <c r="AA37" s="59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8"/>
      <c r="AM37" s="59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8"/>
      <c r="AY37" s="59"/>
      <c r="AZ37" s="57">
        <v>1</v>
      </c>
      <c r="BA37" s="57"/>
      <c r="BB37" s="57"/>
      <c r="BC37" s="57"/>
      <c r="BD37" s="57"/>
      <c r="BE37" s="57"/>
      <c r="BF37" s="57"/>
      <c r="BG37" s="57"/>
      <c r="BH37" s="57"/>
      <c r="BI37" s="75" t="s">
        <v>57</v>
      </c>
      <c r="BJ37" s="75" t="s">
        <v>57</v>
      </c>
      <c r="BK37" s="76" t="s">
        <v>30</v>
      </c>
      <c r="BL37" s="76" t="s">
        <v>30</v>
      </c>
      <c r="BM37" s="57"/>
      <c r="BN37" s="57"/>
      <c r="BO37" s="57"/>
      <c r="BP37" s="58"/>
      <c r="BQ37" s="57"/>
      <c r="BR37" s="57"/>
      <c r="BS37" s="57"/>
      <c r="BT37" s="57"/>
      <c r="BU37" s="57"/>
      <c r="BV37" s="60"/>
    </row>
    <row r="38" spans="1:74" ht="17" thickBot="1" x14ac:dyDescent="0.5">
      <c r="A38" s="74" t="s">
        <v>67</v>
      </c>
      <c r="B38" s="54" t="s">
        <v>69</v>
      </c>
      <c r="C38" s="136">
        <v>0</v>
      </c>
      <c r="D38" s="137">
        <v>0</v>
      </c>
      <c r="E38" s="137">
        <v>0</v>
      </c>
      <c r="F38" s="137">
        <v>0</v>
      </c>
      <c r="G38" s="137">
        <v>0</v>
      </c>
      <c r="H38" s="137">
        <v>0</v>
      </c>
      <c r="I38" s="137">
        <v>1</v>
      </c>
      <c r="J38" s="137">
        <v>0</v>
      </c>
      <c r="K38" s="137">
        <v>0</v>
      </c>
      <c r="L38" s="137">
        <v>0</v>
      </c>
      <c r="M38" s="137">
        <v>1</v>
      </c>
      <c r="N38" s="138">
        <v>0</v>
      </c>
      <c r="O38" s="137">
        <v>2</v>
      </c>
      <c r="P38" s="137">
        <v>0</v>
      </c>
      <c r="Q38" s="137">
        <v>1</v>
      </c>
      <c r="R38" s="137">
        <v>0</v>
      </c>
      <c r="S38" s="137">
        <v>0</v>
      </c>
      <c r="T38" s="137">
        <v>0</v>
      </c>
      <c r="U38" s="137">
        <v>0</v>
      </c>
      <c r="V38" s="137">
        <v>0</v>
      </c>
      <c r="W38" s="137">
        <v>0</v>
      </c>
      <c r="X38" s="139">
        <v>0</v>
      </c>
      <c r="Y38" s="139">
        <v>0</v>
      </c>
      <c r="Z38" s="140">
        <v>0</v>
      </c>
      <c r="AA38" s="141">
        <v>1</v>
      </c>
      <c r="AB38" s="139">
        <v>0</v>
      </c>
      <c r="AC38" s="139">
        <v>0</v>
      </c>
      <c r="AD38" s="139">
        <v>0</v>
      </c>
      <c r="AE38" s="139">
        <v>0</v>
      </c>
      <c r="AF38" s="140">
        <v>0</v>
      </c>
      <c r="AG38" s="141">
        <v>0</v>
      </c>
      <c r="AH38" s="139">
        <v>1</v>
      </c>
      <c r="AI38" s="139">
        <v>0</v>
      </c>
      <c r="AJ38" s="139">
        <v>0</v>
      </c>
      <c r="AK38" s="139">
        <v>0</v>
      </c>
      <c r="AL38" s="140">
        <v>1</v>
      </c>
      <c r="AM38" s="141">
        <v>0</v>
      </c>
      <c r="AN38" s="139">
        <v>0</v>
      </c>
      <c r="AO38" s="139">
        <v>0</v>
      </c>
      <c r="AP38" s="139">
        <v>0</v>
      </c>
      <c r="AQ38" s="139">
        <v>0</v>
      </c>
      <c r="AR38" s="140">
        <v>0</v>
      </c>
      <c r="AS38" s="141">
        <v>0</v>
      </c>
      <c r="AT38" s="139">
        <v>0</v>
      </c>
      <c r="AU38" s="139">
        <v>1</v>
      </c>
      <c r="AV38" s="139">
        <v>0</v>
      </c>
      <c r="AW38" s="139">
        <v>0</v>
      </c>
      <c r="AX38" s="140">
        <v>0</v>
      </c>
      <c r="AY38" s="141">
        <v>0</v>
      </c>
      <c r="AZ38" s="139">
        <v>0</v>
      </c>
      <c r="BA38" s="139">
        <v>0</v>
      </c>
      <c r="BB38" s="139">
        <v>0</v>
      </c>
      <c r="BC38" s="139">
        <v>0</v>
      </c>
      <c r="BD38" s="139">
        <v>0</v>
      </c>
      <c r="BE38" s="142">
        <v>0</v>
      </c>
      <c r="BF38" s="142">
        <v>0</v>
      </c>
      <c r="BG38" s="142">
        <v>0</v>
      </c>
      <c r="BH38" s="142">
        <v>0</v>
      </c>
      <c r="BI38" s="142">
        <v>0</v>
      </c>
      <c r="BJ38" s="142">
        <v>0</v>
      </c>
      <c r="BK38" s="142">
        <v>0</v>
      </c>
      <c r="BL38" s="143" t="s">
        <v>57</v>
      </c>
      <c r="BM38" s="144" t="s">
        <v>30</v>
      </c>
      <c r="BN38" s="144" t="s">
        <v>30</v>
      </c>
      <c r="BO38" s="145">
        <v>1</v>
      </c>
      <c r="BP38" s="140">
        <v>0</v>
      </c>
      <c r="BQ38" s="142">
        <v>0</v>
      </c>
      <c r="BR38" s="142">
        <v>0</v>
      </c>
      <c r="BS38" s="142">
        <v>1</v>
      </c>
      <c r="BT38" s="145">
        <v>0</v>
      </c>
      <c r="BU38" s="145">
        <v>0</v>
      </c>
      <c r="BV38" s="146">
        <v>0</v>
      </c>
    </row>
    <row r="39" spans="1:74" ht="17" thickBot="1" x14ac:dyDescent="0.5">
      <c r="A39" s="74" t="s">
        <v>67</v>
      </c>
      <c r="B39" s="161" t="s">
        <v>242</v>
      </c>
      <c r="C39" s="21"/>
      <c r="D39" s="21"/>
      <c r="E39" s="21"/>
      <c r="F39" s="21"/>
      <c r="G39" s="21"/>
      <c r="H39" s="21"/>
      <c r="I39" s="21">
        <v>1</v>
      </c>
      <c r="J39" s="21"/>
      <c r="K39" s="21"/>
      <c r="L39" s="21"/>
      <c r="M39" s="21"/>
      <c r="N39" s="22"/>
      <c r="O39" s="21"/>
      <c r="P39" s="21"/>
      <c r="Q39" s="21">
        <v>1</v>
      </c>
      <c r="R39" s="21"/>
      <c r="S39" s="21"/>
      <c r="T39" s="21"/>
      <c r="U39" s="21"/>
      <c r="V39" s="21"/>
      <c r="W39" s="21"/>
      <c r="X39" s="23"/>
      <c r="Y39" s="23"/>
      <c r="Z39" s="24"/>
      <c r="AA39" s="25">
        <v>1</v>
      </c>
      <c r="AB39" s="23"/>
      <c r="AC39" s="23"/>
      <c r="AD39" s="23"/>
      <c r="AE39" s="23"/>
      <c r="AF39" s="23"/>
      <c r="AG39" s="23"/>
      <c r="AH39" s="23"/>
      <c r="AI39" s="23"/>
      <c r="AJ39" s="23"/>
      <c r="AK39" s="23"/>
      <c r="AL39" s="24">
        <v>1</v>
      </c>
      <c r="AM39" s="25"/>
      <c r="AN39" s="23"/>
      <c r="AO39" s="23"/>
      <c r="AP39" s="23"/>
      <c r="AQ39" s="23"/>
      <c r="AR39" s="23"/>
      <c r="AS39" s="23"/>
      <c r="AT39" s="23"/>
      <c r="AU39" s="23"/>
      <c r="AV39" s="23"/>
      <c r="AW39" s="23"/>
      <c r="AX39" s="24"/>
      <c r="AY39" s="25"/>
      <c r="AZ39" s="23"/>
      <c r="BA39" s="23"/>
      <c r="BB39" s="23"/>
      <c r="BC39" s="23"/>
      <c r="BD39" s="23"/>
      <c r="BE39" s="21"/>
      <c r="BF39" s="21"/>
      <c r="BG39" s="21"/>
      <c r="BH39" s="21"/>
      <c r="BI39" s="21"/>
      <c r="BJ39" s="21"/>
      <c r="BK39" s="21"/>
      <c r="BL39" s="75" t="s">
        <v>57</v>
      </c>
      <c r="BM39" s="76" t="s">
        <v>30</v>
      </c>
      <c r="BN39" s="76" t="s">
        <v>30</v>
      </c>
      <c r="BO39" s="23">
        <v>1</v>
      </c>
      <c r="BP39" s="24"/>
      <c r="BQ39" s="21"/>
      <c r="BR39" s="21"/>
      <c r="BS39" s="21"/>
      <c r="BT39" s="23"/>
      <c r="BU39" s="23"/>
      <c r="BV39" s="32"/>
    </row>
    <row r="40" spans="1:74" ht="17" thickBot="1" x14ac:dyDescent="0.5">
      <c r="A40" s="74" t="s">
        <v>67</v>
      </c>
      <c r="B40" s="37" t="s">
        <v>243</v>
      </c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>
        <v>1</v>
      </c>
      <c r="N40" s="22"/>
      <c r="O40" s="21">
        <v>2</v>
      </c>
      <c r="P40" s="21"/>
      <c r="Q40" s="21"/>
      <c r="R40" s="21"/>
      <c r="S40" s="21"/>
      <c r="T40" s="21"/>
      <c r="U40" s="21"/>
      <c r="V40" s="21"/>
      <c r="W40" s="21"/>
      <c r="X40" s="23"/>
      <c r="Y40" s="23"/>
      <c r="Z40" s="24"/>
      <c r="AA40" s="25"/>
      <c r="AB40" s="23"/>
      <c r="AC40" s="23"/>
      <c r="AD40" s="23"/>
      <c r="AE40" s="23"/>
      <c r="AF40" s="23"/>
      <c r="AG40" s="23"/>
      <c r="AH40" s="23">
        <v>1</v>
      </c>
      <c r="AI40" s="23"/>
      <c r="AJ40" s="23"/>
      <c r="AK40" s="23"/>
      <c r="AL40" s="24"/>
      <c r="AM40" s="25"/>
      <c r="AN40" s="23"/>
      <c r="AO40" s="23"/>
      <c r="AP40" s="23"/>
      <c r="AQ40" s="23"/>
      <c r="AR40" s="23"/>
      <c r="AS40" s="23"/>
      <c r="AT40" s="23"/>
      <c r="AU40" s="23"/>
      <c r="AV40" s="23"/>
      <c r="AW40" s="23"/>
      <c r="AX40" s="24"/>
      <c r="AY40" s="25"/>
      <c r="AZ40" s="23"/>
      <c r="BA40" s="23"/>
      <c r="BB40" s="23"/>
      <c r="BC40" s="23"/>
      <c r="BD40" s="23"/>
      <c r="BE40" s="21"/>
      <c r="BF40" s="21"/>
      <c r="BG40" s="21"/>
      <c r="BH40" s="21"/>
      <c r="BI40" s="21"/>
      <c r="BJ40" s="21"/>
      <c r="BK40" s="21"/>
      <c r="BL40" s="75" t="s">
        <v>57</v>
      </c>
      <c r="BM40" s="76" t="s">
        <v>30</v>
      </c>
      <c r="BN40" s="76" t="s">
        <v>30</v>
      </c>
      <c r="BO40" s="23"/>
      <c r="BP40" s="24"/>
      <c r="BQ40" s="21"/>
      <c r="BR40" s="21"/>
      <c r="BS40" s="21"/>
      <c r="BT40" s="23"/>
      <c r="BU40" s="23"/>
      <c r="BV40" s="32"/>
    </row>
    <row r="41" spans="1:74" ht="17" thickBot="1" x14ac:dyDescent="0.35">
      <c r="A41" s="74" t="s">
        <v>67</v>
      </c>
      <c r="B41" s="37" t="s">
        <v>244</v>
      </c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7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7"/>
      <c r="AA41" s="28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7"/>
      <c r="AM41" s="28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7"/>
      <c r="AY41" s="28"/>
      <c r="AZ41" s="26"/>
      <c r="BA41" s="26"/>
      <c r="BB41" s="26"/>
      <c r="BC41" s="26"/>
      <c r="BD41" s="26"/>
      <c r="BE41" s="26"/>
      <c r="BF41" s="26"/>
      <c r="BG41" s="26"/>
      <c r="BH41" s="26"/>
      <c r="BI41" s="26"/>
      <c r="BJ41" s="26"/>
      <c r="BK41" s="26"/>
      <c r="BL41" s="75" t="s">
        <v>57</v>
      </c>
      <c r="BM41" s="76" t="s">
        <v>30</v>
      </c>
      <c r="BN41" s="76" t="s">
        <v>30</v>
      </c>
      <c r="BO41" s="26"/>
      <c r="BP41" s="27"/>
      <c r="BQ41" s="26"/>
      <c r="BR41" s="26"/>
      <c r="BS41" s="26"/>
      <c r="BT41" s="26"/>
      <c r="BU41" s="26"/>
      <c r="BV41" s="34"/>
    </row>
    <row r="42" spans="1:74" ht="17" thickBot="1" x14ac:dyDescent="0.35">
      <c r="A42" s="74" t="s">
        <v>67</v>
      </c>
      <c r="B42" s="37" t="s">
        <v>63</v>
      </c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7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7"/>
      <c r="AA42" s="28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7"/>
      <c r="AM42" s="28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7"/>
      <c r="AY42" s="28"/>
      <c r="AZ42" s="26"/>
      <c r="BA42" s="26"/>
      <c r="BB42" s="26"/>
      <c r="BC42" s="26"/>
      <c r="BD42" s="26"/>
      <c r="BE42" s="26"/>
      <c r="BF42" s="26"/>
      <c r="BG42" s="26"/>
      <c r="BH42" s="26"/>
      <c r="BI42" s="26"/>
      <c r="BJ42" s="26"/>
      <c r="BK42" s="26"/>
      <c r="BL42" s="75" t="s">
        <v>57</v>
      </c>
      <c r="BM42" s="76" t="s">
        <v>30</v>
      </c>
      <c r="BN42" s="76" t="s">
        <v>30</v>
      </c>
      <c r="BO42" s="26"/>
      <c r="BP42" s="27"/>
      <c r="BQ42" s="26"/>
      <c r="BR42" s="26"/>
      <c r="BS42" s="26"/>
      <c r="BT42" s="26"/>
      <c r="BU42" s="26"/>
      <c r="BV42" s="34"/>
    </row>
    <row r="43" spans="1:74" ht="17" thickBot="1" x14ac:dyDescent="0.35">
      <c r="A43" s="74" t="s">
        <v>67</v>
      </c>
      <c r="B43" s="37" t="s">
        <v>42</v>
      </c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7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7"/>
      <c r="AA43" s="28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7"/>
      <c r="AM43" s="28"/>
      <c r="AN43" s="26"/>
      <c r="AO43" s="26"/>
      <c r="AP43" s="26"/>
      <c r="AQ43" s="26"/>
      <c r="AR43" s="26"/>
      <c r="AS43" s="26"/>
      <c r="AT43" s="26"/>
      <c r="AU43" s="26">
        <v>1</v>
      </c>
      <c r="AV43" s="26"/>
      <c r="AW43" s="26"/>
      <c r="AX43" s="27"/>
      <c r="AY43" s="28"/>
      <c r="AZ43" s="26"/>
      <c r="BA43" s="26"/>
      <c r="BB43" s="26"/>
      <c r="BC43" s="26"/>
      <c r="BD43" s="26"/>
      <c r="BE43" s="26"/>
      <c r="BF43" s="26"/>
      <c r="BG43" s="26"/>
      <c r="BH43" s="26"/>
      <c r="BI43" s="26"/>
      <c r="BJ43" s="26"/>
      <c r="BK43" s="26"/>
      <c r="BL43" s="75" t="s">
        <v>57</v>
      </c>
      <c r="BM43" s="76" t="s">
        <v>30</v>
      </c>
      <c r="BN43" s="76" t="s">
        <v>30</v>
      </c>
      <c r="BO43" s="26"/>
      <c r="BP43" s="27"/>
      <c r="BQ43" s="26"/>
      <c r="BR43" s="26"/>
      <c r="BS43" s="26">
        <v>1</v>
      </c>
      <c r="BT43" s="26"/>
      <c r="BU43" s="26"/>
      <c r="BV43" s="34"/>
    </row>
    <row r="44" spans="1:74" ht="17" thickBot="1" x14ac:dyDescent="0.5">
      <c r="A44" s="74" t="s">
        <v>263</v>
      </c>
      <c r="B44" s="54" t="s">
        <v>69</v>
      </c>
      <c r="C44" s="136">
        <v>2</v>
      </c>
      <c r="D44" s="137">
        <v>3</v>
      </c>
      <c r="E44" s="137">
        <v>1</v>
      </c>
      <c r="F44" s="137">
        <v>3</v>
      </c>
      <c r="G44" s="137">
        <v>1</v>
      </c>
      <c r="H44" s="137">
        <v>4</v>
      </c>
      <c r="I44" s="137">
        <v>1</v>
      </c>
      <c r="J44" s="137">
        <v>1</v>
      </c>
      <c r="K44" s="137">
        <v>3</v>
      </c>
      <c r="L44" s="137">
        <v>1</v>
      </c>
      <c r="M44" s="137">
        <v>2</v>
      </c>
      <c r="N44" s="138">
        <v>3</v>
      </c>
      <c r="O44" s="137">
        <v>3</v>
      </c>
      <c r="P44" s="137">
        <v>1</v>
      </c>
      <c r="Q44" s="137">
        <v>2</v>
      </c>
      <c r="R44" s="137">
        <v>3</v>
      </c>
      <c r="S44" s="137">
        <v>3</v>
      </c>
      <c r="T44" s="137">
        <v>1</v>
      </c>
      <c r="U44" s="137">
        <v>0</v>
      </c>
      <c r="V44" s="137">
        <v>3</v>
      </c>
      <c r="W44" s="137">
        <v>5</v>
      </c>
      <c r="X44" s="139">
        <v>1</v>
      </c>
      <c r="Y44" s="139">
        <v>2</v>
      </c>
      <c r="Z44" s="140">
        <v>4</v>
      </c>
      <c r="AA44" s="141">
        <v>3</v>
      </c>
      <c r="AB44" s="139">
        <v>3</v>
      </c>
      <c r="AC44" s="139">
        <v>1</v>
      </c>
      <c r="AD44" s="139">
        <v>0</v>
      </c>
      <c r="AE44" s="139">
        <v>6</v>
      </c>
      <c r="AF44" s="140">
        <v>0</v>
      </c>
      <c r="AG44" s="141">
        <v>0</v>
      </c>
      <c r="AH44" s="139">
        <v>5</v>
      </c>
      <c r="AI44" s="139">
        <v>0</v>
      </c>
      <c r="AJ44" s="139">
        <v>2</v>
      </c>
      <c r="AK44" s="139">
        <v>1</v>
      </c>
      <c r="AL44" s="140">
        <v>1</v>
      </c>
      <c r="AM44" s="141">
        <v>3</v>
      </c>
      <c r="AN44" s="139">
        <v>3</v>
      </c>
      <c r="AO44" s="139">
        <v>2</v>
      </c>
      <c r="AP44" s="139">
        <v>3</v>
      </c>
      <c r="AQ44" s="139">
        <v>5</v>
      </c>
      <c r="AR44" s="140">
        <v>6</v>
      </c>
      <c r="AS44" s="141">
        <v>3</v>
      </c>
      <c r="AT44" s="139">
        <v>2</v>
      </c>
      <c r="AU44" s="139">
        <v>1</v>
      </c>
      <c r="AV44" s="139">
        <v>3</v>
      </c>
      <c r="AW44" s="139">
        <v>2</v>
      </c>
      <c r="AX44" s="140">
        <v>5</v>
      </c>
      <c r="AY44" s="137">
        <v>0</v>
      </c>
      <c r="AZ44" s="137">
        <v>3</v>
      </c>
      <c r="BA44" s="137">
        <v>2</v>
      </c>
      <c r="BB44" s="137">
        <v>1</v>
      </c>
      <c r="BC44" s="137">
        <v>2</v>
      </c>
      <c r="BD44" s="137">
        <v>1</v>
      </c>
      <c r="BE44" s="137">
        <v>0</v>
      </c>
      <c r="BF44" s="137">
        <v>1</v>
      </c>
      <c r="BG44" s="137">
        <v>3</v>
      </c>
      <c r="BH44" s="139">
        <v>0</v>
      </c>
      <c r="BI44" s="139">
        <v>2</v>
      </c>
      <c r="BJ44" s="140">
        <v>3</v>
      </c>
      <c r="BK44" s="137">
        <v>3</v>
      </c>
      <c r="BL44" s="137">
        <v>1</v>
      </c>
      <c r="BM44" s="137">
        <v>4</v>
      </c>
      <c r="BN44" s="137"/>
      <c r="BO44" s="137"/>
      <c r="BP44" s="137"/>
      <c r="BQ44" s="137"/>
      <c r="BR44" s="137"/>
      <c r="BS44" s="137"/>
      <c r="BT44" s="139"/>
      <c r="BU44" s="139"/>
      <c r="BV44" s="206"/>
    </row>
    <row r="45" spans="1:74" ht="17" thickBot="1" x14ac:dyDescent="0.5">
      <c r="A45" s="74" t="s">
        <v>185</v>
      </c>
      <c r="B45" s="54" t="s">
        <v>69</v>
      </c>
      <c r="C45" s="136">
        <v>0</v>
      </c>
      <c r="D45" s="137">
        <v>0</v>
      </c>
      <c r="E45" s="137">
        <v>1</v>
      </c>
      <c r="F45" s="137">
        <v>0</v>
      </c>
      <c r="G45" s="137">
        <v>2</v>
      </c>
      <c r="H45" s="137">
        <v>0</v>
      </c>
      <c r="I45" s="137">
        <v>1</v>
      </c>
      <c r="J45" s="137">
        <v>2</v>
      </c>
      <c r="K45" s="137">
        <v>1</v>
      </c>
      <c r="L45" s="137">
        <v>1</v>
      </c>
      <c r="M45" s="137">
        <v>0</v>
      </c>
      <c r="N45" s="138">
        <v>0</v>
      </c>
      <c r="O45" s="137">
        <v>3</v>
      </c>
      <c r="P45" s="137">
        <v>1</v>
      </c>
      <c r="Q45" s="137">
        <v>3</v>
      </c>
      <c r="R45" s="137">
        <v>0</v>
      </c>
      <c r="S45" s="137">
        <v>1</v>
      </c>
      <c r="T45" s="137">
        <v>0</v>
      </c>
      <c r="U45" s="137">
        <v>1</v>
      </c>
      <c r="V45" s="137">
        <v>1</v>
      </c>
      <c r="W45" s="137">
        <v>2</v>
      </c>
      <c r="X45" s="139">
        <v>2</v>
      </c>
      <c r="Y45" s="139">
        <v>1</v>
      </c>
      <c r="Z45" s="140">
        <v>2</v>
      </c>
      <c r="AA45" s="141">
        <v>3</v>
      </c>
      <c r="AB45" s="139">
        <v>0</v>
      </c>
      <c r="AC45" s="139">
        <v>1</v>
      </c>
      <c r="AD45" s="139">
        <v>3</v>
      </c>
      <c r="AE45" s="139">
        <v>1</v>
      </c>
      <c r="AF45" s="140">
        <v>1</v>
      </c>
      <c r="AG45" s="141">
        <v>0</v>
      </c>
      <c r="AH45" s="139">
        <v>0</v>
      </c>
      <c r="AI45" s="139">
        <v>0</v>
      </c>
      <c r="AJ45" s="139">
        <v>0</v>
      </c>
      <c r="AK45" s="139">
        <v>0</v>
      </c>
      <c r="AL45" s="140">
        <v>0</v>
      </c>
      <c r="AM45" s="141">
        <v>0</v>
      </c>
      <c r="AN45" s="139">
        <v>0</v>
      </c>
      <c r="AO45" s="139">
        <v>1</v>
      </c>
      <c r="AP45" s="139">
        <v>3</v>
      </c>
      <c r="AQ45" s="139">
        <v>2</v>
      </c>
      <c r="AR45" s="140">
        <v>4</v>
      </c>
      <c r="AS45" s="141">
        <v>1</v>
      </c>
      <c r="AT45" s="139">
        <v>0</v>
      </c>
      <c r="AU45" s="139">
        <v>1</v>
      </c>
      <c r="AV45" s="139">
        <v>1</v>
      </c>
      <c r="AW45" s="139">
        <v>1</v>
      </c>
      <c r="AX45" s="140">
        <v>2</v>
      </c>
      <c r="AY45" s="137">
        <v>0</v>
      </c>
      <c r="AZ45" s="137">
        <v>2</v>
      </c>
      <c r="BA45" s="137">
        <v>2</v>
      </c>
      <c r="BB45" s="137">
        <v>2</v>
      </c>
      <c r="BC45" s="137">
        <v>1</v>
      </c>
      <c r="BD45" s="137">
        <v>1</v>
      </c>
      <c r="BE45" s="137">
        <v>0</v>
      </c>
      <c r="BF45" s="137">
        <v>0</v>
      </c>
      <c r="BG45" s="137">
        <v>1</v>
      </c>
      <c r="BH45" s="139">
        <v>2</v>
      </c>
      <c r="BI45" s="139">
        <v>1</v>
      </c>
      <c r="BJ45" s="140">
        <v>0</v>
      </c>
      <c r="BK45" s="137">
        <v>1</v>
      </c>
      <c r="BL45" s="137">
        <v>1</v>
      </c>
      <c r="BM45" s="137">
        <v>3</v>
      </c>
      <c r="BN45" s="137">
        <v>2</v>
      </c>
      <c r="BO45" s="137">
        <v>1</v>
      </c>
      <c r="BP45" s="137">
        <v>1</v>
      </c>
      <c r="BQ45" s="137">
        <v>1</v>
      </c>
      <c r="BR45" s="137">
        <v>0</v>
      </c>
      <c r="BS45" s="137">
        <v>0</v>
      </c>
      <c r="BT45" s="139">
        <v>2</v>
      </c>
      <c r="BU45" s="139">
        <v>1</v>
      </c>
      <c r="BV45" s="206">
        <v>2</v>
      </c>
    </row>
    <row r="46" spans="1:74" ht="17" thickBot="1" x14ac:dyDescent="0.5">
      <c r="A46" s="74" t="s">
        <v>264</v>
      </c>
      <c r="B46" s="54" t="s">
        <v>69</v>
      </c>
      <c r="C46" s="136">
        <v>2</v>
      </c>
      <c r="D46" s="137">
        <v>1</v>
      </c>
      <c r="E46" s="137">
        <v>2</v>
      </c>
      <c r="F46" s="137">
        <v>0</v>
      </c>
      <c r="G46" s="137">
        <v>0</v>
      </c>
      <c r="H46" s="137">
        <v>1</v>
      </c>
      <c r="I46" s="137">
        <v>1</v>
      </c>
      <c r="J46" s="137">
        <v>2</v>
      </c>
      <c r="K46" s="137">
        <v>2</v>
      </c>
      <c r="L46" s="137">
        <v>0</v>
      </c>
      <c r="M46" s="137">
        <v>1</v>
      </c>
      <c r="N46" s="138">
        <v>1</v>
      </c>
      <c r="O46" s="137">
        <v>2</v>
      </c>
      <c r="P46" s="137">
        <v>0</v>
      </c>
      <c r="Q46" s="137">
        <v>2</v>
      </c>
      <c r="R46" s="137">
        <v>1</v>
      </c>
      <c r="S46" s="137">
        <v>1</v>
      </c>
      <c r="T46" s="137">
        <v>0</v>
      </c>
      <c r="U46" s="137">
        <v>0</v>
      </c>
      <c r="V46" s="137">
        <v>0</v>
      </c>
      <c r="W46" s="137">
        <v>0</v>
      </c>
      <c r="X46" s="139">
        <v>3</v>
      </c>
      <c r="Y46" s="139">
        <v>1</v>
      </c>
      <c r="Z46" s="140">
        <v>0</v>
      </c>
      <c r="AA46" s="141">
        <v>1</v>
      </c>
      <c r="AB46" s="139">
        <v>0</v>
      </c>
      <c r="AC46" s="139">
        <v>1</v>
      </c>
      <c r="AD46" s="139">
        <v>4</v>
      </c>
      <c r="AE46" s="139">
        <v>0</v>
      </c>
      <c r="AF46" s="140">
        <v>3</v>
      </c>
      <c r="AG46" s="141">
        <v>0</v>
      </c>
      <c r="AH46" s="139">
        <v>3</v>
      </c>
      <c r="AI46" s="139">
        <v>2</v>
      </c>
      <c r="AJ46" s="139">
        <v>0</v>
      </c>
      <c r="AK46" s="139">
        <v>1</v>
      </c>
      <c r="AL46" s="140">
        <v>2</v>
      </c>
      <c r="AM46" s="141">
        <v>5</v>
      </c>
      <c r="AN46" s="139">
        <v>2</v>
      </c>
      <c r="AO46" s="139">
        <v>1</v>
      </c>
      <c r="AP46" s="139">
        <v>5</v>
      </c>
      <c r="AQ46" s="139">
        <v>1</v>
      </c>
      <c r="AR46" s="140">
        <v>5</v>
      </c>
      <c r="AS46" s="141">
        <v>5</v>
      </c>
      <c r="AT46" s="139">
        <v>2</v>
      </c>
      <c r="AU46" s="139">
        <v>2</v>
      </c>
      <c r="AV46" s="139">
        <v>6</v>
      </c>
      <c r="AW46" s="139">
        <v>4</v>
      </c>
      <c r="AX46" s="140">
        <v>3</v>
      </c>
      <c r="AY46" s="137">
        <v>2</v>
      </c>
      <c r="AZ46" s="137">
        <v>3</v>
      </c>
      <c r="BA46" s="137">
        <v>2</v>
      </c>
      <c r="BB46" s="137">
        <v>2</v>
      </c>
      <c r="BC46" s="137">
        <v>5</v>
      </c>
      <c r="BD46" s="137">
        <v>2</v>
      </c>
      <c r="BE46" s="137">
        <v>3</v>
      </c>
      <c r="BF46" s="137">
        <v>2</v>
      </c>
      <c r="BG46" s="137">
        <v>1</v>
      </c>
      <c r="BH46" s="139">
        <v>0</v>
      </c>
      <c r="BI46" s="139">
        <v>3</v>
      </c>
      <c r="BJ46" s="140">
        <v>3</v>
      </c>
      <c r="BK46" s="137">
        <v>1</v>
      </c>
      <c r="BL46" s="137">
        <v>0</v>
      </c>
      <c r="BM46" s="137">
        <v>1</v>
      </c>
      <c r="BN46" s="137">
        <v>2</v>
      </c>
      <c r="BO46" s="137">
        <v>3</v>
      </c>
      <c r="BP46" s="137">
        <v>4</v>
      </c>
      <c r="BQ46" s="137">
        <v>1</v>
      </c>
      <c r="BR46" s="137">
        <v>2</v>
      </c>
      <c r="BS46" s="137">
        <v>0</v>
      </c>
      <c r="BT46" s="139">
        <v>5</v>
      </c>
      <c r="BU46" s="139">
        <v>1</v>
      </c>
      <c r="BV46" s="206">
        <v>1</v>
      </c>
    </row>
    <row r="47" spans="1:74" ht="17" thickBot="1" x14ac:dyDescent="0.5">
      <c r="A47" s="74" t="s">
        <v>266</v>
      </c>
      <c r="B47" s="54" t="s">
        <v>69</v>
      </c>
      <c r="C47" s="136">
        <v>1</v>
      </c>
      <c r="D47" s="137">
        <v>3</v>
      </c>
      <c r="E47" s="137">
        <v>2</v>
      </c>
      <c r="F47" s="137">
        <v>1</v>
      </c>
      <c r="G47" s="137">
        <v>0</v>
      </c>
      <c r="H47" s="137">
        <v>1</v>
      </c>
      <c r="I47" s="137">
        <v>3</v>
      </c>
      <c r="J47" s="137">
        <v>0</v>
      </c>
      <c r="K47" s="137">
        <v>1</v>
      </c>
      <c r="L47" s="137">
        <v>0</v>
      </c>
      <c r="M47" s="137">
        <v>0</v>
      </c>
      <c r="N47" s="138">
        <v>3</v>
      </c>
      <c r="O47" s="137">
        <v>4</v>
      </c>
      <c r="P47" s="137">
        <v>1</v>
      </c>
      <c r="Q47" s="137">
        <v>0</v>
      </c>
      <c r="R47" s="137">
        <v>3</v>
      </c>
      <c r="S47" s="137">
        <v>4</v>
      </c>
      <c r="T47" s="137">
        <v>2</v>
      </c>
      <c r="U47" s="137">
        <v>1</v>
      </c>
      <c r="V47" s="137">
        <v>1</v>
      </c>
      <c r="W47" s="137">
        <v>1</v>
      </c>
      <c r="X47" s="139">
        <v>1</v>
      </c>
      <c r="Y47" s="139">
        <v>0</v>
      </c>
      <c r="Z47" s="140">
        <v>1</v>
      </c>
      <c r="AA47" s="141">
        <v>2</v>
      </c>
      <c r="AB47" s="139">
        <v>1</v>
      </c>
      <c r="AC47" s="139">
        <v>1</v>
      </c>
      <c r="AD47" s="139">
        <v>0</v>
      </c>
      <c r="AE47" s="139">
        <v>2</v>
      </c>
      <c r="AF47" s="140">
        <v>3</v>
      </c>
      <c r="AG47" s="141">
        <v>2</v>
      </c>
      <c r="AH47" s="139">
        <v>0</v>
      </c>
      <c r="AI47" s="139">
        <v>2</v>
      </c>
      <c r="AJ47" s="139">
        <v>0</v>
      </c>
      <c r="AK47" s="139">
        <v>0</v>
      </c>
      <c r="AL47" s="140">
        <v>1</v>
      </c>
      <c r="AM47" s="141">
        <v>3</v>
      </c>
      <c r="AN47" s="139">
        <v>2</v>
      </c>
      <c r="AO47" s="139">
        <v>3</v>
      </c>
      <c r="AP47" s="139">
        <v>2</v>
      </c>
      <c r="AQ47" s="139">
        <v>1</v>
      </c>
      <c r="AR47" s="140">
        <v>0</v>
      </c>
      <c r="AS47" s="141">
        <v>2</v>
      </c>
      <c r="AT47" s="139">
        <v>1</v>
      </c>
      <c r="AU47" s="139">
        <v>0</v>
      </c>
      <c r="AV47" s="139">
        <v>0</v>
      </c>
      <c r="AW47" s="139">
        <v>3</v>
      </c>
      <c r="AX47" s="140">
        <v>3</v>
      </c>
      <c r="AY47" s="137">
        <v>2</v>
      </c>
      <c r="AZ47" s="137">
        <v>1</v>
      </c>
      <c r="BA47" s="137">
        <v>2</v>
      </c>
      <c r="BB47" s="137">
        <v>1</v>
      </c>
      <c r="BC47" s="137">
        <v>4</v>
      </c>
      <c r="BD47" s="137">
        <v>0</v>
      </c>
      <c r="BE47" s="137">
        <v>1</v>
      </c>
      <c r="BF47" s="137">
        <v>0</v>
      </c>
      <c r="BG47" s="137">
        <v>2</v>
      </c>
      <c r="BH47" s="139">
        <v>0</v>
      </c>
      <c r="BI47" s="139">
        <v>2</v>
      </c>
      <c r="BJ47" s="140">
        <v>0</v>
      </c>
      <c r="BK47" s="137">
        <v>0</v>
      </c>
      <c r="BL47" s="137">
        <v>5</v>
      </c>
      <c r="BM47" s="137">
        <v>3</v>
      </c>
      <c r="BN47" s="137">
        <v>1</v>
      </c>
      <c r="BO47" s="137">
        <v>2</v>
      </c>
      <c r="BP47" s="137">
        <v>1</v>
      </c>
      <c r="BQ47" s="137">
        <v>2</v>
      </c>
      <c r="BR47" s="137">
        <v>4</v>
      </c>
      <c r="BS47" s="137">
        <v>4</v>
      </c>
      <c r="BT47" s="139">
        <v>2</v>
      </c>
      <c r="BU47" s="139">
        <v>1</v>
      </c>
      <c r="BV47" s="206">
        <v>2</v>
      </c>
    </row>
    <row r="48" spans="1:74" ht="17" thickBot="1" x14ac:dyDescent="0.5">
      <c r="A48" s="74" t="s">
        <v>260</v>
      </c>
      <c r="B48" s="54" t="s">
        <v>69</v>
      </c>
      <c r="C48" s="136">
        <v>1</v>
      </c>
      <c r="D48" s="137">
        <v>1</v>
      </c>
      <c r="E48" s="137">
        <v>0</v>
      </c>
      <c r="F48" s="137">
        <v>0</v>
      </c>
      <c r="G48" s="137">
        <v>0</v>
      </c>
      <c r="H48" s="137">
        <v>0</v>
      </c>
      <c r="I48" s="137">
        <v>1</v>
      </c>
      <c r="J48" s="137">
        <v>0</v>
      </c>
      <c r="K48" s="137">
        <v>2</v>
      </c>
      <c r="L48" s="137">
        <v>1</v>
      </c>
      <c r="M48" s="137">
        <v>3</v>
      </c>
      <c r="N48" s="138">
        <v>0</v>
      </c>
      <c r="O48" s="137">
        <v>0</v>
      </c>
      <c r="P48" s="137">
        <v>0</v>
      </c>
      <c r="Q48" s="137">
        <v>0</v>
      </c>
      <c r="R48" s="137">
        <v>1</v>
      </c>
      <c r="S48" s="137">
        <v>2</v>
      </c>
      <c r="T48" s="137">
        <v>0</v>
      </c>
      <c r="U48" s="137">
        <v>0</v>
      </c>
      <c r="V48" s="137">
        <v>1</v>
      </c>
      <c r="W48" s="137">
        <v>3</v>
      </c>
      <c r="X48" s="139">
        <v>4</v>
      </c>
      <c r="Y48" s="139">
        <v>5</v>
      </c>
      <c r="Z48" s="140">
        <v>1</v>
      </c>
      <c r="AA48" s="141">
        <v>2</v>
      </c>
      <c r="AB48" s="139">
        <v>1</v>
      </c>
      <c r="AC48" s="139">
        <v>0</v>
      </c>
      <c r="AD48" s="139">
        <v>0</v>
      </c>
      <c r="AE48" s="139">
        <v>3</v>
      </c>
      <c r="AF48" s="140">
        <v>0</v>
      </c>
      <c r="AG48" s="141">
        <v>0</v>
      </c>
      <c r="AH48" s="139">
        <v>0</v>
      </c>
      <c r="AI48" s="139">
        <v>0</v>
      </c>
      <c r="AJ48" s="139">
        <v>2</v>
      </c>
      <c r="AK48" s="139">
        <v>1</v>
      </c>
      <c r="AL48" s="140">
        <v>3</v>
      </c>
      <c r="AM48" s="141">
        <v>3</v>
      </c>
      <c r="AN48" s="139">
        <v>1</v>
      </c>
      <c r="AO48" s="139">
        <v>2</v>
      </c>
      <c r="AP48" s="139">
        <v>1</v>
      </c>
      <c r="AQ48" s="139">
        <v>2</v>
      </c>
      <c r="AR48" s="140">
        <v>0</v>
      </c>
      <c r="AS48" s="141">
        <v>1</v>
      </c>
      <c r="AT48" s="139">
        <v>1</v>
      </c>
      <c r="AU48" s="139">
        <v>5</v>
      </c>
      <c r="AV48" s="139">
        <v>1</v>
      </c>
      <c r="AW48" s="139">
        <v>0</v>
      </c>
      <c r="AX48" s="140">
        <v>0</v>
      </c>
      <c r="AY48" s="137">
        <v>4</v>
      </c>
      <c r="AZ48" s="137">
        <v>0</v>
      </c>
      <c r="BA48" s="137">
        <v>2</v>
      </c>
      <c r="BB48" s="137">
        <v>1</v>
      </c>
      <c r="BC48" s="137">
        <v>1</v>
      </c>
      <c r="BD48" s="137">
        <v>0</v>
      </c>
      <c r="BE48" s="137">
        <v>1</v>
      </c>
      <c r="BF48" s="137">
        <v>1</v>
      </c>
      <c r="BG48" s="137">
        <v>2</v>
      </c>
      <c r="BH48" s="139">
        <v>1</v>
      </c>
      <c r="BI48" s="139">
        <v>4</v>
      </c>
      <c r="BJ48" s="140">
        <v>2</v>
      </c>
      <c r="BK48" s="137">
        <v>2</v>
      </c>
      <c r="BL48" s="137">
        <v>1</v>
      </c>
      <c r="BM48" s="137">
        <v>4</v>
      </c>
      <c r="BN48" s="137">
        <v>0</v>
      </c>
      <c r="BO48" s="137">
        <v>4</v>
      </c>
      <c r="BP48" s="137">
        <v>3</v>
      </c>
      <c r="BQ48" s="137">
        <v>0</v>
      </c>
      <c r="BR48" s="137">
        <v>2</v>
      </c>
      <c r="BS48" s="137">
        <v>1</v>
      </c>
      <c r="BT48" s="139">
        <v>3</v>
      </c>
      <c r="BU48" s="139"/>
      <c r="BV48" s="206"/>
    </row>
    <row r="49" spans="1:74" ht="17" thickBot="1" x14ac:dyDescent="0.5">
      <c r="A49" s="74" t="s">
        <v>205</v>
      </c>
      <c r="B49" s="54" t="s">
        <v>69</v>
      </c>
      <c r="C49" s="136">
        <v>7</v>
      </c>
      <c r="D49" s="137">
        <v>3</v>
      </c>
      <c r="E49" s="137">
        <v>7</v>
      </c>
      <c r="F49" s="137">
        <v>2</v>
      </c>
      <c r="G49" s="137">
        <v>5</v>
      </c>
      <c r="H49" s="137">
        <v>4</v>
      </c>
      <c r="I49" s="137">
        <v>4</v>
      </c>
      <c r="J49" s="137">
        <v>8</v>
      </c>
      <c r="K49" s="137">
        <v>8</v>
      </c>
      <c r="L49" s="137">
        <v>5</v>
      </c>
      <c r="M49" s="137">
        <v>6</v>
      </c>
      <c r="N49" s="138">
        <v>6</v>
      </c>
      <c r="O49" s="137">
        <v>7</v>
      </c>
      <c r="P49" s="137">
        <v>4</v>
      </c>
      <c r="Q49" s="137">
        <v>0</v>
      </c>
      <c r="R49" s="137">
        <v>1</v>
      </c>
      <c r="S49" s="137">
        <v>9</v>
      </c>
      <c r="T49" s="137">
        <v>5</v>
      </c>
      <c r="U49" s="137">
        <v>5</v>
      </c>
      <c r="V49" s="137">
        <v>5</v>
      </c>
      <c r="W49" s="137">
        <v>6</v>
      </c>
      <c r="X49" s="139">
        <v>6</v>
      </c>
      <c r="Y49" s="139">
        <v>10</v>
      </c>
      <c r="Z49" s="140">
        <v>15</v>
      </c>
      <c r="AA49" s="141">
        <v>12</v>
      </c>
      <c r="AB49" s="139">
        <v>4</v>
      </c>
      <c r="AC49" s="139">
        <v>6</v>
      </c>
      <c r="AD49" s="139">
        <v>9</v>
      </c>
      <c r="AE49" s="139">
        <v>5</v>
      </c>
      <c r="AF49" s="140">
        <v>10</v>
      </c>
      <c r="AG49" s="141">
        <v>7</v>
      </c>
      <c r="AH49" s="139">
        <v>9</v>
      </c>
      <c r="AI49" s="139">
        <v>8</v>
      </c>
      <c r="AJ49" s="139">
        <v>15</v>
      </c>
      <c r="AK49" s="139">
        <v>7</v>
      </c>
      <c r="AL49" s="140">
        <v>8</v>
      </c>
      <c r="AM49" s="141">
        <v>6</v>
      </c>
      <c r="AN49" s="139">
        <v>4</v>
      </c>
      <c r="AO49" s="139">
        <v>10</v>
      </c>
      <c r="AP49" s="139">
        <v>12</v>
      </c>
      <c r="AQ49" s="139">
        <v>4</v>
      </c>
      <c r="AR49" s="140">
        <v>8</v>
      </c>
      <c r="AS49" s="141">
        <v>12</v>
      </c>
      <c r="AT49" s="139">
        <v>6</v>
      </c>
      <c r="AU49" s="139">
        <v>7</v>
      </c>
      <c r="AV49" s="139">
        <v>13</v>
      </c>
      <c r="AW49" s="139">
        <v>8</v>
      </c>
      <c r="AX49" s="140">
        <v>9</v>
      </c>
      <c r="AY49" s="137">
        <v>9</v>
      </c>
      <c r="AZ49" s="137">
        <v>4</v>
      </c>
      <c r="BA49" s="137">
        <v>4</v>
      </c>
      <c r="BB49" s="137">
        <v>6</v>
      </c>
      <c r="BC49" s="137">
        <v>3</v>
      </c>
      <c r="BD49" s="137">
        <v>7</v>
      </c>
      <c r="BE49" s="137">
        <v>4</v>
      </c>
      <c r="BF49" s="137">
        <v>3</v>
      </c>
      <c r="BG49" s="137">
        <v>7</v>
      </c>
      <c r="BH49" s="139">
        <v>5</v>
      </c>
      <c r="BI49" s="139">
        <v>7</v>
      </c>
      <c r="BJ49" s="140">
        <v>6</v>
      </c>
      <c r="BK49" s="137">
        <v>6</v>
      </c>
      <c r="BL49" s="137">
        <v>2</v>
      </c>
      <c r="BM49" s="137">
        <v>6</v>
      </c>
      <c r="BN49" s="137">
        <v>6</v>
      </c>
      <c r="BO49" s="137">
        <v>9</v>
      </c>
      <c r="BP49" s="137">
        <v>9</v>
      </c>
      <c r="BQ49" s="137">
        <v>9</v>
      </c>
      <c r="BR49" s="137">
        <v>2</v>
      </c>
      <c r="BS49" s="137">
        <v>1</v>
      </c>
      <c r="BT49" s="139">
        <v>8</v>
      </c>
      <c r="BU49" s="139">
        <v>2</v>
      </c>
      <c r="BV49" s="206">
        <v>4</v>
      </c>
    </row>
    <row r="50" spans="1:74" ht="17" thickBot="1" x14ac:dyDescent="0.5">
      <c r="A50" s="74" t="s">
        <v>294</v>
      </c>
      <c r="B50" s="54" t="s">
        <v>69</v>
      </c>
      <c r="C50" s="136">
        <v>0</v>
      </c>
      <c r="D50" s="137">
        <v>0</v>
      </c>
      <c r="E50" s="137">
        <v>1</v>
      </c>
      <c r="F50" s="137">
        <v>0</v>
      </c>
      <c r="G50" s="137">
        <v>1</v>
      </c>
      <c r="H50" s="137">
        <v>0</v>
      </c>
      <c r="I50" s="137">
        <v>0</v>
      </c>
      <c r="J50" s="137">
        <v>0</v>
      </c>
      <c r="K50" s="137">
        <v>0</v>
      </c>
      <c r="L50" s="137">
        <v>0</v>
      </c>
      <c r="M50" s="137">
        <v>0</v>
      </c>
      <c r="N50" s="138">
        <v>0</v>
      </c>
      <c r="O50" s="137">
        <v>2</v>
      </c>
      <c r="P50" s="137">
        <v>0</v>
      </c>
      <c r="Q50" s="137">
        <v>0</v>
      </c>
      <c r="R50" s="137">
        <v>0</v>
      </c>
      <c r="S50" s="137">
        <v>1</v>
      </c>
      <c r="T50" s="137">
        <v>1</v>
      </c>
      <c r="U50" s="137">
        <v>1</v>
      </c>
      <c r="V50" s="137">
        <v>0</v>
      </c>
      <c r="W50" s="137">
        <v>0</v>
      </c>
      <c r="X50" s="139">
        <v>0</v>
      </c>
      <c r="Y50" s="139">
        <v>0</v>
      </c>
      <c r="Z50" s="140">
        <v>0</v>
      </c>
      <c r="AA50" s="141">
        <v>0</v>
      </c>
      <c r="AB50" s="139">
        <v>0</v>
      </c>
      <c r="AC50" s="139">
        <v>0</v>
      </c>
      <c r="AD50" s="139">
        <v>2</v>
      </c>
      <c r="AE50" s="139">
        <v>0</v>
      </c>
      <c r="AF50" s="140">
        <v>1</v>
      </c>
      <c r="AG50" s="141">
        <v>1</v>
      </c>
      <c r="AH50" s="139">
        <v>2</v>
      </c>
      <c r="AI50" s="139">
        <v>0</v>
      </c>
      <c r="AJ50" s="139">
        <v>0</v>
      </c>
      <c r="AK50" s="139">
        <v>0</v>
      </c>
      <c r="AL50" s="140">
        <v>0</v>
      </c>
      <c r="AM50" s="141">
        <v>1</v>
      </c>
      <c r="AN50" s="139">
        <v>1</v>
      </c>
      <c r="AO50" s="139">
        <v>0</v>
      </c>
      <c r="AP50" s="139">
        <v>0</v>
      </c>
      <c r="AQ50" s="139">
        <v>0</v>
      </c>
      <c r="AR50" s="140">
        <v>11</v>
      </c>
      <c r="AS50" s="141">
        <v>0</v>
      </c>
      <c r="AT50" s="139">
        <v>0</v>
      </c>
      <c r="AU50" s="139">
        <v>0</v>
      </c>
      <c r="AV50" s="139">
        <v>2</v>
      </c>
      <c r="AW50" s="139">
        <v>1</v>
      </c>
      <c r="AX50" s="140">
        <v>1</v>
      </c>
      <c r="AY50" s="137">
        <v>2</v>
      </c>
      <c r="AZ50" s="137">
        <v>1</v>
      </c>
      <c r="BA50" s="137">
        <v>0</v>
      </c>
      <c r="BB50" s="137">
        <v>0</v>
      </c>
      <c r="BC50" s="137">
        <v>0</v>
      </c>
      <c r="BD50" s="137">
        <v>0</v>
      </c>
      <c r="BE50" s="137">
        <v>0</v>
      </c>
      <c r="BF50" s="137">
        <v>0</v>
      </c>
      <c r="BG50" s="137">
        <v>0</v>
      </c>
      <c r="BH50" s="139">
        <v>0</v>
      </c>
      <c r="BI50" s="139">
        <v>0</v>
      </c>
      <c r="BJ50" s="140">
        <v>0</v>
      </c>
      <c r="BK50" s="137">
        <v>0</v>
      </c>
      <c r="BL50" s="137">
        <v>0</v>
      </c>
      <c r="BM50" s="137">
        <v>0</v>
      </c>
      <c r="BN50" s="137">
        <v>0</v>
      </c>
      <c r="BO50" s="137">
        <v>0</v>
      </c>
      <c r="BP50" s="137">
        <v>1</v>
      </c>
      <c r="BQ50" s="137">
        <v>0</v>
      </c>
      <c r="BR50" s="137">
        <v>0</v>
      </c>
      <c r="BS50" s="137">
        <v>1</v>
      </c>
      <c r="BT50" s="139">
        <v>0</v>
      </c>
      <c r="BU50" s="139">
        <v>0</v>
      </c>
      <c r="BV50" s="206">
        <v>1</v>
      </c>
    </row>
    <row r="51" spans="1:74" ht="17" thickBot="1" x14ac:dyDescent="0.5">
      <c r="A51" s="74" t="s">
        <v>223</v>
      </c>
      <c r="B51" s="54" t="s">
        <v>69</v>
      </c>
      <c r="C51" s="136">
        <v>0</v>
      </c>
      <c r="D51" s="137">
        <v>0</v>
      </c>
      <c r="E51" s="137">
        <v>0</v>
      </c>
      <c r="F51" s="137">
        <v>0</v>
      </c>
      <c r="G51" s="137">
        <v>0</v>
      </c>
      <c r="H51" s="137">
        <v>0</v>
      </c>
      <c r="I51" s="137">
        <v>0</v>
      </c>
      <c r="J51" s="137">
        <v>0</v>
      </c>
      <c r="K51" s="137">
        <v>0</v>
      </c>
      <c r="L51" s="137">
        <v>1</v>
      </c>
      <c r="M51" s="137">
        <v>0</v>
      </c>
      <c r="N51" s="138">
        <v>0</v>
      </c>
      <c r="O51" s="137">
        <v>0</v>
      </c>
      <c r="P51" s="137">
        <v>0</v>
      </c>
      <c r="Q51" s="137">
        <v>1</v>
      </c>
      <c r="R51" s="137">
        <v>1</v>
      </c>
      <c r="S51" s="137">
        <v>0</v>
      </c>
      <c r="T51" s="137">
        <v>1</v>
      </c>
      <c r="U51" s="137">
        <v>0</v>
      </c>
      <c r="V51" s="137">
        <v>0</v>
      </c>
      <c r="W51" s="137">
        <v>0</v>
      </c>
      <c r="X51" s="139">
        <v>0</v>
      </c>
      <c r="Y51" s="139">
        <v>0</v>
      </c>
      <c r="Z51" s="140">
        <v>0</v>
      </c>
      <c r="AA51" s="141">
        <v>0</v>
      </c>
      <c r="AB51" s="139">
        <v>0</v>
      </c>
      <c r="AC51" s="139">
        <v>0</v>
      </c>
      <c r="AD51" s="139">
        <v>0</v>
      </c>
      <c r="AE51" s="139">
        <v>0</v>
      </c>
      <c r="AF51" s="140">
        <v>0</v>
      </c>
      <c r="AG51" s="141">
        <v>0</v>
      </c>
      <c r="AH51" s="139">
        <v>0</v>
      </c>
      <c r="AI51" s="139">
        <v>0</v>
      </c>
      <c r="AJ51" s="139">
        <v>0</v>
      </c>
      <c r="AK51" s="139">
        <v>0</v>
      </c>
      <c r="AL51" s="140">
        <v>0</v>
      </c>
      <c r="AM51" s="141">
        <v>1</v>
      </c>
      <c r="AN51" s="139">
        <v>0</v>
      </c>
      <c r="AO51" s="139">
        <v>0</v>
      </c>
      <c r="AP51" s="139">
        <v>0</v>
      </c>
      <c r="AQ51" s="139">
        <v>0</v>
      </c>
      <c r="AR51" s="140">
        <v>1</v>
      </c>
      <c r="AS51" s="141">
        <v>0</v>
      </c>
      <c r="AT51" s="139">
        <v>0</v>
      </c>
      <c r="AU51" s="139">
        <v>0</v>
      </c>
      <c r="AV51" s="139">
        <v>1</v>
      </c>
      <c r="AW51" s="139">
        <v>0</v>
      </c>
      <c r="AX51" s="140">
        <v>0</v>
      </c>
      <c r="AY51" s="137">
        <v>0</v>
      </c>
      <c r="AZ51" s="137">
        <v>0</v>
      </c>
      <c r="BA51" s="137">
        <v>0</v>
      </c>
      <c r="BB51" s="137">
        <v>0</v>
      </c>
      <c r="BC51" s="137">
        <v>0</v>
      </c>
      <c r="BD51" s="137">
        <v>1</v>
      </c>
      <c r="BE51" s="137">
        <v>0</v>
      </c>
      <c r="BF51" s="137">
        <v>0</v>
      </c>
      <c r="BG51" s="137">
        <v>0</v>
      </c>
      <c r="BH51" s="139">
        <v>0</v>
      </c>
      <c r="BI51" s="139">
        <v>1</v>
      </c>
      <c r="BJ51" s="140">
        <v>0</v>
      </c>
      <c r="BK51" s="137">
        <v>0</v>
      </c>
      <c r="BL51" s="137">
        <v>0</v>
      </c>
      <c r="BM51" s="137">
        <v>0</v>
      </c>
      <c r="BN51" s="137">
        <v>1</v>
      </c>
      <c r="BO51" s="137">
        <v>1</v>
      </c>
      <c r="BP51" s="137">
        <v>0</v>
      </c>
      <c r="BQ51" s="137">
        <v>0</v>
      </c>
      <c r="BR51" s="137">
        <v>0</v>
      </c>
      <c r="BS51" s="137">
        <v>0</v>
      </c>
      <c r="BT51" s="139">
        <v>0</v>
      </c>
      <c r="BU51" s="139">
        <v>1</v>
      </c>
      <c r="BV51" s="206">
        <v>3</v>
      </c>
    </row>
    <row r="52" spans="1:74" ht="17" thickBot="1" x14ac:dyDescent="0.5">
      <c r="A52" s="74" t="s">
        <v>222</v>
      </c>
      <c r="B52" s="54" t="s">
        <v>69</v>
      </c>
      <c r="C52" s="136">
        <v>2</v>
      </c>
      <c r="D52" s="137">
        <v>2</v>
      </c>
      <c r="E52" s="137">
        <v>1</v>
      </c>
      <c r="F52" s="137">
        <v>3</v>
      </c>
      <c r="G52" s="137">
        <v>1</v>
      </c>
      <c r="H52" s="137">
        <v>0</v>
      </c>
      <c r="I52" s="137">
        <v>0</v>
      </c>
      <c r="J52" s="137">
        <v>0</v>
      </c>
      <c r="K52" s="137">
        <v>2</v>
      </c>
      <c r="L52" s="137">
        <v>0</v>
      </c>
      <c r="M52" s="137">
        <v>1</v>
      </c>
      <c r="N52" s="138">
        <v>2</v>
      </c>
      <c r="O52" s="137">
        <v>1</v>
      </c>
      <c r="P52" s="137">
        <v>3</v>
      </c>
      <c r="Q52" s="137">
        <v>0</v>
      </c>
      <c r="R52" s="137">
        <v>0</v>
      </c>
      <c r="S52" s="137">
        <v>5</v>
      </c>
      <c r="T52" s="137">
        <v>1</v>
      </c>
      <c r="U52" s="137">
        <v>2</v>
      </c>
      <c r="V52" s="137">
        <v>1</v>
      </c>
      <c r="W52" s="137">
        <v>2</v>
      </c>
      <c r="X52" s="139">
        <v>4</v>
      </c>
      <c r="Y52" s="139">
        <v>1</v>
      </c>
      <c r="Z52" s="140">
        <v>1</v>
      </c>
      <c r="AA52" s="141">
        <v>1</v>
      </c>
      <c r="AB52" s="139">
        <v>2</v>
      </c>
      <c r="AC52" s="139">
        <v>1</v>
      </c>
      <c r="AD52" s="139">
        <v>1</v>
      </c>
      <c r="AE52" s="139">
        <v>1</v>
      </c>
      <c r="AF52" s="140">
        <v>0</v>
      </c>
      <c r="AG52" s="141">
        <v>2</v>
      </c>
      <c r="AH52" s="139">
        <v>1</v>
      </c>
      <c r="AI52" s="139">
        <v>0</v>
      </c>
      <c r="AJ52" s="139">
        <v>3</v>
      </c>
      <c r="AK52" s="139">
        <v>1</v>
      </c>
      <c r="AL52" s="140">
        <v>2</v>
      </c>
      <c r="AM52" s="141">
        <v>1</v>
      </c>
      <c r="AN52" s="139">
        <v>2</v>
      </c>
      <c r="AO52" s="139">
        <v>0</v>
      </c>
      <c r="AP52" s="139">
        <v>2</v>
      </c>
      <c r="AQ52" s="139">
        <v>0</v>
      </c>
      <c r="AR52" s="140">
        <v>2</v>
      </c>
      <c r="AS52" s="141">
        <v>2</v>
      </c>
      <c r="AT52" s="139">
        <v>1</v>
      </c>
      <c r="AU52" s="139">
        <v>2</v>
      </c>
      <c r="AV52" s="139">
        <v>0</v>
      </c>
      <c r="AW52" s="139">
        <v>2</v>
      </c>
      <c r="AX52" s="140">
        <v>1</v>
      </c>
      <c r="AY52" s="137">
        <v>1</v>
      </c>
      <c r="AZ52" s="137">
        <v>1</v>
      </c>
      <c r="BA52" s="137">
        <v>3</v>
      </c>
      <c r="BB52" s="137">
        <v>1</v>
      </c>
      <c r="BC52" s="137">
        <v>1</v>
      </c>
      <c r="BD52" s="137">
        <v>2</v>
      </c>
      <c r="BE52" s="137">
        <v>2</v>
      </c>
      <c r="BF52" s="137">
        <v>0</v>
      </c>
      <c r="BG52" s="137">
        <v>0</v>
      </c>
      <c r="BH52" s="139">
        <v>4</v>
      </c>
      <c r="BI52" s="139">
        <v>2</v>
      </c>
      <c r="BJ52" s="140">
        <v>0</v>
      </c>
      <c r="BK52" s="137">
        <v>1</v>
      </c>
      <c r="BL52" s="137">
        <v>4</v>
      </c>
      <c r="BM52" s="137">
        <v>4</v>
      </c>
      <c r="BN52" s="137">
        <v>4</v>
      </c>
      <c r="BO52" s="137">
        <v>1</v>
      </c>
      <c r="BP52" s="137">
        <v>2</v>
      </c>
      <c r="BQ52" s="137">
        <v>1</v>
      </c>
      <c r="BR52" s="137">
        <v>2</v>
      </c>
      <c r="BS52" s="137">
        <v>2</v>
      </c>
      <c r="BT52" s="139">
        <v>2</v>
      </c>
      <c r="BU52" s="139">
        <v>6</v>
      </c>
      <c r="BV52" s="206">
        <v>6</v>
      </c>
    </row>
    <row r="53" spans="1:74" ht="17" thickBot="1" x14ac:dyDescent="0.5">
      <c r="A53" s="74" t="s">
        <v>268</v>
      </c>
      <c r="B53" s="54" t="s">
        <v>69</v>
      </c>
      <c r="C53" s="136">
        <v>0</v>
      </c>
      <c r="D53" s="137">
        <v>0</v>
      </c>
      <c r="E53" s="137">
        <v>0</v>
      </c>
      <c r="F53" s="137">
        <v>0</v>
      </c>
      <c r="G53" s="137">
        <v>0</v>
      </c>
      <c r="H53" s="137">
        <v>0</v>
      </c>
      <c r="I53" s="137">
        <v>0</v>
      </c>
      <c r="J53" s="137">
        <v>0</v>
      </c>
      <c r="K53" s="137">
        <v>1</v>
      </c>
      <c r="L53" s="137">
        <v>0</v>
      </c>
      <c r="M53" s="137">
        <v>0</v>
      </c>
      <c r="N53" s="138">
        <v>0</v>
      </c>
      <c r="O53" s="137">
        <v>1</v>
      </c>
      <c r="P53" s="137">
        <v>0</v>
      </c>
      <c r="Q53" s="137">
        <v>0</v>
      </c>
      <c r="R53" s="137">
        <v>0</v>
      </c>
      <c r="S53" s="137">
        <v>1</v>
      </c>
      <c r="T53" s="137">
        <v>0</v>
      </c>
      <c r="U53" s="137">
        <v>1</v>
      </c>
      <c r="V53" s="137">
        <v>0</v>
      </c>
      <c r="W53" s="137">
        <v>0</v>
      </c>
      <c r="X53" s="139">
        <v>0</v>
      </c>
      <c r="Y53" s="139">
        <v>1</v>
      </c>
      <c r="Z53" s="140">
        <v>0</v>
      </c>
      <c r="AA53" s="141">
        <v>0</v>
      </c>
      <c r="AB53" s="139">
        <v>0</v>
      </c>
      <c r="AC53" s="139">
        <v>2</v>
      </c>
      <c r="AD53" s="139">
        <v>0</v>
      </c>
      <c r="AE53" s="139">
        <v>0</v>
      </c>
      <c r="AF53" s="140">
        <v>0</v>
      </c>
      <c r="AG53" s="141">
        <v>0</v>
      </c>
      <c r="AH53" s="139">
        <v>0</v>
      </c>
      <c r="AI53" s="139">
        <v>0</v>
      </c>
      <c r="AJ53" s="139">
        <v>0</v>
      </c>
      <c r="AK53" s="139">
        <v>0</v>
      </c>
      <c r="AL53" s="140">
        <v>0</v>
      </c>
      <c r="AM53" s="141">
        <v>0</v>
      </c>
      <c r="AN53" s="139">
        <v>0</v>
      </c>
      <c r="AO53" s="139">
        <v>0</v>
      </c>
      <c r="AP53" s="139">
        <v>0</v>
      </c>
      <c r="AQ53" s="139">
        <v>0</v>
      </c>
      <c r="AR53" s="140">
        <v>0</v>
      </c>
      <c r="AS53" s="141">
        <v>0</v>
      </c>
      <c r="AT53" s="139">
        <v>0</v>
      </c>
      <c r="AU53" s="139">
        <v>1</v>
      </c>
      <c r="AV53" s="139">
        <v>0</v>
      </c>
      <c r="AW53" s="139">
        <v>0</v>
      </c>
      <c r="AX53" s="140">
        <v>1</v>
      </c>
      <c r="AY53" s="137">
        <v>1</v>
      </c>
      <c r="AZ53" s="137">
        <v>0</v>
      </c>
      <c r="BA53" s="137">
        <v>0</v>
      </c>
      <c r="BB53" s="137">
        <v>0</v>
      </c>
      <c r="BC53" s="137">
        <v>0</v>
      </c>
      <c r="BD53" s="137">
        <v>1</v>
      </c>
      <c r="BE53" s="137">
        <v>0</v>
      </c>
      <c r="BF53" s="137">
        <v>0</v>
      </c>
      <c r="BG53" s="137">
        <v>1</v>
      </c>
      <c r="BH53" s="139">
        <v>0</v>
      </c>
      <c r="BI53" s="139">
        <v>0</v>
      </c>
      <c r="BJ53" s="140">
        <v>0</v>
      </c>
      <c r="BK53" s="137">
        <v>0</v>
      </c>
      <c r="BL53" s="137">
        <v>0</v>
      </c>
      <c r="BM53" s="137">
        <v>0</v>
      </c>
      <c r="BN53" s="137">
        <v>0</v>
      </c>
      <c r="BO53" s="137">
        <v>1</v>
      </c>
      <c r="BP53" s="137">
        <v>0</v>
      </c>
      <c r="BQ53" s="137">
        <v>0</v>
      </c>
      <c r="BR53" s="137">
        <v>0</v>
      </c>
      <c r="BS53" s="137">
        <v>1</v>
      </c>
      <c r="BT53" s="139">
        <v>1</v>
      </c>
      <c r="BU53" s="139">
        <v>0</v>
      </c>
      <c r="BV53" s="206">
        <v>0</v>
      </c>
    </row>
    <row r="54" spans="1:74" ht="17" thickBot="1" x14ac:dyDescent="0.5">
      <c r="A54" s="74" t="s">
        <v>295</v>
      </c>
      <c r="B54" s="54" t="s">
        <v>69</v>
      </c>
      <c r="C54" s="136">
        <v>0</v>
      </c>
      <c r="D54" s="137">
        <v>2</v>
      </c>
      <c r="E54" s="137">
        <v>1</v>
      </c>
      <c r="F54" s="137">
        <v>2</v>
      </c>
      <c r="G54" s="137">
        <v>0</v>
      </c>
      <c r="H54" s="137">
        <v>1</v>
      </c>
      <c r="I54" s="137">
        <v>1</v>
      </c>
      <c r="J54" s="137">
        <v>0</v>
      </c>
      <c r="K54" s="137">
        <v>1</v>
      </c>
      <c r="L54" s="137">
        <v>1</v>
      </c>
      <c r="M54" s="137">
        <v>2</v>
      </c>
      <c r="N54" s="138">
        <v>1</v>
      </c>
      <c r="O54" s="137">
        <v>0</v>
      </c>
      <c r="P54" s="137">
        <v>1</v>
      </c>
      <c r="Q54" s="137">
        <v>0</v>
      </c>
      <c r="R54" s="137">
        <v>1</v>
      </c>
      <c r="S54" s="137">
        <v>0</v>
      </c>
      <c r="T54" s="137">
        <v>1</v>
      </c>
      <c r="U54" s="137">
        <v>1</v>
      </c>
      <c r="V54" s="137">
        <v>0</v>
      </c>
      <c r="W54" s="137">
        <v>2</v>
      </c>
      <c r="X54" s="139">
        <v>2</v>
      </c>
      <c r="Y54" s="139">
        <v>2</v>
      </c>
      <c r="Z54" s="140">
        <v>4</v>
      </c>
      <c r="AA54" s="141">
        <v>2</v>
      </c>
      <c r="AB54" s="139">
        <v>0</v>
      </c>
      <c r="AC54" s="139">
        <v>3</v>
      </c>
      <c r="AD54" s="139">
        <v>1</v>
      </c>
      <c r="AE54" s="139">
        <v>1</v>
      </c>
      <c r="AF54" s="140">
        <v>2</v>
      </c>
      <c r="AG54" s="141">
        <v>0</v>
      </c>
      <c r="AH54" s="139">
        <v>1</v>
      </c>
      <c r="AI54" s="139">
        <v>0</v>
      </c>
      <c r="AJ54" s="139">
        <v>1</v>
      </c>
      <c r="AK54" s="139">
        <v>1</v>
      </c>
      <c r="AL54" s="140">
        <v>0</v>
      </c>
      <c r="AM54" s="141">
        <v>1</v>
      </c>
      <c r="AN54" s="139">
        <v>2</v>
      </c>
      <c r="AO54" s="139">
        <v>1</v>
      </c>
      <c r="AP54" s="139">
        <v>0</v>
      </c>
      <c r="AQ54" s="139">
        <v>0</v>
      </c>
      <c r="AR54" s="140">
        <v>0</v>
      </c>
      <c r="AS54" s="141">
        <v>2</v>
      </c>
      <c r="AT54" s="139">
        <v>0</v>
      </c>
      <c r="AU54" s="139">
        <v>1</v>
      </c>
      <c r="AV54" s="139">
        <v>1</v>
      </c>
      <c r="AW54" s="139">
        <v>0</v>
      </c>
      <c r="AX54" s="140">
        <v>0</v>
      </c>
      <c r="AY54" s="137">
        <v>0</v>
      </c>
      <c r="AZ54" s="137">
        <v>3</v>
      </c>
      <c r="BA54" s="137">
        <v>2</v>
      </c>
      <c r="BB54" s="137">
        <v>2</v>
      </c>
      <c r="BC54" s="137">
        <v>5</v>
      </c>
      <c r="BD54" s="137">
        <v>2</v>
      </c>
      <c r="BE54" s="137">
        <v>2</v>
      </c>
      <c r="BF54" s="137">
        <v>0</v>
      </c>
      <c r="BG54" s="137">
        <v>0</v>
      </c>
      <c r="BH54" s="139">
        <v>1</v>
      </c>
      <c r="BI54" s="139">
        <v>3</v>
      </c>
      <c r="BJ54" s="140">
        <v>1</v>
      </c>
      <c r="BK54" s="137">
        <v>3</v>
      </c>
      <c r="BL54" s="137">
        <v>2</v>
      </c>
      <c r="BM54" s="137">
        <v>2</v>
      </c>
      <c r="BN54" s="137">
        <v>0</v>
      </c>
      <c r="BO54" s="137">
        <v>0</v>
      </c>
      <c r="BP54" s="137">
        <v>1</v>
      </c>
      <c r="BQ54" s="137">
        <v>1</v>
      </c>
      <c r="BR54" s="137">
        <v>0</v>
      </c>
      <c r="BS54" s="137">
        <v>2</v>
      </c>
      <c r="BT54" s="139">
        <v>4</v>
      </c>
      <c r="BU54" s="139">
        <v>0</v>
      </c>
      <c r="BV54" s="206">
        <v>2</v>
      </c>
    </row>
    <row r="55" spans="1:74" ht="17" thickBot="1" x14ac:dyDescent="0.5">
      <c r="A55" s="74" t="s">
        <v>297</v>
      </c>
      <c r="B55" s="54" t="s">
        <v>69</v>
      </c>
      <c r="C55" s="136">
        <v>0</v>
      </c>
      <c r="D55" s="137">
        <v>0</v>
      </c>
      <c r="E55" s="137">
        <v>1</v>
      </c>
      <c r="F55" s="137">
        <v>0</v>
      </c>
      <c r="G55" s="137">
        <v>0</v>
      </c>
      <c r="H55" s="137">
        <v>0</v>
      </c>
      <c r="I55" s="137">
        <v>1</v>
      </c>
      <c r="J55" s="137">
        <v>1</v>
      </c>
      <c r="K55" s="137">
        <v>0</v>
      </c>
      <c r="L55" s="137">
        <v>1</v>
      </c>
      <c r="M55" s="137">
        <v>0</v>
      </c>
      <c r="N55" s="138">
        <v>1</v>
      </c>
      <c r="O55" s="137">
        <v>1</v>
      </c>
      <c r="P55" s="137">
        <v>0</v>
      </c>
      <c r="Q55" s="137">
        <v>0</v>
      </c>
      <c r="R55" s="137">
        <v>0</v>
      </c>
      <c r="S55" s="137">
        <v>1</v>
      </c>
      <c r="T55" s="137">
        <v>0</v>
      </c>
      <c r="U55" s="137">
        <v>0</v>
      </c>
      <c r="V55" s="137">
        <v>0</v>
      </c>
      <c r="W55" s="137">
        <v>1</v>
      </c>
      <c r="X55" s="139">
        <v>0</v>
      </c>
      <c r="Y55" s="139">
        <v>0</v>
      </c>
      <c r="Z55" s="140">
        <v>1</v>
      </c>
      <c r="AA55" s="141">
        <v>0</v>
      </c>
      <c r="AB55" s="139">
        <v>1</v>
      </c>
      <c r="AC55" s="139">
        <v>0</v>
      </c>
      <c r="AD55" s="139">
        <v>0</v>
      </c>
      <c r="AE55" s="139">
        <v>0</v>
      </c>
      <c r="AF55" s="140">
        <v>0</v>
      </c>
      <c r="AG55" s="141">
        <v>0</v>
      </c>
      <c r="AH55" s="139">
        <v>1</v>
      </c>
      <c r="AI55" s="139">
        <v>0</v>
      </c>
      <c r="AJ55" s="139">
        <v>0</v>
      </c>
      <c r="AK55" s="139">
        <v>0</v>
      </c>
      <c r="AL55" s="140">
        <v>1</v>
      </c>
      <c r="AM55" s="141">
        <v>2</v>
      </c>
      <c r="AN55" s="139">
        <v>0</v>
      </c>
      <c r="AO55" s="139">
        <v>1</v>
      </c>
      <c r="AP55" s="139">
        <v>1</v>
      </c>
      <c r="AQ55" s="139">
        <v>1</v>
      </c>
      <c r="AR55" s="140">
        <v>1</v>
      </c>
      <c r="AS55" s="141">
        <v>1</v>
      </c>
      <c r="AT55" s="139">
        <v>3</v>
      </c>
      <c r="AU55" s="139">
        <v>2</v>
      </c>
      <c r="AV55" s="139">
        <v>1</v>
      </c>
      <c r="AW55" s="139">
        <v>0</v>
      </c>
      <c r="AX55" s="140">
        <v>0</v>
      </c>
      <c r="AY55" s="137">
        <v>1</v>
      </c>
      <c r="AZ55" s="137">
        <v>0</v>
      </c>
      <c r="BA55" s="137">
        <v>0</v>
      </c>
      <c r="BB55" s="137">
        <v>0</v>
      </c>
      <c r="BC55" s="137">
        <v>0</v>
      </c>
      <c r="BD55" s="137">
        <v>0</v>
      </c>
      <c r="BE55" s="137">
        <v>1</v>
      </c>
      <c r="BF55" s="137">
        <v>1</v>
      </c>
      <c r="BG55" s="137">
        <v>1</v>
      </c>
      <c r="BH55" s="139">
        <v>1</v>
      </c>
      <c r="BI55" s="139">
        <v>0</v>
      </c>
      <c r="BJ55" s="140">
        <v>2</v>
      </c>
      <c r="BK55" s="137">
        <v>1</v>
      </c>
      <c r="BL55" s="137">
        <v>1</v>
      </c>
      <c r="BM55" s="137">
        <v>0</v>
      </c>
      <c r="BN55" s="137">
        <v>2</v>
      </c>
      <c r="BO55" s="137">
        <v>1</v>
      </c>
      <c r="BP55" s="137">
        <v>0</v>
      </c>
      <c r="BQ55" s="137">
        <v>0</v>
      </c>
      <c r="BR55" s="137">
        <v>0</v>
      </c>
      <c r="BS55" s="137">
        <v>0</v>
      </c>
      <c r="BT55" s="139">
        <v>2</v>
      </c>
      <c r="BU55" s="139">
        <v>0</v>
      </c>
      <c r="BV55" s="206">
        <v>0</v>
      </c>
    </row>
    <row r="56" spans="1:74" ht="17" thickBot="1" x14ac:dyDescent="0.5">
      <c r="A56" s="74" t="s">
        <v>196</v>
      </c>
      <c r="B56" s="54" t="s">
        <v>69</v>
      </c>
      <c r="C56" s="136">
        <v>0</v>
      </c>
      <c r="D56" s="137">
        <v>0</v>
      </c>
      <c r="E56" s="137">
        <v>1</v>
      </c>
      <c r="F56" s="137">
        <v>0</v>
      </c>
      <c r="G56" s="137">
        <v>0</v>
      </c>
      <c r="H56" s="137">
        <v>0</v>
      </c>
      <c r="I56" s="137">
        <v>2</v>
      </c>
      <c r="J56" s="137">
        <v>0</v>
      </c>
      <c r="K56" s="137">
        <v>1</v>
      </c>
      <c r="L56" s="137">
        <v>0</v>
      </c>
      <c r="M56" s="137">
        <v>0</v>
      </c>
      <c r="N56" s="138">
        <v>0</v>
      </c>
      <c r="O56" s="137">
        <v>0</v>
      </c>
      <c r="P56" s="137">
        <v>0</v>
      </c>
      <c r="Q56" s="137">
        <v>0</v>
      </c>
      <c r="R56" s="137">
        <v>1</v>
      </c>
      <c r="S56" s="137">
        <v>0</v>
      </c>
      <c r="T56" s="137">
        <v>0</v>
      </c>
      <c r="U56" s="137">
        <v>1</v>
      </c>
      <c r="V56" s="137">
        <v>0</v>
      </c>
      <c r="W56" s="137">
        <v>0</v>
      </c>
      <c r="X56" s="139">
        <v>0</v>
      </c>
      <c r="Y56" s="139">
        <v>2</v>
      </c>
      <c r="Z56" s="140">
        <v>1</v>
      </c>
      <c r="AA56" s="141">
        <v>0</v>
      </c>
      <c r="AB56" s="139">
        <v>0</v>
      </c>
      <c r="AC56" s="139">
        <v>0</v>
      </c>
      <c r="AD56" s="139">
        <v>1</v>
      </c>
      <c r="AE56" s="139">
        <v>1</v>
      </c>
      <c r="AF56" s="140">
        <v>0</v>
      </c>
      <c r="AG56" s="141">
        <v>0</v>
      </c>
      <c r="AH56" s="139">
        <v>0</v>
      </c>
      <c r="AI56" s="139">
        <v>0</v>
      </c>
      <c r="AJ56" s="139">
        <v>0</v>
      </c>
      <c r="AK56" s="139">
        <v>0</v>
      </c>
      <c r="AL56" s="140">
        <v>0</v>
      </c>
      <c r="AM56" s="141">
        <v>0</v>
      </c>
      <c r="AN56" s="139">
        <v>0</v>
      </c>
      <c r="AO56" s="139">
        <v>0</v>
      </c>
      <c r="AP56" s="139">
        <v>0</v>
      </c>
      <c r="AQ56" s="139">
        <v>0</v>
      </c>
      <c r="AR56" s="140">
        <v>0</v>
      </c>
      <c r="AS56" s="141">
        <v>0</v>
      </c>
      <c r="AT56" s="139">
        <v>1</v>
      </c>
      <c r="AU56" s="139">
        <v>0</v>
      </c>
      <c r="AV56" s="139">
        <v>0</v>
      </c>
      <c r="AW56" s="139">
        <v>0</v>
      </c>
      <c r="AX56" s="140">
        <v>0</v>
      </c>
      <c r="AY56" s="137">
        <v>0</v>
      </c>
      <c r="AZ56" s="137">
        <v>1</v>
      </c>
      <c r="BA56" s="137">
        <v>0</v>
      </c>
      <c r="BB56" s="137">
        <v>2</v>
      </c>
      <c r="BC56" s="137">
        <v>0</v>
      </c>
      <c r="BD56" s="137">
        <v>0</v>
      </c>
      <c r="BE56" s="137">
        <v>0</v>
      </c>
      <c r="BF56" s="137">
        <v>0</v>
      </c>
      <c r="BG56" s="137">
        <v>0</v>
      </c>
      <c r="BH56" s="139">
        <v>1</v>
      </c>
      <c r="BI56" s="139">
        <v>0</v>
      </c>
      <c r="BJ56" s="140">
        <v>0</v>
      </c>
      <c r="BK56" s="137">
        <v>1</v>
      </c>
      <c r="BL56" s="137">
        <v>0</v>
      </c>
      <c r="BM56" s="137">
        <v>0</v>
      </c>
      <c r="BN56" s="137">
        <v>0</v>
      </c>
      <c r="BO56" s="137">
        <v>0</v>
      </c>
      <c r="BP56" s="137">
        <v>0</v>
      </c>
      <c r="BQ56" s="137">
        <v>0</v>
      </c>
      <c r="BR56" s="137">
        <v>0</v>
      </c>
      <c r="BS56" s="137">
        <v>0</v>
      </c>
      <c r="BT56" s="139">
        <v>0</v>
      </c>
      <c r="BU56" s="139">
        <v>0</v>
      </c>
      <c r="BV56" s="206">
        <v>1</v>
      </c>
    </row>
    <row r="57" spans="1:74" ht="17" thickBot="1" x14ac:dyDescent="0.5">
      <c r="A57" s="74" t="s">
        <v>197</v>
      </c>
      <c r="B57" s="54" t="s">
        <v>69</v>
      </c>
      <c r="C57" s="136">
        <v>1</v>
      </c>
      <c r="D57" s="137">
        <v>1</v>
      </c>
      <c r="E57" s="137">
        <v>0</v>
      </c>
      <c r="F57" s="137">
        <v>2</v>
      </c>
      <c r="G57" s="137">
        <v>0</v>
      </c>
      <c r="H57" s="137">
        <v>1</v>
      </c>
      <c r="I57" s="137">
        <v>2</v>
      </c>
      <c r="J57" s="137">
        <v>2</v>
      </c>
      <c r="K57" s="137">
        <v>1</v>
      </c>
      <c r="L57" s="137">
        <v>0</v>
      </c>
      <c r="M57" s="137">
        <v>1</v>
      </c>
      <c r="N57" s="138">
        <v>0</v>
      </c>
      <c r="O57" s="137">
        <v>0</v>
      </c>
      <c r="P57" s="137">
        <v>1</v>
      </c>
      <c r="Q57" s="137">
        <v>0</v>
      </c>
      <c r="R57" s="137">
        <v>2</v>
      </c>
      <c r="S57" s="137">
        <v>1</v>
      </c>
      <c r="T57" s="137">
        <v>0</v>
      </c>
      <c r="U57" s="137">
        <v>1</v>
      </c>
      <c r="V57" s="137">
        <v>0</v>
      </c>
      <c r="W57" s="137">
        <v>0</v>
      </c>
      <c r="X57" s="139">
        <v>2</v>
      </c>
      <c r="Y57" s="139">
        <v>0</v>
      </c>
      <c r="Z57" s="140">
        <v>3</v>
      </c>
      <c r="AA57" s="141">
        <v>2</v>
      </c>
      <c r="AB57" s="139">
        <v>0</v>
      </c>
      <c r="AC57" s="139">
        <v>0</v>
      </c>
      <c r="AD57" s="139">
        <v>1</v>
      </c>
      <c r="AE57" s="139">
        <v>3</v>
      </c>
      <c r="AF57" s="140">
        <v>1</v>
      </c>
      <c r="AG57" s="141">
        <v>0</v>
      </c>
      <c r="AH57" s="139">
        <v>1</v>
      </c>
      <c r="AI57" s="139">
        <v>1</v>
      </c>
      <c r="AJ57" s="139">
        <v>0</v>
      </c>
      <c r="AK57" s="139">
        <v>2</v>
      </c>
      <c r="AL57" s="140">
        <v>1</v>
      </c>
      <c r="AM57" s="141">
        <v>0</v>
      </c>
      <c r="AN57" s="139">
        <v>1</v>
      </c>
      <c r="AO57" s="139">
        <v>1</v>
      </c>
      <c r="AP57" s="139">
        <v>1</v>
      </c>
      <c r="AQ57" s="139">
        <v>0</v>
      </c>
      <c r="AR57" s="140">
        <v>0</v>
      </c>
      <c r="AS57" s="141">
        <v>1</v>
      </c>
      <c r="AT57" s="139">
        <v>0</v>
      </c>
      <c r="AU57" s="139">
        <v>0</v>
      </c>
      <c r="AV57" s="139">
        <v>0</v>
      </c>
      <c r="AW57" s="139">
        <v>0</v>
      </c>
      <c r="AX57" s="140">
        <v>0</v>
      </c>
      <c r="AY57" s="137">
        <v>1</v>
      </c>
      <c r="AZ57" s="137">
        <v>0</v>
      </c>
      <c r="BA57" s="137">
        <v>0</v>
      </c>
      <c r="BB57" s="137">
        <v>0</v>
      </c>
      <c r="BC57" s="137">
        <v>0</v>
      </c>
      <c r="BD57" s="137">
        <v>0</v>
      </c>
      <c r="BE57" s="137">
        <v>0</v>
      </c>
      <c r="BF57" s="137">
        <v>3</v>
      </c>
      <c r="BG57" s="137">
        <v>0</v>
      </c>
      <c r="BH57" s="139">
        <v>0</v>
      </c>
      <c r="BI57" s="139">
        <v>1</v>
      </c>
      <c r="BJ57" s="140">
        <v>0</v>
      </c>
      <c r="BK57" s="137">
        <v>1</v>
      </c>
      <c r="BL57" s="137">
        <v>0</v>
      </c>
      <c r="BM57" s="137">
        <v>2</v>
      </c>
      <c r="BN57" s="137">
        <v>2</v>
      </c>
      <c r="BO57" s="137">
        <v>2</v>
      </c>
      <c r="BP57" s="137">
        <v>0</v>
      </c>
      <c r="BQ57" s="137">
        <v>1</v>
      </c>
      <c r="BR57" s="137">
        <v>0</v>
      </c>
      <c r="BS57" s="137">
        <v>2</v>
      </c>
      <c r="BT57" s="139">
        <v>0</v>
      </c>
      <c r="BU57" s="139">
        <v>4</v>
      </c>
      <c r="BV57" s="206">
        <v>0</v>
      </c>
    </row>
    <row r="58" spans="1:74" ht="17" thickBot="1" x14ac:dyDescent="0.5">
      <c r="A58" s="74" t="s">
        <v>200</v>
      </c>
      <c r="B58" s="54" t="s">
        <v>69</v>
      </c>
      <c r="C58" s="136">
        <v>1</v>
      </c>
      <c r="D58" s="137">
        <v>1</v>
      </c>
      <c r="E58" s="137">
        <v>0</v>
      </c>
      <c r="F58" s="137">
        <v>2</v>
      </c>
      <c r="G58" s="137">
        <v>0</v>
      </c>
      <c r="H58" s="137">
        <v>2</v>
      </c>
      <c r="I58" s="137">
        <v>0</v>
      </c>
      <c r="J58" s="137">
        <v>0</v>
      </c>
      <c r="K58" s="137">
        <v>1</v>
      </c>
      <c r="L58" s="137">
        <v>1</v>
      </c>
      <c r="M58" s="137">
        <v>0</v>
      </c>
      <c r="N58" s="138">
        <v>2</v>
      </c>
      <c r="O58" s="137">
        <v>0</v>
      </c>
      <c r="P58" s="137">
        <v>0</v>
      </c>
      <c r="Q58" s="137">
        <v>1</v>
      </c>
      <c r="R58" s="137">
        <v>0</v>
      </c>
      <c r="S58" s="137">
        <v>0</v>
      </c>
      <c r="T58" s="137">
        <v>1</v>
      </c>
      <c r="U58" s="137">
        <v>0</v>
      </c>
      <c r="V58" s="137">
        <v>2</v>
      </c>
      <c r="W58" s="137">
        <v>0</v>
      </c>
      <c r="X58" s="139">
        <v>1</v>
      </c>
      <c r="Y58" s="139">
        <v>0</v>
      </c>
      <c r="Z58" s="140">
        <v>2</v>
      </c>
      <c r="AA58" s="141">
        <v>1</v>
      </c>
      <c r="AB58" s="139">
        <v>1</v>
      </c>
      <c r="AC58" s="139">
        <v>0</v>
      </c>
      <c r="AD58" s="139">
        <v>1</v>
      </c>
      <c r="AE58" s="139">
        <v>1</v>
      </c>
      <c r="AF58" s="140">
        <v>1</v>
      </c>
      <c r="AG58" s="141">
        <v>0</v>
      </c>
      <c r="AH58" s="139">
        <v>0</v>
      </c>
      <c r="AI58" s="139">
        <v>0</v>
      </c>
      <c r="AJ58" s="139">
        <v>0</v>
      </c>
      <c r="AK58" s="139">
        <v>1</v>
      </c>
      <c r="AL58" s="140">
        <v>0</v>
      </c>
      <c r="AM58" s="141">
        <v>1</v>
      </c>
      <c r="AN58" s="139">
        <v>1</v>
      </c>
      <c r="AO58" s="139">
        <v>2</v>
      </c>
      <c r="AP58" s="139">
        <v>4</v>
      </c>
      <c r="AQ58" s="139">
        <v>1</v>
      </c>
      <c r="AR58" s="140">
        <v>2</v>
      </c>
      <c r="AS58" s="141">
        <v>1</v>
      </c>
      <c r="AT58" s="139">
        <v>0</v>
      </c>
      <c r="AU58" s="139">
        <v>1</v>
      </c>
      <c r="AV58" s="139">
        <v>2</v>
      </c>
      <c r="AW58" s="139">
        <v>0</v>
      </c>
      <c r="AX58" s="140">
        <v>4</v>
      </c>
      <c r="AY58" s="137">
        <v>1</v>
      </c>
      <c r="AZ58" s="137">
        <v>1</v>
      </c>
      <c r="BA58" s="137">
        <v>1</v>
      </c>
      <c r="BB58" s="137">
        <v>2</v>
      </c>
      <c r="BC58" s="137">
        <v>2</v>
      </c>
      <c r="BD58" s="137">
        <v>0</v>
      </c>
      <c r="BE58" s="137">
        <v>2</v>
      </c>
      <c r="BF58" s="137">
        <v>1</v>
      </c>
      <c r="BG58" s="137">
        <v>0</v>
      </c>
      <c r="BH58" s="139">
        <v>0</v>
      </c>
      <c r="BI58" s="139">
        <v>2</v>
      </c>
      <c r="BJ58" s="140">
        <v>2</v>
      </c>
      <c r="BK58" s="137">
        <v>1</v>
      </c>
      <c r="BL58" s="137">
        <v>0</v>
      </c>
      <c r="BM58" s="137">
        <v>0</v>
      </c>
      <c r="BN58" s="137">
        <v>3</v>
      </c>
      <c r="BO58" s="137">
        <v>0</v>
      </c>
      <c r="BP58" s="137">
        <v>1</v>
      </c>
      <c r="BQ58" s="137">
        <v>3</v>
      </c>
      <c r="BR58" s="137">
        <v>0</v>
      </c>
      <c r="BS58" s="137">
        <v>1</v>
      </c>
      <c r="BT58" s="139">
        <v>2</v>
      </c>
      <c r="BU58" s="139">
        <v>0</v>
      </c>
      <c r="BV58" s="206">
        <v>0</v>
      </c>
    </row>
    <row r="59" spans="1:74" ht="17" thickBot="1" x14ac:dyDescent="0.5">
      <c r="A59" s="74" t="s">
        <v>269</v>
      </c>
      <c r="B59" s="54" t="s">
        <v>69</v>
      </c>
      <c r="C59" s="207">
        <v>1</v>
      </c>
      <c r="D59" s="208">
        <v>0</v>
      </c>
      <c r="E59" s="208">
        <v>0</v>
      </c>
      <c r="F59" s="208">
        <v>2</v>
      </c>
      <c r="G59" s="208">
        <v>0</v>
      </c>
      <c r="H59" s="208">
        <v>0</v>
      </c>
      <c r="I59" s="208">
        <v>1</v>
      </c>
      <c r="J59" s="208">
        <v>0</v>
      </c>
      <c r="K59" s="208">
        <v>0</v>
      </c>
      <c r="L59" s="208">
        <v>0</v>
      </c>
      <c r="M59" s="208">
        <v>2</v>
      </c>
      <c r="N59" s="209">
        <v>0</v>
      </c>
      <c r="O59" s="208">
        <v>1</v>
      </c>
      <c r="P59" s="208">
        <v>0</v>
      </c>
      <c r="Q59" s="208">
        <v>0</v>
      </c>
      <c r="R59" s="208">
        <v>0</v>
      </c>
      <c r="S59" s="208">
        <v>0</v>
      </c>
      <c r="T59" s="208">
        <v>0</v>
      </c>
      <c r="U59" s="208">
        <v>0</v>
      </c>
      <c r="V59" s="208">
        <v>0</v>
      </c>
      <c r="W59" s="208">
        <v>0</v>
      </c>
      <c r="X59" s="210">
        <v>0</v>
      </c>
      <c r="Y59" s="210">
        <v>1</v>
      </c>
      <c r="Z59" s="211">
        <v>1</v>
      </c>
      <c r="AA59" s="212">
        <v>0</v>
      </c>
      <c r="AB59" s="210">
        <v>0</v>
      </c>
      <c r="AC59" s="210">
        <v>2</v>
      </c>
      <c r="AD59" s="210">
        <v>0</v>
      </c>
      <c r="AE59" s="210">
        <v>0</v>
      </c>
      <c r="AF59" s="211">
        <v>0</v>
      </c>
      <c r="AG59" s="212">
        <v>1</v>
      </c>
      <c r="AH59" s="210">
        <v>0</v>
      </c>
      <c r="AI59" s="210">
        <v>0</v>
      </c>
      <c r="AJ59" s="210">
        <v>0</v>
      </c>
      <c r="AK59" s="210">
        <v>0</v>
      </c>
      <c r="AL59" s="211">
        <v>0</v>
      </c>
      <c r="AM59" s="212">
        <v>0</v>
      </c>
      <c r="AN59" s="210">
        <v>0</v>
      </c>
      <c r="AO59" s="210">
        <v>0</v>
      </c>
      <c r="AP59" s="210">
        <v>1</v>
      </c>
      <c r="AQ59" s="210">
        <v>0</v>
      </c>
      <c r="AR59" s="211">
        <v>1</v>
      </c>
      <c r="AS59" s="212">
        <v>0</v>
      </c>
      <c r="AT59" s="210">
        <v>1</v>
      </c>
      <c r="AU59" s="210">
        <v>0</v>
      </c>
      <c r="AV59" s="210">
        <v>0</v>
      </c>
      <c r="AW59" s="210">
        <v>1</v>
      </c>
      <c r="AX59" s="211">
        <v>0</v>
      </c>
      <c r="AY59" s="208">
        <v>0</v>
      </c>
      <c r="AZ59" s="208">
        <v>0</v>
      </c>
      <c r="BA59" s="208">
        <v>0</v>
      </c>
      <c r="BB59" s="208">
        <v>0</v>
      </c>
      <c r="BC59" s="208">
        <v>0</v>
      </c>
      <c r="BD59" s="208">
        <v>0</v>
      </c>
      <c r="BE59" s="208">
        <v>0</v>
      </c>
      <c r="BF59" s="208">
        <v>1</v>
      </c>
      <c r="BG59" s="208">
        <v>0</v>
      </c>
      <c r="BH59" s="210">
        <v>0</v>
      </c>
      <c r="BI59" s="210">
        <v>1</v>
      </c>
      <c r="BJ59" s="211">
        <v>1</v>
      </c>
      <c r="BK59" s="208">
        <v>0</v>
      </c>
      <c r="BL59" s="208">
        <v>0</v>
      </c>
      <c r="BM59" s="208">
        <v>0</v>
      </c>
      <c r="BN59" s="208">
        <v>1</v>
      </c>
      <c r="BO59" s="208">
        <v>0</v>
      </c>
      <c r="BP59" s="208">
        <v>0</v>
      </c>
      <c r="BQ59" s="208">
        <v>1</v>
      </c>
      <c r="BR59" s="208">
        <v>0</v>
      </c>
      <c r="BS59" s="208">
        <v>1</v>
      </c>
      <c r="BT59" s="210">
        <v>0</v>
      </c>
      <c r="BU59" s="210">
        <v>3</v>
      </c>
      <c r="BV59" s="213">
        <v>0</v>
      </c>
    </row>
    <row r="60" spans="1:74" ht="17" thickBot="1" x14ac:dyDescent="0.5">
      <c r="A60" s="74" t="s">
        <v>203</v>
      </c>
      <c r="B60" s="54" t="s">
        <v>69</v>
      </c>
      <c r="C60" s="136">
        <v>0</v>
      </c>
      <c r="D60" s="137">
        <v>0</v>
      </c>
      <c r="E60" s="137">
        <v>0</v>
      </c>
      <c r="F60" s="137">
        <v>1</v>
      </c>
      <c r="G60" s="137">
        <v>1</v>
      </c>
      <c r="H60" s="137">
        <v>0</v>
      </c>
      <c r="I60" s="137">
        <v>0</v>
      </c>
      <c r="J60" s="137">
        <v>0</v>
      </c>
      <c r="K60" s="137">
        <v>0</v>
      </c>
      <c r="L60" s="137">
        <v>0</v>
      </c>
      <c r="M60" s="137">
        <v>0</v>
      </c>
      <c r="N60" s="138">
        <v>0</v>
      </c>
      <c r="O60" s="137">
        <v>0</v>
      </c>
      <c r="P60" s="137">
        <v>0</v>
      </c>
      <c r="Q60" s="137">
        <v>0</v>
      </c>
      <c r="R60" s="137">
        <v>1</v>
      </c>
      <c r="S60" s="137">
        <v>0</v>
      </c>
      <c r="T60" s="137">
        <v>0</v>
      </c>
      <c r="U60" s="137">
        <v>0</v>
      </c>
      <c r="V60" s="137">
        <v>0</v>
      </c>
      <c r="W60" s="137">
        <v>0</v>
      </c>
      <c r="X60" s="139">
        <v>0</v>
      </c>
      <c r="Y60" s="139">
        <v>0</v>
      </c>
      <c r="Z60" s="140">
        <v>0</v>
      </c>
      <c r="AA60" s="141">
        <v>0</v>
      </c>
      <c r="AB60" s="139">
        <v>0</v>
      </c>
      <c r="AC60" s="139">
        <v>0</v>
      </c>
      <c r="AD60" s="139">
        <v>0</v>
      </c>
      <c r="AE60" s="139">
        <v>1</v>
      </c>
      <c r="AF60" s="140">
        <v>1</v>
      </c>
      <c r="AG60" s="141">
        <v>0</v>
      </c>
      <c r="AH60" s="139">
        <v>0</v>
      </c>
      <c r="AI60" s="139">
        <v>0</v>
      </c>
      <c r="AJ60" s="139">
        <v>1</v>
      </c>
      <c r="AK60" s="139">
        <v>0</v>
      </c>
      <c r="AL60" s="140">
        <v>1</v>
      </c>
      <c r="AM60" s="141">
        <v>0</v>
      </c>
      <c r="AN60" s="139">
        <v>1</v>
      </c>
      <c r="AO60" s="139">
        <v>0</v>
      </c>
      <c r="AP60" s="139">
        <v>0</v>
      </c>
      <c r="AQ60" s="139">
        <v>0</v>
      </c>
      <c r="AR60" s="140">
        <v>0</v>
      </c>
      <c r="AS60" s="141">
        <v>1</v>
      </c>
      <c r="AT60" s="139">
        <v>0</v>
      </c>
      <c r="AU60" s="139">
        <v>0</v>
      </c>
      <c r="AV60" s="139">
        <v>0</v>
      </c>
      <c r="AW60" s="139">
        <v>0</v>
      </c>
      <c r="AX60" s="140">
        <v>2</v>
      </c>
      <c r="AY60" s="137">
        <v>0</v>
      </c>
      <c r="AZ60" s="137">
        <v>0</v>
      </c>
      <c r="BA60" s="137">
        <v>1</v>
      </c>
      <c r="BB60" s="137">
        <v>0</v>
      </c>
      <c r="BC60" s="137">
        <v>0</v>
      </c>
      <c r="BD60" s="137">
        <v>1</v>
      </c>
      <c r="BE60" s="137">
        <v>0</v>
      </c>
      <c r="BF60" s="137">
        <v>1</v>
      </c>
      <c r="BG60" s="137">
        <v>0</v>
      </c>
      <c r="BH60" s="139">
        <v>0</v>
      </c>
      <c r="BI60" s="139">
        <v>0</v>
      </c>
      <c r="BJ60" s="140">
        <v>1</v>
      </c>
      <c r="BK60" s="137">
        <v>0</v>
      </c>
      <c r="BL60" s="137">
        <v>0</v>
      </c>
      <c r="BM60" s="137">
        <v>0</v>
      </c>
      <c r="BN60" s="137">
        <v>0</v>
      </c>
      <c r="BO60" s="137">
        <v>1</v>
      </c>
      <c r="BP60" s="137">
        <v>0</v>
      </c>
      <c r="BQ60" s="137">
        <v>0</v>
      </c>
      <c r="BR60" s="137">
        <v>1</v>
      </c>
      <c r="BS60" s="137">
        <v>0</v>
      </c>
      <c r="BT60" s="139">
        <v>0</v>
      </c>
      <c r="BU60" s="139">
        <v>0</v>
      </c>
      <c r="BV60" s="206">
        <v>0</v>
      </c>
    </row>
    <row r="61" spans="1:74" ht="17" thickBot="1" x14ac:dyDescent="0.5">
      <c r="A61" s="74" t="s">
        <v>204</v>
      </c>
      <c r="B61" s="54" t="s">
        <v>69</v>
      </c>
      <c r="C61" s="136">
        <v>0</v>
      </c>
      <c r="D61" s="137">
        <v>0</v>
      </c>
      <c r="E61" s="137">
        <v>1</v>
      </c>
      <c r="F61" s="137">
        <v>0</v>
      </c>
      <c r="G61" s="137">
        <v>0</v>
      </c>
      <c r="H61" s="137">
        <v>0</v>
      </c>
      <c r="I61" s="137">
        <v>0</v>
      </c>
      <c r="J61" s="137">
        <v>0</v>
      </c>
      <c r="K61" s="137">
        <v>0</v>
      </c>
      <c r="L61" s="137">
        <v>0</v>
      </c>
      <c r="M61" s="137">
        <v>0</v>
      </c>
      <c r="N61" s="138">
        <v>1</v>
      </c>
      <c r="O61" s="137">
        <v>0</v>
      </c>
      <c r="P61" s="137">
        <v>0</v>
      </c>
      <c r="Q61" s="137">
        <v>1</v>
      </c>
      <c r="R61" s="137">
        <v>0</v>
      </c>
      <c r="S61" s="137">
        <v>0</v>
      </c>
      <c r="T61" s="137">
        <v>0</v>
      </c>
      <c r="U61" s="137">
        <v>0</v>
      </c>
      <c r="V61" s="137">
        <v>0</v>
      </c>
      <c r="W61" s="137">
        <v>0</v>
      </c>
      <c r="X61" s="139">
        <v>1</v>
      </c>
      <c r="Y61" s="139">
        <v>0</v>
      </c>
      <c r="Z61" s="140">
        <v>0</v>
      </c>
      <c r="AA61" s="141">
        <v>0</v>
      </c>
      <c r="AB61" s="139">
        <v>0</v>
      </c>
      <c r="AC61" s="139">
        <v>0</v>
      </c>
      <c r="AD61" s="139">
        <v>0</v>
      </c>
      <c r="AE61" s="139">
        <v>0</v>
      </c>
      <c r="AF61" s="140">
        <v>0</v>
      </c>
      <c r="AG61" s="141">
        <v>0</v>
      </c>
      <c r="AH61" s="139">
        <v>0</v>
      </c>
      <c r="AI61" s="139">
        <v>1</v>
      </c>
      <c r="AJ61" s="139">
        <v>0</v>
      </c>
      <c r="AK61" s="139">
        <v>0</v>
      </c>
      <c r="AL61" s="140">
        <v>0</v>
      </c>
      <c r="AM61" s="141">
        <v>0</v>
      </c>
      <c r="AN61" s="139">
        <v>0</v>
      </c>
      <c r="AO61" s="139">
        <v>0</v>
      </c>
      <c r="AP61" s="139">
        <v>1</v>
      </c>
      <c r="AQ61" s="139">
        <v>0</v>
      </c>
      <c r="AR61" s="140">
        <v>0</v>
      </c>
      <c r="AS61" s="141">
        <v>0</v>
      </c>
      <c r="AT61" s="139">
        <v>1</v>
      </c>
      <c r="AU61" s="139">
        <v>0</v>
      </c>
      <c r="AV61" s="139">
        <v>0</v>
      </c>
      <c r="AW61" s="139">
        <v>0</v>
      </c>
      <c r="AX61" s="140">
        <v>1</v>
      </c>
      <c r="AY61" s="137">
        <v>0</v>
      </c>
      <c r="AZ61" s="137">
        <v>0</v>
      </c>
      <c r="BA61" s="137">
        <v>0</v>
      </c>
      <c r="BB61" s="137">
        <v>0</v>
      </c>
      <c r="BC61" s="137">
        <v>0</v>
      </c>
      <c r="BD61" s="137">
        <v>0</v>
      </c>
      <c r="BE61" s="137">
        <v>1</v>
      </c>
      <c r="BF61" s="137">
        <v>0</v>
      </c>
      <c r="BG61" s="137">
        <v>0</v>
      </c>
      <c r="BH61" s="139">
        <v>0</v>
      </c>
      <c r="BI61" s="139">
        <v>0</v>
      </c>
      <c r="BJ61" s="140">
        <v>0</v>
      </c>
      <c r="BK61" s="137">
        <v>0</v>
      </c>
      <c r="BL61" s="137">
        <v>0</v>
      </c>
      <c r="BM61" s="137">
        <v>0</v>
      </c>
      <c r="BN61" s="137">
        <v>0</v>
      </c>
      <c r="BO61" s="137">
        <v>0</v>
      </c>
      <c r="BP61" s="137">
        <v>0</v>
      </c>
      <c r="BQ61" s="137">
        <v>0</v>
      </c>
      <c r="BR61" s="137">
        <v>0</v>
      </c>
      <c r="BS61" s="137">
        <v>0</v>
      </c>
      <c r="BT61" s="139">
        <v>0</v>
      </c>
      <c r="BU61" s="139">
        <v>1</v>
      </c>
      <c r="BV61" s="206">
        <v>1</v>
      </c>
    </row>
    <row r="62" spans="1:74" ht="17" thickBot="1" x14ac:dyDescent="0.5">
      <c r="A62" s="74" t="s">
        <v>208</v>
      </c>
      <c r="B62" s="54" t="s">
        <v>69</v>
      </c>
      <c r="C62" s="136">
        <v>0</v>
      </c>
      <c r="D62" s="137">
        <v>0</v>
      </c>
      <c r="E62" s="137">
        <v>1</v>
      </c>
      <c r="F62" s="137">
        <v>0</v>
      </c>
      <c r="G62" s="137">
        <v>0</v>
      </c>
      <c r="H62" s="137">
        <v>0</v>
      </c>
      <c r="I62" s="137">
        <v>0</v>
      </c>
      <c r="J62" s="137">
        <v>0</v>
      </c>
      <c r="K62" s="137">
        <v>0</v>
      </c>
      <c r="L62" s="137">
        <v>0</v>
      </c>
      <c r="M62" s="137">
        <v>0</v>
      </c>
      <c r="N62" s="138">
        <v>0</v>
      </c>
      <c r="O62" s="137">
        <v>0</v>
      </c>
      <c r="P62" s="137">
        <v>0</v>
      </c>
      <c r="Q62" s="137">
        <v>0</v>
      </c>
      <c r="R62" s="137">
        <v>0</v>
      </c>
      <c r="S62" s="137">
        <v>1</v>
      </c>
      <c r="T62" s="137">
        <v>1</v>
      </c>
      <c r="U62" s="137">
        <v>0</v>
      </c>
      <c r="V62" s="137">
        <v>1</v>
      </c>
      <c r="W62" s="137">
        <v>0</v>
      </c>
      <c r="X62" s="139">
        <v>0</v>
      </c>
      <c r="Y62" s="139">
        <v>1</v>
      </c>
      <c r="Z62" s="140">
        <v>0</v>
      </c>
      <c r="AA62" s="141">
        <v>2</v>
      </c>
      <c r="AB62" s="139">
        <v>0</v>
      </c>
      <c r="AC62" s="139">
        <v>1</v>
      </c>
      <c r="AD62" s="139">
        <v>0</v>
      </c>
      <c r="AE62" s="139">
        <v>0</v>
      </c>
      <c r="AF62" s="140">
        <v>0</v>
      </c>
      <c r="AG62" s="141">
        <v>0</v>
      </c>
      <c r="AH62" s="139">
        <v>1</v>
      </c>
      <c r="AI62" s="139">
        <v>0</v>
      </c>
      <c r="AJ62" s="139">
        <v>0</v>
      </c>
      <c r="AK62" s="139">
        <v>1</v>
      </c>
      <c r="AL62" s="140">
        <v>0</v>
      </c>
      <c r="AM62" s="141">
        <v>0</v>
      </c>
      <c r="AN62" s="139">
        <v>2</v>
      </c>
      <c r="AO62" s="139">
        <v>0</v>
      </c>
      <c r="AP62" s="139">
        <v>2</v>
      </c>
      <c r="AQ62" s="139">
        <v>1</v>
      </c>
      <c r="AR62" s="140">
        <v>0</v>
      </c>
      <c r="AS62" s="141">
        <v>1</v>
      </c>
      <c r="AT62" s="139">
        <v>0</v>
      </c>
      <c r="AU62" s="139">
        <v>0</v>
      </c>
      <c r="AV62" s="139">
        <v>1</v>
      </c>
      <c r="AW62" s="139">
        <v>1</v>
      </c>
      <c r="AX62" s="140">
        <v>0</v>
      </c>
      <c r="AY62" s="137">
        <v>1</v>
      </c>
      <c r="AZ62" s="137">
        <v>0</v>
      </c>
      <c r="BA62" s="137">
        <v>0</v>
      </c>
      <c r="BB62" s="137">
        <v>0</v>
      </c>
      <c r="BC62" s="137">
        <v>0</v>
      </c>
      <c r="BD62" s="137">
        <v>1</v>
      </c>
      <c r="BE62" s="137">
        <v>1</v>
      </c>
      <c r="BF62" s="137">
        <v>1</v>
      </c>
      <c r="BG62" s="137">
        <v>0</v>
      </c>
      <c r="BH62" s="139">
        <v>0</v>
      </c>
      <c r="BI62" s="139">
        <v>1</v>
      </c>
      <c r="BJ62" s="140">
        <v>0</v>
      </c>
      <c r="BK62" s="137">
        <v>0</v>
      </c>
      <c r="BL62" s="137">
        <v>0</v>
      </c>
      <c r="BM62" s="137">
        <v>0</v>
      </c>
      <c r="BN62" s="137">
        <v>1</v>
      </c>
      <c r="BO62" s="137">
        <v>0</v>
      </c>
      <c r="BP62" s="137">
        <v>0</v>
      </c>
      <c r="BQ62" s="137">
        <v>0</v>
      </c>
      <c r="BR62" s="137">
        <v>0</v>
      </c>
      <c r="BS62" s="137">
        <v>0</v>
      </c>
      <c r="BT62" s="139">
        <v>0</v>
      </c>
      <c r="BU62" s="139">
        <v>1</v>
      </c>
      <c r="BV62" s="206">
        <v>0</v>
      </c>
    </row>
    <row r="63" spans="1:74" ht="17" thickBot="1" x14ac:dyDescent="0.5">
      <c r="A63" s="74" t="s">
        <v>209</v>
      </c>
      <c r="B63" s="54" t="s">
        <v>69</v>
      </c>
      <c r="C63" s="136">
        <v>0</v>
      </c>
      <c r="D63" s="137">
        <v>1</v>
      </c>
      <c r="E63" s="137">
        <v>2</v>
      </c>
      <c r="F63" s="137">
        <v>0</v>
      </c>
      <c r="G63" s="137">
        <v>0</v>
      </c>
      <c r="H63" s="137">
        <v>0</v>
      </c>
      <c r="I63" s="137">
        <v>0</v>
      </c>
      <c r="J63" s="137">
        <v>0</v>
      </c>
      <c r="K63" s="137">
        <v>0</v>
      </c>
      <c r="L63" s="137">
        <v>0</v>
      </c>
      <c r="M63" s="137">
        <v>0</v>
      </c>
      <c r="N63" s="138">
        <v>0</v>
      </c>
      <c r="O63" s="137">
        <v>0</v>
      </c>
      <c r="P63" s="137">
        <v>0</v>
      </c>
      <c r="Q63" s="137">
        <v>1</v>
      </c>
      <c r="R63" s="137">
        <v>0</v>
      </c>
      <c r="S63" s="137">
        <v>0</v>
      </c>
      <c r="T63" s="137">
        <v>0</v>
      </c>
      <c r="U63" s="137">
        <v>0</v>
      </c>
      <c r="V63" s="137">
        <v>1</v>
      </c>
      <c r="W63" s="137">
        <v>0</v>
      </c>
      <c r="X63" s="139">
        <v>0</v>
      </c>
      <c r="Y63" s="139">
        <v>0</v>
      </c>
      <c r="Z63" s="140">
        <v>0</v>
      </c>
      <c r="AA63" s="141">
        <v>0</v>
      </c>
      <c r="AB63" s="139">
        <v>0</v>
      </c>
      <c r="AC63" s="139">
        <v>0</v>
      </c>
      <c r="AD63" s="139">
        <v>0</v>
      </c>
      <c r="AE63" s="139">
        <v>0</v>
      </c>
      <c r="AF63" s="140">
        <v>0</v>
      </c>
      <c r="AG63" s="141">
        <v>0</v>
      </c>
      <c r="AH63" s="139">
        <v>0</v>
      </c>
      <c r="AI63" s="139">
        <v>0</v>
      </c>
      <c r="AJ63" s="139">
        <v>0</v>
      </c>
      <c r="AK63" s="139">
        <v>0</v>
      </c>
      <c r="AL63" s="140">
        <v>0</v>
      </c>
      <c r="AM63" s="141">
        <v>1</v>
      </c>
      <c r="AN63" s="139">
        <v>1</v>
      </c>
      <c r="AO63" s="139">
        <v>0</v>
      </c>
      <c r="AP63" s="139">
        <v>0</v>
      </c>
      <c r="AQ63" s="139">
        <v>0</v>
      </c>
      <c r="AR63" s="140">
        <v>0</v>
      </c>
      <c r="AS63" s="141">
        <v>3</v>
      </c>
      <c r="AT63" s="139">
        <v>2</v>
      </c>
      <c r="AU63" s="139">
        <v>0</v>
      </c>
      <c r="AV63" s="139">
        <v>0</v>
      </c>
      <c r="AW63" s="139">
        <v>0</v>
      </c>
      <c r="AX63" s="140">
        <v>0</v>
      </c>
      <c r="AY63" s="137">
        <v>2</v>
      </c>
      <c r="AZ63" s="137">
        <v>1</v>
      </c>
      <c r="BA63" s="137">
        <v>0</v>
      </c>
      <c r="BB63" s="137">
        <v>0</v>
      </c>
      <c r="BC63" s="137">
        <v>0</v>
      </c>
      <c r="BD63" s="137">
        <v>0</v>
      </c>
      <c r="BE63" s="137">
        <v>0</v>
      </c>
      <c r="BF63" s="137">
        <v>1</v>
      </c>
      <c r="BG63" s="137">
        <v>0</v>
      </c>
      <c r="BH63" s="139">
        <v>0</v>
      </c>
      <c r="BI63" s="139">
        <v>2</v>
      </c>
      <c r="BJ63" s="140">
        <v>0</v>
      </c>
      <c r="BK63" s="137">
        <v>0</v>
      </c>
      <c r="BL63" s="137">
        <v>0</v>
      </c>
      <c r="BM63" s="137">
        <v>0</v>
      </c>
      <c r="BN63" s="137">
        <v>1</v>
      </c>
      <c r="BO63" s="137">
        <v>0</v>
      </c>
      <c r="BP63" s="137">
        <v>0</v>
      </c>
      <c r="BQ63" s="137">
        <v>0</v>
      </c>
      <c r="BR63" s="137">
        <v>0</v>
      </c>
      <c r="BS63" s="137">
        <v>2</v>
      </c>
      <c r="BT63" s="139">
        <v>1</v>
      </c>
      <c r="BU63" s="139">
        <v>2</v>
      </c>
      <c r="BV63" s="206">
        <v>0</v>
      </c>
    </row>
    <row r="64" spans="1:74" ht="17" thickBot="1" x14ac:dyDescent="0.5">
      <c r="A64" s="74" t="s">
        <v>210</v>
      </c>
      <c r="B64" s="54" t="s">
        <v>69</v>
      </c>
      <c r="C64" s="136">
        <v>0</v>
      </c>
      <c r="D64" s="137">
        <v>0</v>
      </c>
      <c r="E64" s="137">
        <v>0</v>
      </c>
      <c r="F64" s="137">
        <v>0</v>
      </c>
      <c r="G64" s="137">
        <v>0</v>
      </c>
      <c r="H64" s="137">
        <v>1</v>
      </c>
      <c r="I64" s="137">
        <v>0</v>
      </c>
      <c r="J64" s="137">
        <v>0</v>
      </c>
      <c r="K64" s="137">
        <v>1</v>
      </c>
      <c r="L64" s="137">
        <v>0</v>
      </c>
      <c r="M64" s="137">
        <v>1</v>
      </c>
      <c r="N64" s="138">
        <v>0</v>
      </c>
      <c r="O64" s="137">
        <v>0</v>
      </c>
      <c r="P64" s="137">
        <v>0</v>
      </c>
      <c r="Q64" s="137">
        <v>1</v>
      </c>
      <c r="R64" s="137">
        <v>0</v>
      </c>
      <c r="S64" s="137">
        <v>0</v>
      </c>
      <c r="T64" s="137">
        <v>0</v>
      </c>
      <c r="U64" s="137">
        <v>0</v>
      </c>
      <c r="V64" s="137">
        <v>0</v>
      </c>
      <c r="W64" s="137">
        <v>0</v>
      </c>
      <c r="X64" s="139">
        <v>0</v>
      </c>
      <c r="Y64" s="139">
        <v>0</v>
      </c>
      <c r="Z64" s="140">
        <v>0</v>
      </c>
      <c r="AA64" s="141">
        <v>0</v>
      </c>
      <c r="AB64" s="139">
        <v>0</v>
      </c>
      <c r="AC64" s="139">
        <v>0</v>
      </c>
      <c r="AD64" s="139">
        <v>0</v>
      </c>
      <c r="AE64" s="139">
        <v>0</v>
      </c>
      <c r="AF64" s="140">
        <v>0</v>
      </c>
      <c r="AG64" s="141">
        <v>0</v>
      </c>
      <c r="AH64" s="139">
        <v>0</v>
      </c>
      <c r="AI64" s="139">
        <v>0</v>
      </c>
      <c r="AJ64" s="139">
        <v>0</v>
      </c>
      <c r="AK64" s="139">
        <v>0</v>
      </c>
      <c r="AL64" s="140">
        <v>0</v>
      </c>
      <c r="AM64" s="141">
        <v>0</v>
      </c>
      <c r="AN64" s="139">
        <v>0</v>
      </c>
      <c r="AO64" s="139">
        <v>0</v>
      </c>
      <c r="AP64" s="139">
        <v>0</v>
      </c>
      <c r="AQ64" s="139">
        <v>0</v>
      </c>
      <c r="AR64" s="140">
        <v>0</v>
      </c>
      <c r="AS64" s="141">
        <v>1</v>
      </c>
      <c r="AT64" s="139">
        <v>0</v>
      </c>
      <c r="AU64" s="139">
        <v>0</v>
      </c>
      <c r="AV64" s="139">
        <v>0</v>
      </c>
      <c r="AW64" s="139">
        <v>0</v>
      </c>
      <c r="AX64" s="140">
        <v>0</v>
      </c>
      <c r="AY64" s="137">
        <v>0</v>
      </c>
      <c r="AZ64" s="137">
        <v>0</v>
      </c>
      <c r="BA64" s="137">
        <v>0</v>
      </c>
      <c r="BB64" s="137">
        <v>0</v>
      </c>
      <c r="BC64" s="137">
        <v>0</v>
      </c>
      <c r="BD64" s="137">
        <v>0</v>
      </c>
      <c r="BE64" s="137">
        <v>0</v>
      </c>
      <c r="BF64" s="137">
        <v>0</v>
      </c>
      <c r="BG64" s="137">
        <v>0</v>
      </c>
      <c r="BH64" s="139">
        <v>0</v>
      </c>
      <c r="BI64" s="139">
        <v>1</v>
      </c>
      <c r="BJ64" s="140">
        <v>1</v>
      </c>
      <c r="BK64" s="137">
        <v>0</v>
      </c>
      <c r="BL64" s="137">
        <v>0</v>
      </c>
      <c r="BM64" s="137">
        <v>0</v>
      </c>
      <c r="BN64" s="137">
        <v>0</v>
      </c>
      <c r="BO64" s="137">
        <v>0</v>
      </c>
      <c r="BP64" s="137">
        <v>0</v>
      </c>
      <c r="BQ64" s="137">
        <v>0</v>
      </c>
      <c r="BR64" s="137">
        <v>0</v>
      </c>
      <c r="BS64" s="137">
        <v>0</v>
      </c>
      <c r="BT64" s="139">
        <v>0</v>
      </c>
      <c r="BU64" s="139">
        <v>1</v>
      </c>
      <c r="BV64" s="206">
        <v>1</v>
      </c>
    </row>
    <row r="65" spans="1:74" ht="17" thickBot="1" x14ac:dyDescent="0.5">
      <c r="A65" s="74" t="s">
        <v>211</v>
      </c>
      <c r="B65" s="54" t="s">
        <v>69</v>
      </c>
      <c r="C65" s="136">
        <v>0</v>
      </c>
      <c r="D65" s="137">
        <v>0</v>
      </c>
      <c r="E65" s="137">
        <v>0</v>
      </c>
      <c r="F65" s="137">
        <v>0</v>
      </c>
      <c r="G65" s="137">
        <v>0</v>
      </c>
      <c r="H65" s="137">
        <v>0</v>
      </c>
      <c r="I65" s="137">
        <v>0</v>
      </c>
      <c r="J65" s="137">
        <v>0</v>
      </c>
      <c r="K65" s="137">
        <v>0</v>
      </c>
      <c r="L65" s="137">
        <v>1</v>
      </c>
      <c r="M65" s="137">
        <v>0</v>
      </c>
      <c r="N65" s="138">
        <v>0</v>
      </c>
      <c r="O65" s="137">
        <v>0</v>
      </c>
      <c r="P65" s="137">
        <v>0</v>
      </c>
      <c r="Q65" s="137">
        <v>0</v>
      </c>
      <c r="R65" s="137">
        <v>0</v>
      </c>
      <c r="S65" s="137">
        <v>0</v>
      </c>
      <c r="T65" s="137">
        <v>0</v>
      </c>
      <c r="U65" s="137">
        <v>0</v>
      </c>
      <c r="V65" s="137">
        <v>1</v>
      </c>
      <c r="W65" s="137">
        <v>0</v>
      </c>
      <c r="X65" s="139">
        <v>1</v>
      </c>
      <c r="Y65" s="139">
        <v>1</v>
      </c>
      <c r="Z65" s="140">
        <v>1</v>
      </c>
      <c r="AA65" s="141">
        <v>0</v>
      </c>
      <c r="AB65" s="139">
        <v>0</v>
      </c>
      <c r="AC65" s="139">
        <v>0</v>
      </c>
      <c r="AD65" s="139">
        <v>0</v>
      </c>
      <c r="AE65" s="139">
        <v>0</v>
      </c>
      <c r="AF65" s="140">
        <v>0</v>
      </c>
      <c r="AG65" s="141">
        <v>1</v>
      </c>
      <c r="AH65" s="139">
        <v>0</v>
      </c>
      <c r="AI65" s="139">
        <v>0</v>
      </c>
      <c r="AJ65" s="139">
        <v>0</v>
      </c>
      <c r="AK65" s="139">
        <v>0</v>
      </c>
      <c r="AL65" s="140">
        <v>1</v>
      </c>
      <c r="AM65" s="141">
        <v>0</v>
      </c>
      <c r="AN65" s="139">
        <v>0</v>
      </c>
      <c r="AO65" s="139">
        <v>0</v>
      </c>
      <c r="AP65" s="139">
        <v>0</v>
      </c>
      <c r="AQ65" s="139">
        <v>0</v>
      </c>
      <c r="AR65" s="140">
        <v>0</v>
      </c>
      <c r="AS65" s="141">
        <v>0</v>
      </c>
      <c r="AT65" s="139">
        <v>0</v>
      </c>
      <c r="AU65" s="139">
        <v>0</v>
      </c>
      <c r="AV65" s="139">
        <v>0</v>
      </c>
      <c r="AW65" s="139">
        <v>0</v>
      </c>
      <c r="AX65" s="140">
        <v>0</v>
      </c>
      <c r="AY65" s="137">
        <v>0</v>
      </c>
      <c r="AZ65" s="137">
        <v>0</v>
      </c>
      <c r="BA65" s="137">
        <v>0</v>
      </c>
      <c r="BB65" s="137">
        <v>0</v>
      </c>
      <c r="BC65" s="137">
        <v>0</v>
      </c>
      <c r="BD65" s="137">
        <v>0</v>
      </c>
      <c r="BE65" s="137">
        <v>0</v>
      </c>
      <c r="BF65" s="137">
        <v>0</v>
      </c>
      <c r="BG65" s="137">
        <v>0</v>
      </c>
      <c r="BH65" s="139">
        <v>0</v>
      </c>
      <c r="BI65" s="139">
        <v>1</v>
      </c>
      <c r="BJ65" s="140">
        <v>0</v>
      </c>
      <c r="BK65" s="137">
        <v>0</v>
      </c>
      <c r="BL65" s="137">
        <v>0</v>
      </c>
      <c r="BM65" s="137">
        <v>0</v>
      </c>
      <c r="BN65" s="137">
        <v>0</v>
      </c>
      <c r="BO65" s="137">
        <v>0</v>
      </c>
      <c r="BP65" s="137">
        <v>0</v>
      </c>
      <c r="BQ65" s="137">
        <v>0</v>
      </c>
      <c r="BR65" s="137">
        <v>0</v>
      </c>
      <c r="BS65" s="137">
        <v>0</v>
      </c>
      <c r="BT65" s="139">
        <v>0</v>
      </c>
      <c r="BU65" s="139">
        <v>1</v>
      </c>
      <c r="BV65" s="206">
        <v>0</v>
      </c>
    </row>
    <row r="66" spans="1:74" ht="17" thickBot="1" x14ac:dyDescent="0.5">
      <c r="A66" s="74" t="s">
        <v>212</v>
      </c>
      <c r="B66" s="54" t="s">
        <v>69</v>
      </c>
      <c r="C66" s="136">
        <v>0</v>
      </c>
      <c r="D66" s="137">
        <v>0</v>
      </c>
      <c r="E66" s="137">
        <v>0</v>
      </c>
      <c r="F66" s="137">
        <v>0</v>
      </c>
      <c r="G66" s="137">
        <v>1</v>
      </c>
      <c r="H66" s="137">
        <v>0</v>
      </c>
      <c r="I66" s="137">
        <v>0</v>
      </c>
      <c r="J66" s="137">
        <v>0</v>
      </c>
      <c r="K66" s="137">
        <v>0</v>
      </c>
      <c r="L66" s="137">
        <v>0</v>
      </c>
      <c r="M66" s="137">
        <v>0</v>
      </c>
      <c r="N66" s="138">
        <v>0</v>
      </c>
      <c r="O66" s="137">
        <v>1</v>
      </c>
      <c r="P66" s="137">
        <v>0</v>
      </c>
      <c r="Q66" s="137">
        <v>0</v>
      </c>
      <c r="R66" s="137">
        <v>0</v>
      </c>
      <c r="S66" s="137">
        <v>0</v>
      </c>
      <c r="T66" s="137">
        <v>0</v>
      </c>
      <c r="U66" s="137">
        <v>0</v>
      </c>
      <c r="V66" s="137">
        <v>2</v>
      </c>
      <c r="W66" s="137">
        <v>1</v>
      </c>
      <c r="X66" s="139">
        <v>0</v>
      </c>
      <c r="Y66" s="139">
        <v>0</v>
      </c>
      <c r="Z66" s="140">
        <v>0</v>
      </c>
      <c r="AA66" s="141">
        <v>0</v>
      </c>
      <c r="AB66" s="139">
        <v>0</v>
      </c>
      <c r="AC66" s="139">
        <v>0</v>
      </c>
      <c r="AD66" s="139">
        <v>0</v>
      </c>
      <c r="AE66" s="139">
        <v>0</v>
      </c>
      <c r="AF66" s="140">
        <v>0</v>
      </c>
      <c r="AG66" s="141">
        <v>0</v>
      </c>
      <c r="AH66" s="139">
        <v>0</v>
      </c>
      <c r="AI66" s="139">
        <v>0</v>
      </c>
      <c r="AJ66" s="139">
        <v>0</v>
      </c>
      <c r="AK66" s="139">
        <v>0</v>
      </c>
      <c r="AL66" s="140">
        <v>0</v>
      </c>
      <c r="AM66" s="141">
        <v>0</v>
      </c>
      <c r="AN66" s="139">
        <v>0</v>
      </c>
      <c r="AO66" s="139">
        <v>1</v>
      </c>
      <c r="AP66" s="139">
        <v>0</v>
      </c>
      <c r="AQ66" s="139">
        <v>0</v>
      </c>
      <c r="AR66" s="140">
        <v>1</v>
      </c>
      <c r="AS66" s="141">
        <v>0</v>
      </c>
      <c r="AT66" s="139">
        <v>0</v>
      </c>
      <c r="AU66" s="139">
        <v>1</v>
      </c>
      <c r="AV66" s="139">
        <v>0</v>
      </c>
      <c r="AW66" s="139">
        <v>0</v>
      </c>
      <c r="AX66" s="140">
        <v>0</v>
      </c>
      <c r="AY66" s="137">
        <v>0</v>
      </c>
      <c r="AZ66" s="137">
        <v>0</v>
      </c>
      <c r="BA66" s="137">
        <v>1</v>
      </c>
      <c r="BB66" s="137">
        <v>0</v>
      </c>
      <c r="BC66" s="137">
        <v>0</v>
      </c>
      <c r="BD66" s="137">
        <v>1</v>
      </c>
      <c r="BE66" s="137">
        <v>2</v>
      </c>
      <c r="BF66" s="137">
        <v>0</v>
      </c>
      <c r="BG66" s="137">
        <v>1</v>
      </c>
      <c r="BH66" s="139">
        <v>0</v>
      </c>
      <c r="BI66" s="139">
        <v>0</v>
      </c>
      <c r="BJ66" s="140">
        <v>0</v>
      </c>
      <c r="BK66" s="137">
        <v>0</v>
      </c>
      <c r="BL66" s="137">
        <v>0</v>
      </c>
      <c r="BM66" s="137">
        <v>0</v>
      </c>
      <c r="BN66" s="137">
        <v>0</v>
      </c>
      <c r="BO66" s="137">
        <v>0</v>
      </c>
      <c r="BP66" s="137">
        <v>0</v>
      </c>
      <c r="BQ66" s="137">
        <v>0</v>
      </c>
      <c r="BR66" s="137">
        <v>0</v>
      </c>
      <c r="BS66" s="137">
        <v>0</v>
      </c>
      <c r="BT66" s="139">
        <v>0</v>
      </c>
      <c r="BU66" s="139">
        <v>0</v>
      </c>
      <c r="BV66" s="206">
        <v>0</v>
      </c>
    </row>
    <row r="67" spans="1:74" ht="17" thickBot="1" x14ac:dyDescent="0.5">
      <c r="A67" s="74" t="s">
        <v>213</v>
      </c>
      <c r="B67" s="54" t="s">
        <v>69</v>
      </c>
      <c r="C67" s="136">
        <v>0</v>
      </c>
      <c r="D67" s="137">
        <v>0</v>
      </c>
      <c r="E67" s="137">
        <v>0</v>
      </c>
      <c r="F67" s="137">
        <v>0</v>
      </c>
      <c r="G67" s="137">
        <v>0</v>
      </c>
      <c r="H67" s="137">
        <v>0</v>
      </c>
      <c r="I67" s="137">
        <v>0</v>
      </c>
      <c r="J67" s="137">
        <v>1</v>
      </c>
      <c r="K67" s="137">
        <v>0</v>
      </c>
      <c r="L67" s="137">
        <v>0</v>
      </c>
      <c r="M67" s="137">
        <v>0</v>
      </c>
      <c r="N67" s="138">
        <v>0</v>
      </c>
      <c r="O67" s="137">
        <v>0</v>
      </c>
      <c r="P67" s="137">
        <v>1</v>
      </c>
      <c r="Q67" s="137">
        <v>0</v>
      </c>
      <c r="R67" s="137">
        <v>0</v>
      </c>
      <c r="S67" s="137">
        <v>0</v>
      </c>
      <c r="T67" s="137">
        <v>0</v>
      </c>
      <c r="U67" s="137">
        <v>0</v>
      </c>
      <c r="V67" s="137">
        <v>0</v>
      </c>
      <c r="W67" s="137">
        <v>0</v>
      </c>
      <c r="X67" s="139">
        <v>1</v>
      </c>
      <c r="Y67" s="139">
        <v>0</v>
      </c>
      <c r="Z67" s="140">
        <v>0</v>
      </c>
      <c r="AA67" s="141">
        <v>0</v>
      </c>
      <c r="AB67" s="139">
        <v>0</v>
      </c>
      <c r="AC67" s="139">
        <v>0</v>
      </c>
      <c r="AD67" s="139">
        <v>0</v>
      </c>
      <c r="AE67" s="139">
        <v>0</v>
      </c>
      <c r="AF67" s="140">
        <v>0</v>
      </c>
      <c r="AG67" s="141">
        <v>0</v>
      </c>
      <c r="AH67" s="139">
        <v>0</v>
      </c>
      <c r="AI67" s="139">
        <v>0</v>
      </c>
      <c r="AJ67" s="139">
        <v>0</v>
      </c>
      <c r="AK67" s="139">
        <v>0</v>
      </c>
      <c r="AL67" s="140">
        <v>1</v>
      </c>
      <c r="AM67" s="141">
        <v>1</v>
      </c>
      <c r="AN67" s="139">
        <v>0</v>
      </c>
      <c r="AO67" s="139">
        <v>0</v>
      </c>
      <c r="AP67" s="139">
        <v>0</v>
      </c>
      <c r="AQ67" s="139">
        <v>0</v>
      </c>
      <c r="AR67" s="140">
        <v>0</v>
      </c>
      <c r="AS67" s="141">
        <v>0</v>
      </c>
      <c r="AT67" s="139">
        <v>1</v>
      </c>
      <c r="AU67" s="139">
        <v>0</v>
      </c>
      <c r="AV67" s="139">
        <v>0</v>
      </c>
      <c r="AW67" s="139">
        <v>0</v>
      </c>
      <c r="AX67" s="140">
        <v>0</v>
      </c>
      <c r="AY67" s="137">
        <v>0</v>
      </c>
      <c r="AZ67" s="137">
        <v>0</v>
      </c>
      <c r="BA67" s="137">
        <v>0</v>
      </c>
      <c r="BB67" s="137">
        <v>0</v>
      </c>
      <c r="BC67" s="137">
        <v>0</v>
      </c>
      <c r="BD67" s="137">
        <v>0</v>
      </c>
      <c r="BE67" s="137">
        <v>0</v>
      </c>
      <c r="BF67" s="137">
        <v>0</v>
      </c>
      <c r="BG67" s="137">
        <v>0</v>
      </c>
      <c r="BH67" s="139">
        <v>0</v>
      </c>
      <c r="BI67" s="139">
        <v>1</v>
      </c>
      <c r="BJ67" s="140">
        <v>0</v>
      </c>
      <c r="BK67" s="137">
        <v>0</v>
      </c>
      <c r="BL67" s="137">
        <v>0</v>
      </c>
      <c r="BM67" s="137">
        <v>0</v>
      </c>
      <c r="BN67" s="137">
        <v>0</v>
      </c>
      <c r="BO67" s="137">
        <v>0</v>
      </c>
      <c r="BP67" s="137">
        <v>0</v>
      </c>
      <c r="BQ67" s="137">
        <v>0</v>
      </c>
      <c r="BR67" s="137">
        <v>0</v>
      </c>
      <c r="BS67" s="137">
        <v>0</v>
      </c>
      <c r="BT67" s="139">
        <v>0</v>
      </c>
      <c r="BU67" s="139">
        <v>0</v>
      </c>
      <c r="BV67" s="206">
        <v>0</v>
      </c>
    </row>
    <row r="68" spans="1:74" ht="17" thickBot="1" x14ac:dyDescent="0.5">
      <c r="A68" s="74" t="s">
        <v>214</v>
      </c>
      <c r="B68" s="54" t="s">
        <v>69</v>
      </c>
      <c r="C68" s="136">
        <v>0</v>
      </c>
      <c r="D68" s="137">
        <v>0</v>
      </c>
      <c r="E68" s="137">
        <v>0</v>
      </c>
      <c r="F68" s="137">
        <v>1</v>
      </c>
      <c r="G68" s="137">
        <v>2</v>
      </c>
      <c r="H68" s="137">
        <v>1</v>
      </c>
      <c r="I68" s="137">
        <v>1</v>
      </c>
      <c r="J68" s="137">
        <v>0</v>
      </c>
      <c r="K68" s="137">
        <v>0</v>
      </c>
      <c r="L68" s="137">
        <v>1</v>
      </c>
      <c r="M68" s="137">
        <v>0</v>
      </c>
      <c r="N68" s="138">
        <v>0</v>
      </c>
      <c r="O68" s="137">
        <v>1</v>
      </c>
      <c r="P68" s="137">
        <v>0</v>
      </c>
      <c r="Q68" s="137">
        <v>0</v>
      </c>
      <c r="R68" s="137">
        <v>1</v>
      </c>
      <c r="S68" s="137">
        <v>0</v>
      </c>
      <c r="T68" s="137">
        <v>1</v>
      </c>
      <c r="U68" s="137">
        <v>0</v>
      </c>
      <c r="V68" s="137">
        <v>0</v>
      </c>
      <c r="W68" s="137">
        <v>0</v>
      </c>
      <c r="X68" s="139">
        <v>1</v>
      </c>
      <c r="Y68" s="139">
        <v>1</v>
      </c>
      <c r="Z68" s="140">
        <v>0</v>
      </c>
      <c r="AA68" s="141">
        <v>1</v>
      </c>
      <c r="AB68" s="139">
        <v>0</v>
      </c>
      <c r="AC68" s="139">
        <v>0</v>
      </c>
      <c r="AD68" s="139">
        <v>1</v>
      </c>
      <c r="AE68" s="139">
        <v>0</v>
      </c>
      <c r="AF68" s="140">
        <v>0</v>
      </c>
      <c r="AG68" s="141">
        <v>0</v>
      </c>
      <c r="AH68" s="139">
        <v>0</v>
      </c>
      <c r="AI68" s="139">
        <v>1</v>
      </c>
      <c r="AJ68" s="139">
        <v>0</v>
      </c>
      <c r="AK68" s="139">
        <v>1</v>
      </c>
      <c r="AL68" s="140">
        <v>0</v>
      </c>
      <c r="AM68" s="141">
        <v>0</v>
      </c>
      <c r="AN68" s="139">
        <v>0</v>
      </c>
      <c r="AO68" s="139">
        <v>0</v>
      </c>
      <c r="AP68" s="139">
        <v>0</v>
      </c>
      <c r="AQ68" s="139">
        <v>1</v>
      </c>
      <c r="AR68" s="140">
        <v>0</v>
      </c>
      <c r="AS68" s="141">
        <v>1</v>
      </c>
      <c r="AT68" s="139">
        <v>1</v>
      </c>
      <c r="AU68" s="139">
        <v>0</v>
      </c>
      <c r="AV68" s="139">
        <v>1</v>
      </c>
      <c r="AW68" s="139">
        <v>1</v>
      </c>
      <c r="AX68" s="140">
        <v>1</v>
      </c>
      <c r="AY68" s="137">
        <v>0</v>
      </c>
      <c r="AZ68" s="137">
        <v>1</v>
      </c>
      <c r="BA68" s="137">
        <v>0</v>
      </c>
      <c r="BB68" s="137">
        <v>1</v>
      </c>
      <c r="BC68" s="137">
        <v>0</v>
      </c>
      <c r="BD68" s="137">
        <v>1</v>
      </c>
      <c r="BE68" s="137">
        <v>1</v>
      </c>
      <c r="BF68" s="137">
        <v>1</v>
      </c>
      <c r="BG68" s="137">
        <v>0</v>
      </c>
      <c r="BH68" s="139">
        <v>0</v>
      </c>
      <c r="BI68" s="139">
        <v>0</v>
      </c>
      <c r="BJ68" s="140">
        <v>0</v>
      </c>
      <c r="BK68" s="137">
        <v>0</v>
      </c>
      <c r="BL68" s="137">
        <v>0</v>
      </c>
      <c r="BM68" s="137">
        <v>0</v>
      </c>
      <c r="BN68" s="137">
        <v>0</v>
      </c>
      <c r="BO68" s="137">
        <v>0</v>
      </c>
      <c r="BP68" s="137">
        <v>1</v>
      </c>
      <c r="BQ68" s="137">
        <v>1</v>
      </c>
      <c r="BR68" s="137">
        <v>0</v>
      </c>
      <c r="BS68" s="137">
        <v>0</v>
      </c>
      <c r="BT68" s="139">
        <v>1</v>
      </c>
      <c r="BU68" s="139">
        <v>0</v>
      </c>
      <c r="BV68" s="206">
        <v>0</v>
      </c>
    </row>
    <row r="69" spans="1:74" ht="17" thickBot="1" x14ac:dyDescent="0.5">
      <c r="A69" s="74" t="s">
        <v>215</v>
      </c>
      <c r="B69" s="54" t="s">
        <v>69</v>
      </c>
      <c r="C69" s="136">
        <v>0</v>
      </c>
      <c r="D69" s="137">
        <v>0</v>
      </c>
      <c r="E69" s="137">
        <v>1</v>
      </c>
      <c r="F69" s="137">
        <v>0</v>
      </c>
      <c r="G69" s="137">
        <v>0</v>
      </c>
      <c r="H69" s="137">
        <v>0</v>
      </c>
      <c r="I69" s="137">
        <v>0</v>
      </c>
      <c r="J69" s="137">
        <v>0</v>
      </c>
      <c r="K69" s="137">
        <v>1</v>
      </c>
      <c r="L69" s="137">
        <v>0</v>
      </c>
      <c r="M69" s="137">
        <v>1</v>
      </c>
      <c r="N69" s="138">
        <v>0</v>
      </c>
      <c r="O69" s="137">
        <v>0</v>
      </c>
      <c r="P69" s="137">
        <v>0</v>
      </c>
      <c r="Q69" s="137">
        <v>1</v>
      </c>
      <c r="R69" s="137">
        <v>0</v>
      </c>
      <c r="S69" s="137">
        <v>0</v>
      </c>
      <c r="T69" s="137">
        <v>0</v>
      </c>
      <c r="U69" s="137">
        <v>0</v>
      </c>
      <c r="V69" s="137">
        <v>0</v>
      </c>
      <c r="W69" s="137">
        <v>0</v>
      </c>
      <c r="X69" s="139">
        <v>0</v>
      </c>
      <c r="Y69" s="139">
        <v>0</v>
      </c>
      <c r="Z69" s="140">
        <v>0</v>
      </c>
      <c r="AA69" s="141">
        <v>0</v>
      </c>
      <c r="AB69" s="139">
        <v>1</v>
      </c>
      <c r="AC69" s="139">
        <v>0</v>
      </c>
      <c r="AD69" s="139">
        <v>0</v>
      </c>
      <c r="AE69" s="139">
        <v>0</v>
      </c>
      <c r="AF69" s="140">
        <v>0</v>
      </c>
      <c r="AG69" s="141">
        <v>0</v>
      </c>
      <c r="AH69" s="139">
        <v>0</v>
      </c>
      <c r="AI69" s="139">
        <v>1</v>
      </c>
      <c r="AJ69" s="139">
        <v>0</v>
      </c>
      <c r="AK69" s="139">
        <v>0</v>
      </c>
      <c r="AL69" s="140">
        <v>0</v>
      </c>
      <c r="AM69" s="141">
        <v>0</v>
      </c>
      <c r="AN69" s="139">
        <v>1</v>
      </c>
      <c r="AO69" s="139">
        <v>1</v>
      </c>
      <c r="AP69" s="139">
        <v>0</v>
      </c>
      <c r="AQ69" s="139">
        <v>1</v>
      </c>
      <c r="AR69" s="140">
        <v>0</v>
      </c>
      <c r="AS69" s="141">
        <v>1</v>
      </c>
      <c r="AT69" s="139">
        <v>0</v>
      </c>
      <c r="AU69" s="139">
        <v>0</v>
      </c>
      <c r="AV69" s="139">
        <v>0</v>
      </c>
      <c r="AW69" s="139">
        <v>1</v>
      </c>
      <c r="AX69" s="140">
        <v>0</v>
      </c>
      <c r="AY69" s="137">
        <v>0</v>
      </c>
      <c r="AZ69" s="137">
        <v>0</v>
      </c>
      <c r="BA69" s="137">
        <v>1</v>
      </c>
      <c r="BB69" s="137">
        <v>0</v>
      </c>
      <c r="BC69" s="137">
        <v>0</v>
      </c>
      <c r="BD69" s="137">
        <v>0</v>
      </c>
      <c r="BE69" s="137">
        <v>0</v>
      </c>
      <c r="BF69" s="137">
        <v>1</v>
      </c>
      <c r="BG69" s="137">
        <v>1</v>
      </c>
      <c r="BH69" s="139">
        <v>0</v>
      </c>
      <c r="BI69" s="139">
        <v>0</v>
      </c>
      <c r="BJ69" s="140">
        <v>1</v>
      </c>
      <c r="BK69" s="137">
        <v>0</v>
      </c>
      <c r="BL69" s="137">
        <v>0</v>
      </c>
      <c r="BM69" s="137">
        <v>0</v>
      </c>
      <c r="BN69" s="137">
        <v>0</v>
      </c>
      <c r="BO69" s="137">
        <v>0</v>
      </c>
      <c r="BP69" s="137">
        <v>0</v>
      </c>
      <c r="BQ69" s="137">
        <v>0</v>
      </c>
      <c r="BR69" s="137">
        <v>0</v>
      </c>
      <c r="BS69" s="137">
        <v>0</v>
      </c>
      <c r="BT69" s="139">
        <v>0</v>
      </c>
      <c r="BU69" s="139">
        <v>0</v>
      </c>
      <c r="BV69" s="206">
        <v>0</v>
      </c>
    </row>
    <row r="70" spans="1:74" ht="17" thickBot="1" x14ac:dyDescent="0.5">
      <c r="A70" s="74" t="s">
        <v>216</v>
      </c>
      <c r="B70" s="54" t="s">
        <v>69</v>
      </c>
      <c r="C70" s="136">
        <v>0</v>
      </c>
      <c r="D70" s="137">
        <v>0</v>
      </c>
      <c r="E70" s="137">
        <v>0</v>
      </c>
      <c r="F70" s="137">
        <v>0</v>
      </c>
      <c r="G70" s="137">
        <v>0</v>
      </c>
      <c r="H70" s="137">
        <v>0</v>
      </c>
      <c r="I70" s="137">
        <v>0</v>
      </c>
      <c r="J70" s="137">
        <v>0</v>
      </c>
      <c r="K70" s="137">
        <v>0</v>
      </c>
      <c r="L70" s="137">
        <v>0</v>
      </c>
      <c r="M70" s="137">
        <v>0</v>
      </c>
      <c r="N70" s="138">
        <v>0</v>
      </c>
      <c r="O70" s="137">
        <v>0</v>
      </c>
      <c r="P70" s="137">
        <v>0</v>
      </c>
      <c r="Q70" s="137">
        <v>0</v>
      </c>
      <c r="R70" s="137">
        <v>0</v>
      </c>
      <c r="S70" s="137">
        <v>0</v>
      </c>
      <c r="T70" s="137">
        <v>0</v>
      </c>
      <c r="U70" s="137">
        <v>0</v>
      </c>
      <c r="V70" s="137">
        <v>0</v>
      </c>
      <c r="W70" s="137">
        <v>0</v>
      </c>
      <c r="X70" s="139">
        <v>0</v>
      </c>
      <c r="Y70" s="139">
        <v>1</v>
      </c>
      <c r="Z70" s="140">
        <v>1</v>
      </c>
      <c r="AA70" s="141">
        <v>0</v>
      </c>
      <c r="AB70" s="139">
        <v>0</v>
      </c>
      <c r="AC70" s="139">
        <v>0</v>
      </c>
      <c r="AD70" s="139">
        <v>0</v>
      </c>
      <c r="AE70" s="139">
        <v>0</v>
      </c>
      <c r="AF70" s="140">
        <v>0</v>
      </c>
      <c r="AG70" s="141">
        <v>1</v>
      </c>
      <c r="AH70" s="139">
        <v>0</v>
      </c>
      <c r="AI70" s="139">
        <v>0</v>
      </c>
      <c r="AJ70" s="139">
        <v>0</v>
      </c>
      <c r="AK70" s="139">
        <v>0</v>
      </c>
      <c r="AL70" s="140">
        <v>1</v>
      </c>
      <c r="AM70" s="141">
        <v>0</v>
      </c>
      <c r="AN70" s="139">
        <v>0</v>
      </c>
      <c r="AO70" s="139">
        <v>0</v>
      </c>
      <c r="AP70" s="139">
        <v>0</v>
      </c>
      <c r="AQ70" s="139">
        <v>1</v>
      </c>
      <c r="AR70" s="140">
        <v>0</v>
      </c>
      <c r="AS70" s="141">
        <v>0</v>
      </c>
      <c r="AT70" s="139">
        <v>0</v>
      </c>
      <c r="AU70" s="139">
        <v>0</v>
      </c>
      <c r="AV70" s="139">
        <v>2</v>
      </c>
      <c r="AW70" s="139">
        <v>0</v>
      </c>
      <c r="AX70" s="140">
        <v>0</v>
      </c>
      <c r="AY70" s="137">
        <v>0</v>
      </c>
      <c r="AZ70" s="137">
        <v>0</v>
      </c>
      <c r="BA70" s="137">
        <v>1</v>
      </c>
      <c r="BB70" s="137">
        <v>0</v>
      </c>
      <c r="BC70" s="137">
        <v>0</v>
      </c>
      <c r="BD70" s="137">
        <v>0</v>
      </c>
      <c r="BE70" s="137">
        <v>0</v>
      </c>
      <c r="BF70" s="137">
        <v>0</v>
      </c>
      <c r="BG70" s="137">
        <v>0</v>
      </c>
      <c r="BH70" s="139">
        <v>0</v>
      </c>
      <c r="BI70" s="139">
        <v>0</v>
      </c>
      <c r="BJ70" s="140">
        <v>0</v>
      </c>
      <c r="BK70" s="137">
        <v>0</v>
      </c>
      <c r="BL70" s="137">
        <v>0</v>
      </c>
      <c r="BM70" s="137">
        <v>0</v>
      </c>
      <c r="BN70" s="137">
        <v>0</v>
      </c>
      <c r="BO70" s="137">
        <v>0</v>
      </c>
      <c r="BP70" s="137">
        <v>0</v>
      </c>
      <c r="BQ70" s="137">
        <v>0</v>
      </c>
      <c r="BR70" s="137">
        <v>0</v>
      </c>
      <c r="BS70" s="137">
        <v>0</v>
      </c>
      <c r="BT70" s="139">
        <v>0</v>
      </c>
      <c r="BU70" s="139">
        <v>0</v>
      </c>
      <c r="BV70" s="206">
        <v>0</v>
      </c>
    </row>
    <row r="71" spans="1:74" ht="17" thickBot="1" x14ac:dyDescent="0.5">
      <c r="A71" s="74" t="s">
        <v>192</v>
      </c>
      <c r="B71" s="54" t="s">
        <v>69</v>
      </c>
      <c r="C71" s="207">
        <v>0</v>
      </c>
      <c r="D71" s="208">
        <v>0</v>
      </c>
      <c r="E71" s="208">
        <v>3</v>
      </c>
      <c r="F71" s="208">
        <v>2</v>
      </c>
      <c r="G71" s="208">
        <v>1</v>
      </c>
      <c r="H71" s="208">
        <v>2</v>
      </c>
      <c r="I71" s="208">
        <v>0</v>
      </c>
      <c r="J71" s="208">
        <v>2</v>
      </c>
      <c r="K71" s="208">
        <v>1</v>
      </c>
      <c r="L71" s="208">
        <v>1</v>
      </c>
      <c r="M71" s="208">
        <v>0</v>
      </c>
      <c r="N71" s="209">
        <v>1</v>
      </c>
      <c r="O71" s="208">
        <v>1</v>
      </c>
      <c r="P71" s="208">
        <v>3</v>
      </c>
      <c r="Q71" s="208">
        <v>1</v>
      </c>
      <c r="R71" s="208">
        <v>2</v>
      </c>
      <c r="S71" s="208">
        <v>0</v>
      </c>
      <c r="T71" s="208">
        <v>1</v>
      </c>
      <c r="U71" s="208">
        <v>3</v>
      </c>
      <c r="V71" s="208">
        <v>1</v>
      </c>
      <c r="W71" s="208">
        <v>2</v>
      </c>
      <c r="X71" s="210">
        <v>1</v>
      </c>
      <c r="Y71" s="210">
        <v>1</v>
      </c>
      <c r="Z71" s="211">
        <v>2</v>
      </c>
      <c r="AA71" s="212">
        <v>1</v>
      </c>
      <c r="AB71" s="210">
        <v>0</v>
      </c>
      <c r="AC71" s="210">
        <v>0</v>
      </c>
      <c r="AD71" s="210">
        <v>0</v>
      </c>
      <c r="AE71" s="210">
        <v>1</v>
      </c>
      <c r="AF71" s="211">
        <v>0</v>
      </c>
      <c r="AG71" s="212">
        <v>5</v>
      </c>
      <c r="AH71" s="210">
        <v>1</v>
      </c>
      <c r="AI71" s="210">
        <v>3</v>
      </c>
      <c r="AJ71" s="210">
        <v>1</v>
      </c>
      <c r="AK71" s="210">
        <v>3</v>
      </c>
      <c r="AL71" s="211">
        <v>0</v>
      </c>
      <c r="AM71" s="212">
        <v>1</v>
      </c>
      <c r="AN71" s="210">
        <v>2</v>
      </c>
      <c r="AO71" s="210">
        <v>1</v>
      </c>
      <c r="AP71" s="210">
        <v>0</v>
      </c>
      <c r="AQ71" s="210">
        <v>2</v>
      </c>
      <c r="AR71" s="211">
        <v>1</v>
      </c>
      <c r="AS71" s="212">
        <v>0</v>
      </c>
      <c r="AT71" s="210">
        <v>1</v>
      </c>
      <c r="AU71" s="210">
        <v>2</v>
      </c>
      <c r="AV71" s="210">
        <v>0</v>
      </c>
      <c r="AW71" s="210">
        <v>2</v>
      </c>
      <c r="AX71" s="211">
        <v>5</v>
      </c>
      <c r="AY71" s="208">
        <v>1</v>
      </c>
      <c r="AZ71" s="208">
        <v>0</v>
      </c>
      <c r="BA71" s="208">
        <v>3</v>
      </c>
      <c r="BB71" s="208">
        <v>1</v>
      </c>
      <c r="BC71" s="208">
        <v>1</v>
      </c>
      <c r="BD71" s="208">
        <v>0</v>
      </c>
      <c r="BE71" s="208">
        <v>1</v>
      </c>
      <c r="BF71" s="208">
        <v>0</v>
      </c>
      <c r="BG71" s="208">
        <v>1</v>
      </c>
      <c r="BH71" s="210">
        <v>1</v>
      </c>
      <c r="BI71" s="210">
        <v>0</v>
      </c>
      <c r="BJ71" s="211">
        <v>0</v>
      </c>
      <c r="BK71" s="208">
        <v>2</v>
      </c>
      <c r="BL71" s="208">
        <v>0</v>
      </c>
      <c r="BM71" s="208">
        <v>2</v>
      </c>
      <c r="BN71" s="208">
        <v>0</v>
      </c>
      <c r="BO71" s="208">
        <v>1</v>
      </c>
      <c r="BP71" s="208"/>
      <c r="BQ71" s="208"/>
      <c r="BR71" s="208"/>
      <c r="BS71" s="208"/>
      <c r="BT71" s="210"/>
      <c r="BU71" s="210"/>
      <c r="BV71" s="213"/>
    </row>
    <row r="72" spans="1:74" ht="17" thickBot="1" x14ac:dyDescent="0.5">
      <c r="A72" s="74" t="s">
        <v>410</v>
      </c>
      <c r="B72" s="54" t="s">
        <v>69</v>
      </c>
      <c r="C72" s="136">
        <v>0</v>
      </c>
      <c r="D72" s="137">
        <v>0</v>
      </c>
      <c r="E72" s="137">
        <v>0</v>
      </c>
      <c r="F72" s="137">
        <v>0</v>
      </c>
      <c r="G72" s="137">
        <v>0</v>
      </c>
      <c r="H72" s="137">
        <v>1</v>
      </c>
      <c r="I72" s="137">
        <v>0</v>
      </c>
      <c r="J72" s="137">
        <v>0</v>
      </c>
      <c r="K72" s="137">
        <v>0</v>
      </c>
      <c r="L72" s="137">
        <v>0</v>
      </c>
      <c r="M72" s="137">
        <v>1</v>
      </c>
      <c r="N72" s="138">
        <v>0</v>
      </c>
      <c r="O72" s="137">
        <v>0</v>
      </c>
      <c r="P72" s="137">
        <v>0</v>
      </c>
      <c r="Q72" s="137">
        <v>0</v>
      </c>
      <c r="R72" s="137">
        <v>0</v>
      </c>
      <c r="S72" s="137">
        <v>0</v>
      </c>
      <c r="T72" s="137">
        <v>1</v>
      </c>
      <c r="U72" s="137">
        <v>0</v>
      </c>
      <c r="V72" s="137">
        <v>0</v>
      </c>
      <c r="W72" s="137">
        <v>0</v>
      </c>
      <c r="X72" s="139">
        <v>1</v>
      </c>
      <c r="Y72" s="139">
        <v>0</v>
      </c>
      <c r="Z72" s="140">
        <v>0</v>
      </c>
      <c r="AA72" s="141">
        <v>0</v>
      </c>
      <c r="AB72" s="139">
        <v>0</v>
      </c>
      <c r="AC72" s="139">
        <v>0</v>
      </c>
      <c r="AD72" s="139">
        <v>0</v>
      </c>
      <c r="AE72" s="139">
        <v>0</v>
      </c>
      <c r="AF72" s="140">
        <v>0</v>
      </c>
      <c r="AG72" s="141">
        <v>0</v>
      </c>
      <c r="AH72" s="139">
        <v>0</v>
      </c>
      <c r="AI72" s="139">
        <v>0</v>
      </c>
      <c r="AJ72" s="139">
        <v>0</v>
      </c>
      <c r="AK72" s="139">
        <v>0</v>
      </c>
      <c r="AL72" s="140">
        <v>1</v>
      </c>
      <c r="AM72" s="141">
        <v>0</v>
      </c>
      <c r="AN72" s="139">
        <v>0</v>
      </c>
      <c r="AO72" s="139">
        <v>1</v>
      </c>
      <c r="AP72" s="139">
        <v>1</v>
      </c>
      <c r="AQ72" s="139">
        <v>1</v>
      </c>
      <c r="AR72" s="140">
        <v>0</v>
      </c>
      <c r="AS72" s="141">
        <v>0</v>
      </c>
      <c r="AT72" s="139">
        <v>0</v>
      </c>
      <c r="AU72" s="139">
        <v>0</v>
      </c>
      <c r="AV72" s="139">
        <v>0</v>
      </c>
      <c r="AW72" s="139">
        <v>1</v>
      </c>
      <c r="AX72" s="140">
        <v>0</v>
      </c>
      <c r="AY72" s="137">
        <v>0</v>
      </c>
      <c r="AZ72" s="137">
        <v>0</v>
      </c>
      <c r="BA72" s="137">
        <v>0</v>
      </c>
      <c r="BB72" s="137">
        <v>0</v>
      </c>
      <c r="BC72" s="137">
        <v>0</v>
      </c>
      <c r="BD72" s="137">
        <v>0</v>
      </c>
      <c r="BE72" s="137">
        <v>1</v>
      </c>
      <c r="BF72" s="137">
        <v>0</v>
      </c>
      <c r="BG72" s="137">
        <v>0</v>
      </c>
      <c r="BH72" s="139">
        <v>0</v>
      </c>
      <c r="BI72" s="139">
        <v>0</v>
      </c>
      <c r="BJ72" s="140">
        <v>0</v>
      </c>
      <c r="BK72" s="137">
        <v>0</v>
      </c>
      <c r="BL72" s="137">
        <v>0</v>
      </c>
      <c r="BM72" s="137">
        <v>0</v>
      </c>
      <c r="BN72" s="137">
        <v>0</v>
      </c>
      <c r="BO72" s="137">
        <v>1</v>
      </c>
      <c r="BP72" s="137">
        <v>0</v>
      </c>
      <c r="BQ72" s="137">
        <v>1</v>
      </c>
      <c r="BR72" s="137">
        <v>0</v>
      </c>
      <c r="BS72" s="137">
        <v>0</v>
      </c>
      <c r="BT72" s="139">
        <v>0</v>
      </c>
      <c r="BU72" s="139">
        <v>0</v>
      </c>
      <c r="BV72" s="206">
        <v>1</v>
      </c>
    </row>
    <row r="73" spans="1:74" ht="17" thickBot="1" x14ac:dyDescent="0.5">
      <c r="A73" s="74" t="s">
        <v>413</v>
      </c>
      <c r="B73" s="54" t="s">
        <v>69</v>
      </c>
      <c r="C73" s="136">
        <v>0</v>
      </c>
      <c r="D73" s="137">
        <v>0</v>
      </c>
      <c r="E73" s="137">
        <v>0</v>
      </c>
      <c r="F73" s="137">
        <v>0</v>
      </c>
      <c r="G73" s="137">
        <v>0</v>
      </c>
      <c r="H73" s="137">
        <v>0</v>
      </c>
      <c r="I73" s="137">
        <v>0</v>
      </c>
      <c r="J73" s="137">
        <v>0</v>
      </c>
      <c r="K73" s="137">
        <v>0</v>
      </c>
      <c r="L73" s="137">
        <v>1</v>
      </c>
      <c r="M73" s="137">
        <v>0</v>
      </c>
      <c r="N73" s="138">
        <v>1</v>
      </c>
      <c r="O73" s="137">
        <v>0</v>
      </c>
      <c r="P73" s="137">
        <v>1</v>
      </c>
      <c r="Q73" s="137">
        <v>0</v>
      </c>
      <c r="R73" s="137">
        <v>1</v>
      </c>
      <c r="S73" s="137">
        <v>0</v>
      </c>
      <c r="T73" s="137">
        <v>0</v>
      </c>
      <c r="U73" s="137">
        <v>1</v>
      </c>
      <c r="V73" s="137">
        <v>1</v>
      </c>
      <c r="W73" s="137">
        <v>0</v>
      </c>
      <c r="X73" s="139">
        <v>0</v>
      </c>
      <c r="Y73" s="139">
        <v>0</v>
      </c>
      <c r="Z73" s="140">
        <v>0</v>
      </c>
      <c r="AA73" s="141">
        <v>2</v>
      </c>
      <c r="AB73" s="139">
        <v>0</v>
      </c>
      <c r="AC73" s="139">
        <v>2</v>
      </c>
      <c r="AD73" s="139">
        <v>0</v>
      </c>
      <c r="AE73" s="139">
        <v>0</v>
      </c>
      <c r="AF73" s="140">
        <v>0</v>
      </c>
      <c r="AG73" s="141">
        <v>0</v>
      </c>
      <c r="AH73" s="139">
        <v>1</v>
      </c>
      <c r="AI73" s="139">
        <v>0</v>
      </c>
      <c r="AJ73" s="139">
        <v>0</v>
      </c>
      <c r="AK73" s="139">
        <v>0</v>
      </c>
      <c r="AL73" s="140">
        <v>0</v>
      </c>
      <c r="AM73" s="141">
        <v>0</v>
      </c>
      <c r="AN73" s="139">
        <v>0</v>
      </c>
      <c r="AO73" s="139">
        <v>1</v>
      </c>
      <c r="AP73" s="139">
        <v>0</v>
      </c>
      <c r="AQ73" s="139">
        <v>0</v>
      </c>
      <c r="AR73" s="140">
        <v>0</v>
      </c>
      <c r="AS73" s="141">
        <v>0</v>
      </c>
      <c r="AT73" s="139">
        <v>0</v>
      </c>
      <c r="AU73" s="139">
        <v>0</v>
      </c>
      <c r="AV73" s="139">
        <v>0</v>
      </c>
      <c r="AW73" s="139">
        <v>0</v>
      </c>
      <c r="AX73" s="140">
        <v>0</v>
      </c>
      <c r="AY73" s="137">
        <v>0</v>
      </c>
      <c r="AZ73" s="137">
        <v>0</v>
      </c>
      <c r="BA73" s="137">
        <v>0</v>
      </c>
      <c r="BB73" s="137">
        <v>0</v>
      </c>
      <c r="BC73" s="137">
        <v>0</v>
      </c>
      <c r="BD73" s="137">
        <v>0</v>
      </c>
      <c r="BE73" s="137">
        <v>0</v>
      </c>
      <c r="BF73" s="137">
        <v>0</v>
      </c>
      <c r="BG73" s="137">
        <v>0</v>
      </c>
      <c r="BH73" s="139">
        <v>0</v>
      </c>
      <c r="BI73" s="139">
        <v>0</v>
      </c>
      <c r="BJ73" s="140">
        <v>0</v>
      </c>
      <c r="BK73" s="137">
        <v>0</v>
      </c>
      <c r="BL73" s="137">
        <v>0</v>
      </c>
      <c r="BM73" s="137">
        <v>0</v>
      </c>
      <c r="BN73" s="137">
        <v>0</v>
      </c>
      <c r="BO73" s="137">
        <v>0</v>
      </c>
      <c r="BP73" s="137">
        <v>0</v>
      </c>
      <c r="BQ73" s="137">
        <v>1</v>
      </c>
      <c r="BR73" s="137">
        <v>0</v>
      </c>
      <c r="BS73" s="137">
        <v>0</v>
      </c>
      <c r="BT73" s="139">
        <v>0</v>
      </c>
      <c r="BU73" s="139">
        <v>0</v>
      </c>
      <c r="BV73" s="206">
        <v>0</v>
      </c>
    </row>
    <row r="74" spans="1:74" ht="17" thickBot="1" x14ac:dyDescent="0.5">
      <c r="A74" s="74" t="s">
        <v>415</v>
      </c>
      <c r="B74" s="54" t="s">
        <v>69</v>
      </c>
      <c r="C74" s="136">
        <v>0</v>
      </c>
      <c r="D74" s="137">
        <v>0</v>
      </c>
      <c r="E74" s="137">
        <v>0</v>
      </c>
      <c r="F74" s="137">
        <v>0</v>
      </c>
      <c r="G74" s="137">
        <v>0</v>
      </c>
      <c r="H74" s="137">
        <v>0</v>
      </c>
      <c r="I74" s="137">
        <v>0</v>
      </c>
      <c r="J74" s="137">
        <v>0</v>
      </c>
      <c r="K74" s="137">
        <v>0</v>
      </c>
      <c r="L74" s="137">
        <v>0</v>
      </c>
      <c r="M74" s="137">
        <v>0</v>
      </c>
      <c r="N74" s="138">
        <v>0</v>
      </c>
      <c r="O74" s="137">
        <v>0</v>
      </c>
      <c r="P74" s="137">
        <v>0</v>
      </c>
      <c r="Q74" s="137">
        <v>0</v>
      </c>
      <c r="R74" s="137">
        <v>0</v>
      </c>
      <c r="S74" s="137">
        <v>0</v>
      </c>
      <c r="T74" s="137">
        <v>0</v>
      </c>
      <c r="U74" s="137">
        <v>0</v>
      </c>
      <c r="V74" s="137">
        <v>1</v>
      </c>
      <c r="W74" s="137">
        <v>0</v>
      </c>
      <c r="X74" s="139">
        <v>0</v>
      </c>
      <c r="Y74" s="139">
        <v>0</v>
      </c>
      <c r="Z74" s="140">
        <v>0</v>
      </c>
      <c r="AA74" s="141">
        <v>1</v>
      </c>
      <c r="AB74" s="139">
        <v>0</v>
      </c>
      <c r="AC74" s="139">
        <v>0</v>
      </c>
      <c r="AD74" s="139">
        <v>0</v>
      </c>
      <c r="AE74" s="139">
        <v>0</v>
      </c>
      <c r="AF74" s="140">
        <v>0</v>
      </c>
      <c r="AG74" s="141">
        <v>0</v>
      </c>
      <c r="AH74" s="139">
        <v>0</v>
      </c>
      <c r="AI74" s="139">
        <v>0</v>
      </c>
      <c r="AJ74" s="139">
        <v>0</v>
      </c>
      <c r="AK74" s="139">
        <v>1</v>
      </c>
      <c r="AL74" s="140">
        <v>0</v>
      </c>
      <c r="AM74" s="141">
        <v>0</v>
      </c>
      <c r="AN74" s="139">
        <v>0</v>
      </c>
      <c r="AO74" s="139">
        <v>0</v>
      </c>
      <c r="AP74" s="139">
        <v>0</v>
      </c>
      <c r="AQ74" s="139">
        <v>0</v>
      </c>
      <c r="AR74" s="140">
        <v>0</v>
      </c>
      <c r="AS74" s="141">
        <v>0</v>
      </c>
      <c r="AT74" s="139">
        <v>0</v>
      </c>
      <c r="AU74" s="139">
        <v>0</v>
      </c>
      <c r="AV74" s="139">
        <v>0</v>
      </c>
      <c r="AW74" s="139">
        <v>0</v>
      </c>
      <c r="AX74" s="140">
        <v>0</v>
      </c>
      <c r="AY74" s="137">
        <v>0</v>
      </c>
      <c r="AZ74" s="137">
        <v>1</v>
      </c>
      <c r="BA74" s="137">
        <v>1</v>
      </c>
      <c r="BB74" s="137">
        <v>0</v>
      </c>
      <c r="BC74" s="137">
        <v>0</v>
      </c>
      <c r="BD74" s="137">
        <v>0</v>
      </c>
      <c r="BE74" s="137">
        <v>1</v>
      </c>
      <c r="BF74" s="137">
        <v>0</v>
      </c>
      <c r="BG74" s="137">
        <v>1</v>
      </c>
      <c r="BH74" s="139">
        <v>0</v>
      </c>
      <c r="BI74" s="139">
        <v>0</v>
      </c>
      <c r="BJ74" s="140">
        <v>0</v>
      </c>
      <c r="BK74" s="137">
        <v>1</v>
      </c>
      <c r="BL74" s="137">
        <v>0</v>
      </c>
      <c r="BM74" s="137">
        <v>0</v>
      </c>
      <c r="BN74" s="137">
        <v>1</v>
      </c>
      <c r="BO74" s="137">
        <v>0</v>
      </c>
      <c r="BP74" s="137">
        <v>0</v>
      </c>
      <c r="BQ74" s="137">
        <v>0</v>
      </c>
      <c r="BR74" s="137">
        <v>1</v>
      </c>
      <c r="BS74" s="137">
        <v>1</v>
      </c>
      <c r="BT74" s="139">
        <v>1</v>
      </c>
      <c r="BU74" s="139">
        <v>0</v>
      </c>
      <c r="BV74" s="206">
        <v>0</v>
      </c>
    </row>
    <row r="75" spans="1:74" ht="17" thickBot="1" x14ac:dyDescent="0.5">
      <c r="A75" s="74" t="s">
        <v>417</v>
      </c>
      <c r="B75" s="54" t="s">
        <v>69</v>
      </c>
      <c r="C75" s="136">
        <v>0</v>
      </c>
      <c r="D75" s="137">
        <v>2</v>
      </c>
      <c r="E75" s="137">
        <v>1</v>
      </c>
      <c r="F75" s="137">
        <v>0</v>
      </c>
      <c r="G75" s="137">
        <v>0</v>
      </c>
      <c r="H75" s="137">
        <v>0</v>
      </c>
      <c r="I75" s="137">
        <v>0</v>
      </c>
      <c r="J75" s="137">
        <v>0</v>
      </c>
      <c r="K75" s="137">
        <v>2</v>
      </c>
      <c r="L75" s="137">
        <v>0</v>
      </c>
      <c r="M75" s="137">
        <v>3</v>
      </c>
      <c r="N75" s="138">
        <v>0</v>
      </c>
      <c r="O75" s="137">
        <v>3</v>
      </c>
      <c r="P75" s="137">
        <v>0</v>
      </c>
      <c r="Q75" s="137">
        <v>0</v>
      </c>
      <c r="R75" s="137">
        <v>0</v>
      </c>
      <c r="S75" s="137">
        <v>0</v>
      </c>
      <c r="T75" s="137">
        <v>1</v>
      </c>
      <c r="U75" s="137">
        <v>0</v>
      </c>
      <c r="V75" s="137">
        <v>1</v>
      </c>
      <c r="W75" s="137">
        <v>2</v>
      </c>
      <c r="X75" s="139">
        <v>0</v>
      </c>
      <c r="Y75" s="139">
        <v>0</v>
      </c>
      <c r="Z75" s="140">
        <v>1</v>
      </c>
      <c r="AA75" s="141">
        <v>1</v>
      </c>
      <c r="AB75" s="139">
        <v>1</v>
      </c>
      <c r="AC75" s="139">
        <v>1</v>
      </c>
      <c r="AD75" s="139">
        <v>1</v>
      </c>
      <c r="AE75" s="139">
        <v>0</v>
      </c>
      <c r="AF75" s="140">
        <v>0</v>
      </c>
      <c r="AG75" s="141">
        <v>1</v>
      </c>
      <c r="AH75" s="139">
        <v>1</v>
      </c>
      <c r="AI75" s="139">
        <v>0</v>
      </c>
      <c r="AJ75" s="139">
        <v>1</v>
      </c>
      <c r="AK75" s="139">
        <v>1</v>
      </c>
      <c r="AL75" s="140">
        <v>1</v>
      </c>
      <c r="AM75" s="141">
        <v>0</v>
      </c>
      <c r="AN75" s="139">
        <v>0</v>
      </c>
      <c r="AO75" s="139">
        <v>0</v>
      </c>
      <c r="AP75" s="139">
        <v>0</v>
      </c>
      <c r="AQ75" s="139">
        <v>2</v>
      </c>
      <c r="AR75" s="140">
        <v>0</v>
      </c>
      <c r="AS75" s="141">
        <v>0</v>
      </c>
      <c r="AT75" s="139">
        <v>1</v>
      </c>
      <c r="AU75" s="139">
        <v>0</v>
      </c>
      <c r="AV75" s="139">
        <v>1</v>
      </c>
      <c r="AW75" s="139">
        <v>0</v>
      </c>
      <c r="AX75" s="140">
        <v>0</v>
      </c>
      <c r="AY75" s="137">
        <v>1</v>
      </c>
      <c r="AZ75" s="137">
        <v>0</v>
      </c>
      <c r="BA75" s="137">
        <v>0</v>
      </c>
      <c r="BB75" s="137">
        <v>0</v>
      </c>
      <c r="BC75" s="137">
        <v>2</v>
      </c>
      <c r="BD75" s="137">
        <v>1</v>
      </c>
      <c r="BE75" s="137">
        <v>1</v>
      </c>
      <c r="BF75" s="137">
        <v>0</v>
      </c>
      <c r="BG75" s="137">
        <v>2</v>
      </c>
      <c r="BH75" s="139">
        <v>1</v>
      </c>
      <c r="BI75" s="139">
        <v>2</v>
      </c>
      <c r="BJ75" s="140">
        <v>2</v>
      </c>
      <c r="BK75" s="137">
        <v>1</v>
      </c>
      <c r="BL75" s="137">
        <v>0</v>
      </c>
      <c r="BM75" s="137">
        <v>0</v>
      </c>
      <c r="BN75" s="137">
        <v>1</v>
      </c>
      <c r="BO75" s="137">
        <v>0</v>
      </c>
      <c r="BP75" s="137">
        <v>0</v>
      </c>
      <c r="BQ75" s="137">
        <v>0</v>
      </c>
      <c r="BR75" s="137">
        <v>0</v>
      </c>
      <c r="BS75" s="137">
        <v>1</v>
      </c>
      <c r="BT75" s="139">
        <v>1</v>
      </c>
      <c r="BU75" s="139">
        <v>0</v>
      </c>
      <c r="BV75" s="206">
        <v>1</v>
      </c>
    </row>
    <row r="76" spans="1:74" ht="17" thickBot="1" x14ac:dyDescent="0.5">
      <c r="A76" s="74" t="s">
        <v>419</v>
      </c>
      <c r="B76" s="54" t="s">
        <v>69</v>
      </c>
      <c r="C76" s="136">
        <v>0</v>
      </c>
      <c r="D76" s="137">
        <v>0</v>
      </c>
      <c r="E76" s="137">
        <v>0</v>
      </c>
      <c r="F76" s="137">
        <v>0</v>
      </c>
      <c r="G76" s="137">
        <v>0</v>
      </c>
      <c r="H76" s="137">
        <v>1</v>
      </c>
      <c r="I76" s="137">
        <v>0</v>
      </c>
      <c r="J76" s="137">
        <v>0</v>
      </c>
      <c r="K76" s="137">
        <v>0</v>
      </c>
      <c r="L76" s="137">
        <v>0</v>
      </c>
      <c r="M76" s="137">
        <v>0</v>
      </c>
      <c r="N76" s="138">
        <v>0</v>
      </c>
      <c r="O76" s="137">
        <v>1</v>
      </c>
      <c r="P76" s="137">
        <v>0</v>
      </c>
      <c r="Q76" s="137">
        <v>0</v>
      </c>
      <c r="R76" s="137">
        <v>0</v>
      </c>
      <c r="S76" s="137">
        <v>0</v>
      </c>
      <c r="T76" s="137">
        <v>0</v>
      </c>
      <c r="U76" s="137">
        <v>1</v>
      </c>
      <c r="V76" s="137">
        <v>0</v>
      </c>
      <c r="W76" s="137">
        <v>0</v>
      </c>
      <c r="X76" s="139">
        <v>0</v>
      </c>
      <c r="Y76" s="139">
        <v>0</v>
      </c>
      <c r="Z76" s="140">
        <v>0</v>
      </c>
      <c r="AA76" s="141">
        <v>0</v>
      </c>
      <c r="AB76" s="139">
        <v>0</v>
      </c>
      <c r="AC76" s="139">
        <v>0</v>
      </c>
      <c r="AD76" s="139">
        <v>0</v>
      </c>
      <c r="AE76" s="139">
        <v>0</v>
      </c>
      <c r="AF76" s="140">
        <v>0</v>
      </c>
      <c r="AG76" s="141">
        <v>0</v>
      </c>
      <c r="AH76" s="139">
        <v>1</v>
      </c>
      <c r="AI76" s="139">
        <v>0</v>
      </c>
      <c r="AJ76" s="139">
        <v>0</v>
      </c>
      <c r="AK76" s="139">
        <v>0</v>
      </c>
      <c r="AL76" s="140">
        <v>0</v>
      </c>
      <c r="AM76" s="141">
        <v>0</v>
      </c>
      <c r="AN76" s="139">
        <v>1</v>
      </c>
      <c r="AO76" s="139">
        <v>0</v>
      </c>
      <c r="AP76" s="139">
        <v>0</v>
      </c>
      <c r="AQ76" s="139">
        <v>0</v>
      </c>
      <c r="AR76" s="140">
        <v>0</v>
      </c>
      <c r="AS76" s="141">
        <v>0</v>
      </c>
      <c r="AT76" s="139">
        <v>1</v>
      </c>
      <c r="AU76" s="139">
        <v>0</v>
      </c>
      <c r="AV76" s="139">
        <v>0</v>
      </c>
      <c r="AW76" s="139">
        <v>1</v>
      </c>
      <c r="AX76" s="140">
        <v>0</v>
      </c>
      <c r="AY76" s="137">
        <v>1</v>
      </c>
      <c r="AZ76" s="137">
        <v>0</v>
      </c>
      <c r="BA76" s="137">
        <v>0</v>
      </c>
      <c r="BB76" s="137">
        <v>0</v>
      </c>
      <c r="BC76" s="137">
        <v>0</v>
      </c>
      <c r="BD76" s="137">
        <v>0</v>
      </c>
      <c r="BE76" s="137">
        <v>0</v>
      </c>
      <c r="BF76" s="137">
        <v>0</v>
      </c>
      <c r="BG76" s="137">
        <v>1</v>
      </c>
      <c r="BH76" s="139">
        <v>0</v>
      </c>
      <c r="BI76" s="139">
        <v>0</v>
      </c>
      <c r="BJ76" s="140">
        <v>0</v>
      </c>
      <c r="BK76" s="137">
        <v>0</v>
      </c>
      <c r="BL76" s="137">
        <v>0</v>
      </c>
      <c r="BM76" s="137">
        <v>0</v>
      </c>
      <c r="BN76" s="137">
        <v>0</v>
      </c>
      <c r="BO76" s="137">
        <v>0</v>
      </c>
      <c r="BP76" s="137">
        <v>1</v>
      </c>
      <c r="BQ76" s="137">
        <v>0</v>
      </c>
      <c r="BR76" s="137">
        <v>0</v>
      </c>
      <c r="BS76" s="137">
        <v>0</v>
      </c>
      <c r="BT76" s="139">
        <v>0</v>
      </c>
      <c r="BU76" s="139">
        <v>0</v>
      </c>
      <c r="BV76" s="206">
        <v>0</v>
      </c>
    </row>
    <row r="77" spans="1:74" ht="17" thickBot="1" x14ac:dyDescent="0.5">
      <c r="A77" s="74" t="s">
        <v>421</v>
      </c>
      <c r="B77" s="54" t="s">
        <v>69</v>
      </c>
      <c r="C77" s="136">
        <v>0</v>
      </c>
      <c r="D77" s="137">
        <v>0</v>
      </c>
      <c r="E77" s="137">
        <v>0</v>
      </c>
      <c r="F77" s="137">
        <v>0</v>
      </c>
      <c r="G77" s="137">
        <v>0</v>
      </c>
      <c r="H77" s="137">
        <v>1</v>
      </c>
      <c r="I77" s="137">
        <v>1</v>
      </c>
      <c r="J77" s="137">
        <v>0</v>
      </c>
      <c r="K77" s="137">
        <v>0</v>
      </c>
      <c r="L77" s="137">
        <v>0</v>
      </c>
      <c r="M77" s="137">
        <v>2</v>
      </c>
      <c r="N77" s="138">
        <v>0</v>
      </c>
      <c r="O77" s="137">
        <v>0</v>
      </c>
      <c r="P77" s="137">
        <v>0</v>
      </c>
      <c r="Q77" s="137">
        <v>0</v>
      </c>
      <c r="R77" s="137">
        <v>0</v>
      </c>
      <c r="S77" s="137">
        <v>0</v>
      </c>
      <c r="T77" s="137">
        <v>3</v>
      </c>
      <c r="U77" s="137">
        <v>0</v>
      </c>
      <c r="V77" s="137">
        <v>1</v>
      </c>
      <c r="W77" s="137">
        <v>2</v>
      </c>
      <c r="X77" s="139">
        <v>1</v>
      </c>
      <c r="Y77" s="139">
        <v>0</v>
      </c>
      <c r="Z77" s="140">
        <v>0</v>
      </c>
      <c r="AA77" s="141">
        <v>0</v>
      </c>
      <c r="AB77" s="139">
        <v>0</v>
      </c>
      <c r="AC77" s="139">
        <v>1</v>
      </c>
      <c r="AD77" s="139">
        <v>0</v>
      </c>
      <c r="AE77" s="139">
        <v>0</v>
      </c>
      <c r="AF77" s="140">
        <v>0</v>
      </c>
      <c r="AG77" s="141">
        <v>1</v>
      </c>
      <c r="AH77" s="139">
        <v>0</v>
      </c>
      <c r="AI77" s="139">
        <v>0</v>
      </c>
      <c r="AJ77" s="139">
        <v>0</v>
      </c>
      <c r="AK77" s="139">
        <v>0</v>
      </c>
      <c r="AL77" s="140">
        <v>0</v>
      </c>
      <c r="AM77" s="141">
        <v>0</v>
      </c>
      <c r="AN77" s="139">
        <v>2</v>
      </c>
      <c r="AO77" s="139">
        <v>0</v>
      </c>
      <c r="AP77" s="139">
        <v>0</v>
      </c>
      <c r="AQ77" s="139">
        <v>0</v>
      </c>
      <c r="AR77" s="140">
        <v>0</v>
      </c>
      <c r="AS77" s="141">
        <v>0</v>
      </c>
      <c r="AT77" s="139">
        <v>0</v>
      </c>
      <c r="AU77" s="139">
        <v>0</v>
      </c>
      <c r="AV77" s="139">
        <v>1</v>
      </c>
      <c r="AW77" s="139">
        <v>0</v>
      </c>
      <c r="AX77" s="140">
        <v>1</v>
      </c>
      <c r="AY77" s="137">
        <v>1</v>
      </c>
      <c r="AZ77" s="137">
        <v>1</v>
      </c>
      <c r="BA77" s="137">
        <v>1</v>
      </c>
      <c r="BB77" s="137">
        <v>0</v>
      </c>
      <c r="BC77" s="137">
        <v>0</v>
      </c>
      <c r="BD77" s="137">
        <v>1</v>
      </c>
      <c r="BE77" s="137">
        <v>0</v>
      </c>
      <c r="BF77" s="137">
        <v>1</v>
      </c>
      <c r="BG77" s="137">
        <v>0</v>
      </c>
      <c r="BH77" s="139">
        <v>1</v>
      </c>
      <c r="BI77" s="139">
        <v>0</v>
      </c>
      <c r="BJ77" s="140">
        <v>1</v>
      </c>
      <c r="BK77" s="137">
        <v>1</v>
      </c>
      <c r="BL77" s="137">
        <v>1</v>
      </c>
      <c r="BM77" s="137">
        <v>1</v>
      </c>
      <c r="BN77" s="137">
        <v>0</v>
      </c>
      <c r="BO77" s="137">
        <v>0</v>
      </c>
      <c r="BP77" s="137">
        <v>0</v>
      </c>
      <c r="BQ77" s="137">
        <v>0</v>
      </c>
      <c r="BR77" s="137">
        <v>0</v>
      </c>
      <c r="BS77" s="137">
        <v>0</v>
      </c>
      <c r="BT77" s="139">
        <v>0</v>
      </c>
      <c r="BU77" s="139">
        <v>2</v>
      </c>
      <c r="BV77" s="206">
        <v>0</v>
      </c>
    </row>
    <row r="78" spans="1:74" ht="17" thickBot="1" x14ac:dyDescent="0.5">
      <c r="A78" s="74" t="s">
        <v>423</v>
      </c>
      <c r="B78" s="54" t="s">
        <v>69</v>
      </c>
      <c r="C78" s="136">
        <v>0</v>
      </c>
      <c r="D78" s="137">
        <v>0</v>
      </c>
      <c r="E78" s="137">
        <v>0</v>
      </c>
      <c r="F78" s="137">
        <v>0</v>
      </c>
      <c r="G78" s="137">
        <v>0</v>
      </c>
      <c r="H78" s="137">
        <v>0</v>
      </c>
      <c r="I78" s="137">
        <v>1</v>
      </c>
      <c r="J78" s="137">
        <v>0</v>
      </c>
      <c r="K78" s="137">
        <v>0</v>
      </c>
      <c r="L78" s="137">
        <v>0</v>
      </c>
      <c r="M78" s="137">
        <v>0</v>
      </c>
      <c r="N78" s="138">
        <v>0</v>
      </c>
      <c r="O78" s="137">
        <v>0</v>
      </c>
      <c r="P78" s="137">
        <v>0</v>
      </c>
      <c r="Q78" s="137">
        <v>2</v>
      </c>
      <c r="R78" s="137">
        <v>1</v>
      </c>
      <c r="S78" s="137">
        <v>0</v>
      </c>
      <c r="T78" s="137">
        <v>0</v>
      </c>
      <c r="U78" s="137">
        <v>1</v>
      </c>
      <c r="V78" s="137">
        <v>0</v>
      </c>
      <c r="W78" s="137">
        <v>0</v>
      </c>
      <c r="X78" s="139">
        <v>1</v>
      </c>
      <c r="Y78" s="139">
        <v>0</v>
      </c>
      <c r="Z78" s="140">
        <v>0</v>
      </c>
      <c r="AA78" s="141">
        <v>2</v>
      </c>
      <c r="AB78" s="139">
        <v>0</v>
      </c>
      <c r="AC78" s="139">
        <v>4</v>
      </c>
      <c r="AD78" s="139">
        <v>0</v>
      </c>
      <c r="AE78" s="139">
        <v>2</v>
      </c>
      <c r="AF78" s="140">
        <v>1</v>
      </c>
      <c r="AG78" s="141">
        <v>0</v>
      </c>
      <c r="AH78" s="139">
        <v>0</v>
      </c>
      <c r="AI78" s="139">
        <v>1</v>
      </c>
      <c r="AJ78" s="139">
        <v>0</v>
      </c>
      <c r="AK78" s="139">
        <v>0</v>
      </c>
      <c r="AL78" s="140">
        <v>2</v>
      </c>
      <c r="AM78" s="141">
        <v>0</v>
      </c>
      <c r="AN78" s="139">
        <v>2</v>
      </c>
      <c r="AO78" s="139">
        <v>0</v>
      </c>
      <c r="AP78" s="139">
        <v>1</v>
      </c>
      <c r="AQ78" s="139">
        <v>0</v>
      </c>
      <c r="AR78" s="140">
        <v>0</v>
      </c>
      <c r="AS78" s="141">
        <v>0</v>
      </c>
      <c r="AT78" s="139">
        <v>0</v>
      </c>
      <c r="AU78" s="139">
        <v>1</v>
      </c>
      <c r="AV78" s="139">
        <v>0</v>
      </c>
      <c r="AW78" s="139">
        <v>2</v>
      </c>
      <c r="AX78" s="140">
        <v>1</v>
      </c>
      <c r="AY78" s="137">
        <v>0</v>
      </c>
      <c r="AZ78" s="137">
        <v>0</v>
      </c>
      <c r="BA78" s="137">
        <v>1</v>
      </c>
      <c r="BB78" s="137">
        <v>0</v>
      </c>
      <c r="BC78" s="137">
        <v>1</v>
      </c>
      <c r="BD78" s="137">
        <v>1</v>
      </c>
      <c r="BE78" s="137">
        <v>0</v>
      </c>
      <c r="BF78" s="137">
        <v>1</v>
      </c>
      <c r="BG78" s="137">
        <v>0</v>
      </c>
      <c r="BH78" s="139">
        <v>2</v>
      </c>
      <c r="BI78" s="139">
        <v>0</v>
      </c>
      <c r="BJ78" s="140">
        <v>0</v>
      </c>
      <c r="BK78" s="137">
        <v>1</v>
      </c>
      <c r="BL78" s="137">
        <v>0</v>
      </c>
      <c r="BM78" s="137">
        <v>0</v>
      </c>
      <c r="BN78" s="137">
        <v>0</v>
      </c>
      <c r="BO78" s="137">
        <v>0</v>
      </c>
      <c r="BP78" s="137">
        <v>0</v>
      </c>
      <c r="BQ78" s="137">
        <v>0</v>
      </c>
      <c r="BR78" s="137">
        <v>0</v>
      </c>
      <c r="BS78" s="137">
        <v>0</v>
      </c>
      <c r="BT78" s="139">
        <v>2</v>
      </c>
      <c r="BU78" s="139">
        <v>0</v>
      </c>
      <c r="BV78" s="206">
        <v>0</v>
      </c>
    </row>
    <row r="79" spans="1:74" ht="17" thickBot="1" x14ac:dyDescent="0.5">
      <c r="A79" s="74" t="s">
        <v>429</v>
      </c>
      <c r="B79" s="54" t="s">
        <v>69</v>
      </c>
      <c r="C79" s="136">
        <v>0</v>
      </c>
      <c r="D79" s="137">
        <v>0</v>
      </c>
      <c r="E79" s="137">
        <v>0</v>
      </c>
      <c r="F79" s="137">
        <v>0</v>
      </c>
      <c r="G79" s="137">
        <v>0</v>
      </c>
      <c r="H79" s="137">
        <v>0</v>
      </c>
      <c r="I79" s="137">
        <v>0</v>
      </c>
      <c r="J79" s="137">
        <v>0</v>
      </c>
      <c r="K79" s="137">
        <v>0</v>
      </c>
      <c r="L79" s="137">
        <v>0</v>
      </c>
      <c r="M79" s="137">
        <v>0</v>
      </c>
      <c r="N79" s="138">
        <v>0</v>
      </c>
      <c r="O79" s="137">
        <v>0</v>
      </c>
      <c r="P79" s="137">
        <v>0</v>
      </c>
      <c r="Q79" s="137">
        <v>0</v>
      </c>
      <c r="R79" s="137">
        <v>0</v>
      </c>
      <c r="S79" s="137">
        <v>0</v>
      </c>
      <c r="T79" s="137">
        <v>0</v>
      </c>
      <c r="U79" s="137">
        <v>0</v>
      </c>
      <c r="V79" s="137">
        <v>0</v>
      </c>
      <c r="W79" s="137">
        <v>0</v>
      </c>
      <c r="X79" s="139">
        <v>0</v>
      </c>
      <c r="Y79" s="139">
        <v>0</v>
      </c>
      <c r="Z79" s="140">
        <v>0</v>
      </c>
      <c r="AA79" s="141">
        <v>1</v>
      </c>
      <c r="AB79" s="139">
        <v>1</v>
      </c>
      <c r="AC79" s="139">
        <v>0</v>
      </c>
      <c r="AD79" s="139">
        <v>0</v>
      </c>
      <c r="AE79" s="139">
        <v>0</v>
      </c>
      <c r="AF79" s="140">
        <v>0</v>
      </c>
      <c r="AG79" s="141">
        <v>0</v>
      </c>
      <c r="AH79" s="139">
        <v>0</v>
      </c>
      <c r="AI79" s="139">
        <v>0</v>
      </c>
      <c r="AJ79" s="139">
        <v>0</v>
      </c>
      <c r="AK79" s="139">
        <v>1</v>
      </c>
      <c r="AL79" s="140">
        <v>0</v>
      </c>
      <c r="AM79" s="141">
        <v>0</v>
      </c>
      <c r="AN79" s="139">
        <v>0</v>
      </c>
      <c r="AO79" s="139">
        <v>0</v>
      </c>
      <c r="AP79" s="139">
        <v>0</v>
      </c>
      <c r="AQ79" s="139">
        <v>2</v>
      </c>
      <c r="AR79" s="140">
        <v>0</v>
      </c>
      <c r="AS79" s="141">
        <v>0</v>
      </c>
      <c r="AT79" s="139">
        <v>1</v>
      </c>
      <c r="AU79" s="139">
        <v>0</v>
      </c>
      <c r="AV79" s="139">
        <v>1</v>
      </c>
      <c r="AW79" s="139">
        <v>0</v>
      </c>
      <c r="AX79" s="140">
        <v>0</v>
      </c>
      <c r="AY79" s="137">
        <v>0</v>
      </c>
      <c r="AZ79" s="137">
        <v>0</v>
      </c>
      <c r="BA79" s="137">
        <v>0</v>
      </c>
      <c r="BB79" s="137">
        <v>0</v>
      </c>
      <c r="BC79" s="137">
        <v>0</v>
      </c>
      <c r="BD79" s="137">
        <v>0</v>
      </c>
      <c r="BE79" s="137">
        <v>0</v>
      </c>
      <c r="BF79" s="137">
        <v>0</v>
      </c>
      <c r="BG79" s="137">
        <v>0</v>
      </c>
      <c r="BH79" s="139">
        <v>0</v>
      </c>
      <c r="BI79" s="139">
        <v>1</v>
      </c>
      <c r="BJ79" s="140">
        <v>0</v>
      </c>
      <c r="BK79" s="137">
        <v>0</v>
      </c>
      <c r="BL79" s="137">
        <v>0</v>
      </c>
      <c r="BM79" s="137">
        <v>0</v>
      </c>
      <c r="BN79" s="137">
        <v>0</v>
      </c>
      <c r="BO79" s="137">
        <v>0</v>
      </c>
      <c r="BP79" s="137">
        <v>1</v>
      </c>
      <c r="BQ79" s="137">
        <v>0</v>
      </c>
      <c r="BR79" s="137">
        <v>0</v>
      </c>
      <c r="BS79" s="137">
        <v>0</v>
      </c>
      <c r="BT79" s="139">
        <v>0</v>
      </c>
      <c r="BU79" s="139">
        <v>0</v>
      </c>
      <c r="BV79" s="206">
        <v>0</v>
      </c>
    </row>
    <row r="80" spans="1:74" ht="17" thickBot="1" x14ac:dyDescent="0.5">
      <c r="A80" s="74" t="s">
        <v>427</v>
      </c>
      <c r="B80" s="54" t="s">
        <v>69</v>
      </c>
      <c r="C80" s="136">
        <v>0</v>
      </c>
      <c r="D80" s="137">
        <v>0</v>
      </c>
      <c r="E80" s="137">
        <v>0</v>
      </c>
      <c r="F80" s="137">
        <v>0</v>
      </c>
      <c r="G80" s="137">
        <v>0</v>
      </c>
      <c r="H80" s="137">
        <v>0</v>
      </c>
      <c r="I80" s="137">
        <v>0</v>
      </c>
      <c r="J80" s="137">
        <v>0</v>
      </c>
      <c r="K80" s="137">
        <v>0</v>
      </c>
      <c r="L80" s="137">
        <v>0</v>
      </c>
      <c r="M80" s="137">
        <v>0</v>
      </c>
      <c r="N80" s="138">
        <v>0</v>
      </c>
      <c r="O80" s="137">
        <v>1</v>
      </c>
      <c r="P80" s="137">
        <v>0</v>
      </c>
      <c r="Q80" s="137">
        <v>1</v>
      </c>
      <c r="R80" s="137">
        <v>0</v>
      </c>
      <c r="S80" s="137">
        <v>0</v>
      </c>
      <c r="T80" s="137">
        <v>0</v>
      </c>
      <c r="U80" s="137">
        <v>0</v>
      </c>
      <c r="V80" s="137">
        <v>0</v>
      </c>
      <c r="W80" s="137">
        <v>0</v>
      </c>
      <c r="X80" s="139">
        <v>0</v>
      </c>
      <c r="Y80" s="139">
        <v>0</v>
      </c>
      <c r="Z80" s="140">
        <v>0</v>
      </c>
      <c r="AA80" s="141">
        <v>0</v>
      </c>
      <c r="AB80" s="139">
        <v>0</v>
      </c>
      <c r="AC80" s="139">
        <v>0</v>
      </c>
      <c r="AD80" s="139">
        <v>0</v>
      </c>
      <c r="AE80" s="139">
        <v>0</v>
      </c>
      <c r="AF80" s="140">
        <v>0</v>
      </c>
      <c r="AG80" s="141">
        <v>0</v>
      </c>
      <c r="AH80" s="139">
        <v>0</v>
      </c>
      <c r="AI80" s="139">
        <v>0</v>
      </c>
      <c r="AJ80" s="139">
        <v>0</v>
      </c>
      <c r="AK80" s="139">
        <v>0</v>
      </c>
      <c r="AL80" s="140">
        <v>1</v>
      </c>
      <c r="AM80" s="141">
        <v>0</v>
      </c>
      <c r="AN80" s="139">
        <v>0</v>
      </c>
      <c r="AO80" s="139">
        <v>0</v>
      </c>
      <c r="AP80" s="139">
        <v>0</v>
      </c>
      <c r="AQ80" s="139">
        <v>0</v>
      </c>
      <c r="AR80" s="140">
        <v>1</v>
      </c>
      <c r="AS80" s="141">
        <v>0</v>
      </c>
      <c r="AT80" s="139">
        <v>0</v>
      </c>
      <c r="AU80" s="139">
        <v>0</v>
      </c>
      <c r="AV80" s="139">
        <v>0</v>
      </c>
      <c r="AW80" s="139">
        <v>0</v>
      </c>
      <c r="AX80" s="140">
        <v>0</v>
      </c>
      <c r="AY80" s="137">
        <v>0</v>
      </c>
      <c r="AZ80" s="137">
        <v>0</v>
      </c>
      <c r="BA80" s="137">
        <v>0</v>
      </c>
      <c r="BB80" s="137">
        <v>0</v>
      </c>
      <c r="BC80" s="137">
        <v>0</v>
      </c>
      <c r="BD80" s="137">
        <v>0</v>
      </c>
      <c r="BE80" s="137">
        <v>0</v>
      </c>
      <c r="BF80" s="137">
        <v>0</v>
      </c>
      <c r="BG80" s="137">
        <v>0</v>
      </c>
      <c r="BH80" s="139">
        <v>0</v>
      </c>
      <c r="BI80" s="139">
        <v>0</v>
      </c>
      <c r="BJ80" s="140">
        <v>0</v>
      </c>
      <c r="BK80" s="137">
        <v>0</v>
      </c>
      <c r="BL80" s="137">
        <v>0</v>
      </c>
      <c r="BM80" s="137">
        <v>0</v>
      </c>
      <c r="BN80" s="137">
        <v>0</v>
      </c>
      <c r="BO80" s="137">
        <v>1</v>
      </c>
      <c r="BP80" s="137">
        <v>0</v>
      </c>
      <c r="BQ80" s="137">
        <v>0</v>
      </c>
      <c r="BR80" s="137">
        <v>0</v>
      </c>
      <c r="BS80" s="137">
        <v>0</v>
      </c>
      <c r="BT80" s="139">
        <v>0</v>
      </c>
      <c r="BU80" s="139">
        <v>0</v>
      </c>
      <c r="BV80" s="206">
        <v>0</v>
      </c>
    </row>
    <row r="81" spans="1:74" ht="17" thickBot="1" x14ac:dyDescent="0.5">
      <c r="A81" s="74" t="s">
        <v>425</v>
      </c>
      <c r="B81" s="54" t="s">
        <v>69</v>
      </c>
      <c r="C81" s="136">
        <v>0</v>
      </c>
      <c r="D81" s="137">
        <v>1</v>
      </c>
      <c r="E81" s="137">
        <v>1</v>
      </c>
      <c r="F81" s="137">
        <v>0</v>
      </c>
      <c r="G81" s="137">
        <v>0</v>
      </c>
      <c r="H81" s="137">
        <v>0</v>
      </c>
      <c r="I81" s="137">
        <v>0</v>
      </c>
      <c r="J81" s="137">
        <v>0</v>
      </c>
      <c r="K81" s="137">
        <v>0</v>
      </c>
      <c r="L81" s="137">
        <v>0</v>
      </c>
      <c r="M81" s="137">
        <v>1</v>
      </c>
      <c r="N81" s="138">
        <v>0</v>
      </c>
      <c r="O81" s="137">
        <v>0</v>
      </c>
      <c r="P81" s="137">
        <v>0</v>
      </c>
      <c r="Q81" s="137">
        <v>0</v>
      </c>
      <c r="R81" s="137">
        <v>0</v>
      </c>
      <c r="S81" s="137">
        <v>0</v>
      </c>
      <c r="T81" s="137">
        <v>0</v>
      </c>
      <c r="U81" s="137">
        <v>0</v>
      </c>
      <c r="V81" s="137">
        <v>0</v>
      </c>
      <c r="W81" s="137">
        <v>0</v>
      </c>
      <c r="X81" s="139">
        <v>0</v>
      </c>
      <c r="Y81" s="139">
        <v>0</v>
      </c>
      <c r="Z81" s="140">
        <v>0</v>
      </c>
      <c r="AA81" s="141">
        <v>0</v>
      </c>
      <c r="AB81" s="139">
        <v>0</v>
      </c>
      <c r="AC81" s="139">
        <v>1</v>
      </c>
      <c r="AD81" s="139">
        <v>0</v>
      </c>
      <c r="AE81" s="139">
        <v>0</v>
      </c>
      <c r="AF81" s="140">
        <v>0</v>
      </c>
      <c r="AG81" s="141">
        <v>0</v>
      </c>
      <c r="AH81" s="139">
        <v>0</v>
      </c>
      <c r="AI81" s="139">
        <v>0</v>
      </c>
      <c r="AJ81" s="139">
        <v>0</v>
      </c>
      <c r="AK81" s="139">
        <v>0</v>
      </c>
      <c r="AL81" s="140">
        <v>0</v>
      </c>
      <c r="AM81" s="141">
        <v>0</v>
      </c>
      <c r="AN81" s="139">
        <v>0</v>
      </c>
      <c r="AO81" s="139">
        <v>0</v>
      </c>
      <c r="AP81" s="139">
        <v>1</v>
      </c>
      <c r="AQ81" s="139">
        <v>0</v>
      </c>
      <c r="AR81" s="140">
        <v>1</v>
      </c>
      <c r="AS81" s="141">
        <v>1</v>
      </c>
      <c r="AT81" s="139">
        <v>0</v>
      </c>
      <c r="AU81" s="139">
        <v>1</v>
      </c>
      <c r="AV81" s="139">
        <v>0</v>
      </c>
      <c r="AW81" s="139">
        <v>0</v>
      </c>
      <c r="AX81" s="140">
        <v>0</v>
      </c>
      <c r="AY81" s="137">
        <v>0</v>
      </c>
      <c r="AZ81" s="137">
        <v>0</v>
      </c>
      <c r="BA81" s="137">
        <v>0</v>
      </c>
      <c r="BB81" s="137">
        <v>1</v>
      </c>
      <c r="BC81" s="137">
        <v>0</v>
      </c>
      <c r="BD81" s="137">
        <v>0</v>
      </c>
      <c r="BE81" s="137">
        <v>0</v>
      </c>
      <c r="BF81" s="137">
        <v>0</v>
      </c>
      <c r="BG81" s="137">
        <v>0</v>
      </c>
      <c r="BH81" s="139">
        <v>1</v>
      </c>
      <c r="BI81" s="139">
        <v>0</v>
      </c>
      <c r="BJ81" s="140">
        <v>0</v>
      </c>
      <c r="BK81" s="137">
        <v>1</v>
      </c>
      <c r="BL81" s="137">
        <v>0</v>
      </c>
      <c r="BM81" s="137">
        <v>0</v>
      </c>
      <c r="BN81" s="137">
        <v>0</v>
      </c>
      <c r="BO81" s="137">
        <v>0</v>
      </c>
      <c r="BP81" s="137">
        <v>0</v>
      </c>
      <c r="BQ81" s="137">
        <v>0</v>
      </c>
      <c r="BR81" s="137">
        <v>0</v>
      </c>
      <c r="BS81" s="137">
        <v>0</v>
      </c>
      <c r="BT81" s="139">
        <v>1</v>
      </c>
      <c r="BU81" s="139">
        <v>0</v>
      </c>
      <c r="BV81" s="206">
        <v>0</v>
      </c>
    </row>
    <row r="82" spans="1:74" ht="16.5" x14ac:dyDescent="0.45">
      <c r="A82" s="74" t="s">
        <v>431</v>
      </c>
      <c r="B82" s="54" t="s">
        <v>69</v>
      </c>
      <c r="C82" s="136">
        <v>0</v>
      </c>
      <c r="D82" s="137">
        <v>0</v>
      </c>
      <c r="E82" s="137">
        <v>0</v>
      </c>
      <c r="F82" s="137">
        <v>1</v>
      </c>
      <c r="G82" s="137">
        <v>0</v>
      </c>
      <c r="H82" s="137">
        <v>0</v>
      </c>
      <c r="I82" s="137">
        <v>0</v>
      </c>
      <c r="J82" s="137">
        <v>0</v>
      </c>
      <c r="K82" s="137">
        <v>0</v>
      </c>
      <c r="L82" s="137">
        <v>1</v>
      </c>
      <c r="M82" s="137">
        <v>0</v>
      </c>
      <c r="N82" s="138">
        <v>0</v>
      </c>
      <c r="O82" s="137">
        <v>1</v>
      </c>
      <c r="P82" s="137">
        <v>1</v>
      </c>
      <c r="Q82" s="137">
        <v>0</v>
      </c>
      <c r="R82" s="137">
        <v>0</v>
      </c>
      <c r="S82" s="137">
        <v>0</v>
      </c>
      <c r="T82" s="137">
        <v>0</v>
      </c>
      <c r="U82" s="137">
        <v>1</v>
      </c>
      <c r="V82" s="137">
        <v>1</v>
      </c>
      <c r="W82" s="137">
        <v>0</v>
      </c>
      <c r="X82" s="139">
        <v>0</v>
      </c>
      <c r="Y82" s="139">
        <v>0</v>
      </c>
      <c r="Z82" s="140">
        <v>0</v>
      </c>
      <c r="AA82" s="141">
        <v>0</v>
      </c>
      <c r="AB82" s="139">
        <v>1</v>
      </c>
      <c r="AC82" s="139">
        <v>0</v>
      </c>
      <c r="AD82" s="139">
        <v>1</v>
      </c>
      <c r="AE82" s="139">
        <v>1</v>
      </c>
      <c r="AF82" s="140">
        <v>0</v>
      </c>
      <c r="AG82" s="141">
        <v>1</v>
      </c>
      <c r="AH82" s="139">
        <v>0</v>
      </c>
      <c r="AI82" s="139">
        <v>0</v>
      </c>
      <c r="AJ82" s="139">
        <v>0</v>
      </c>
      <c r="AK82" s="139">
        <v>0</v>
      </c>
      <c r="AL82" s="140">
        <v>0</v>
      </c>
      <c r="AM82" s="141">
        <v>0</v>
      </c>
      <c r="AN82" s="139">
        <v>0</v>
      </c>
      <c r="AO82" s="139">
        <v>0</v>
      </c>
      <c r="AP82" s="139">
        <v>0</v>
      </c>
      <c r="AQ82" s="139">
        <v>0</v>
      </c>
      <c r="AR82" s="140">
        <v>0</v>
      </c>
      <c r="AS82" s="141">
        <v>0</v>
      </c>
      <c r="AT82" s="139">
        <v>0</v>
      </c>
      <c r="AU82" s="139">
        <v>0</v>
      </c>
      <c r="AV82" s="139">
        <v>0</v>
      </c>
      <c r="AW82" s="139">
        <v>0</v>
      </c>
      <c r="AX82" s="140">
        <v>1</v>
      </c>
      <c r="AY82" s="137">
        <v>0</v>
      </c>
      <c r="AZ82" s="137">
        <v>0</v>
      </c>
      <c r="BA82" s="137">
        <v>0</v>
      </c>
      <c r="BB82" s="137">
        <v>0</v>
      </c>
      <c r="BC82" s="137">
        <v>0</v>
      </c>
      <c r="BD82" s="137">
        <v>0</v>
      </c>
      <c r="BE82" s="137">
        <v>0</v>
      </c>
      <c r="BF82" s="137">
        <v>0</v>
      </c>
      <c r="BG82" s="137">
        <v>0</v>
      </c>
      <c r="BH82" s="139">
        <v>0</v>
      </c>
      <c r="BI82" s="139">
        <v>0</v>
      </c>
      <c r="BJ82" s="140">
        <v>0</v>
      </c>
      <c r="BK82" s="137">
        <v>0</v>
      </c>
      <c r="BL82" s="137">
        <v>1</v>
      </c>
      <c r="BM82" s="137">
        <v>0</v>
      </c>
      <c r="BN82" s="137">
        <v>0</v>
      </c>
      <c r="BO82" s="137">
        <v>0</v>
      </c>
      <c r="BP82" s="137">
        <v>0</v>
      </c>
      <c r="BQ82" s="137">
        <v>0</v>
      </c>
      <c r="BR82" s="137">
        <v>0</v>
      </c>
      <c r="BS82" s="137">
        <v>1</v>
      </c>
      <c r="BT82" s="139">
        <v>0</v>
      </c>
      <c r="BU82" s="139">
        <v>0</v>
      </c>
      <c r="BV82" s="206">
        <v>0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3B6AF-F920-4B59-B8CB-7B7D138DC02B}">
  <dimension ref="A1:CF98"/>
  <sheetViews>
    <sheetView topLeftCell="A42" zoomScale="82" zoomScaleNormal="70" workbookViewId="0">
      <selection activeCell="D70" sqref="D70"/>
    </sheetView>
  </sheetViews>
  <sheetFormatPr defaultRowHeight="14.5" x14ac:dyDescent="0.3"/>
  <cols>
    <col min="2" max="2" width="10.19921875" bestFit="1" customWidth="1"/>
    <col min="4" max="4" width="36.5" bestFit="1" customWidth="1"/>
    <col min="5" max="5" width="13.69921875" bestFit="1" customWidth="1"/>
    <col min="6" max="6" width="47" bestFit="1" customWidth="1"/>
    <col min="7" max="7" width="15" bestFit="1" customWidth="1"/>
    <col min="8" max="8" width="15" customWidth="1"/>
    <col min="9" max="9" width="16.296875" customWidth="1"/>
    <col min="10" max="11" width="12.59765625" customWidth="1"/>
    <col min="12" max="23" width="8.09765625" customWidth="1"/>
    <col min="24" max="35" width="8.19921875" customWidth="1"/>
  </cols>
  <sheetData>
    <row r="1" spans="1:83" ht="15" thickBot="1" x14ac:dyDescent="0.35"/>
    <row r="2" spans="1:83" ht="17.5" thickTop="1" thickBot="1" x14ac:dyDescent="0.5">
      <c r="A2" s="421"/>
      <c r="B2" s="422"/>
      <c r="C2" s="422"/>
      <c r="D2" s="422"/>
      <c r="E2" s="422"/>
      <c r="F2" s="422"/>
      <c r="G2" s="422"/>
      <c r="H2" s="422"/>
      <c r="I2" s="423"/>
      <c r="J2" s="427" t="s">
        <v>21</v>
      </c>
      <c r="K2" s="455" t="s">
        <v>313</v>
      </c>
      <c r="L2" s="429" t="s">
        <v>25</v>
      </c>
      <c r="M2" s="430"/>
      <c r="N2" s="430"/>
      <c r="O2" s="430"/>
      <c r="P2" s="430"/>
      <c r="Q2" s="430"/>
      <c r="R2" s="430"/>
      <c r="S2" s="430"/>
      <c r="T2" s="430"/>
      <c r="U2" s="430"/>
      <c r="V2" s="430"/>
      <c r="W2" s="430"/>
      <c r="X2" s="430"/>
      <c r="Y2" s="430"/>
      <c r="Z2" s="430"/>
      <c r="AA2" s="430"/>
      <c r="AB2" s="430"/>
      <c r="AC2" s="430"/>
      <c r="AD2" s="430"/>
      <c r="AE2" s="430"/>
      <c r="AF2" s="430"/>
      <c r="AG2" s="430"/>
      <c r="AH2" s="430"/>
      <c r="AI2" s="430"/>
      <c r="AJ2" s="430"/>
      <c r="AK2" s="430"/>
      <c r="AL2" s="430"/>
      <c r="AM2" s="430"/>
      <c r="AN2" s="430"/>
      <c r="AO2" s="430"/>
      <c r="AP2" s="430"/>
      <c r="AQ2" s="430"/>
      <c r="AR2" s="430"/>
      <c r="AS2" s="430"/>
      <c r="AT2" s="430"/>
      <c r="AU2" s="430"/>
      <c r="AV2" s="430"/>
      <c r="AW2" s="430"/>
      <c r="AX2" s="430"/>
      <c r="AY2" s="430"/>
      <c r="AZ2" s="430"/>
      <c r="BA2" s="430"/>
      <c r="BB2" s="430"/>
      <c r="BC2" s="430"/>
      <c r="BD2" s="430"/>
      <c r="BE2" s="430"/>
      <c r="BF2" s="430"/>
      <c r="BG2" s="430"/>
      <c r="BH2" s="430"/>
      <c r="BI2" s="430"/>
      <c r="BJ2" s="430"/>
      <c r="BK2" s="430"/>
      <c r="BL2" s="430"/>
      <c r="BM2" s="430"/>
      <c r="BN2" s="430"/>
      <c r="BO2" s="430"/>
      <c r="BP2" s="430"/>
      <c r="BQ2" s="430"/>
      <c r="BR2" s="430"/>
      <c r="BS2" s="430"/>
      <c r="BT2" s="430"/>
      <c r="BU2" s="430"/>
      <c r="BV2" s="430"/>
      <c r="BW2" s="430"/>
      <c r="BX2" s="430"/>
      <c r="BY2" s="430"/>
      <c r="BZ2" s="430"/>
      <c r="CA2" s="430"/>
      <c r="CB2" s="430"/>
      <c r="CC2" s="430"/>
      <c r="CD2" s="430"/>
      <c r="CE2" s="431"/>
    </row>
    <row r="3" spans="1:83" ht="17" thickBot="1" x14ac:dyDescent="0.5">
      <c r="A3" s="424"/>
      <c r="B3" s="425"/>
      <c r="C3" s="425"/>
      <c r="D3" s="425"/>
      <c r="E3" s="425"/>
      <c r="F3" s="425"/>
      <c r="G3" s="425"/>
      <c r="H3" s="425"/>
      <c r="I3" s="426"/>
      <c r="J3" s="428"/>
      <c r="K3" s="456"/>
      <c r="L3" s="432" t="s">
        <v>40</v>
      </c>
      <c r="M3" s="433"/>
      <c r="N3" s="433"/>
      <c r="O3" s="433"/>
      <c r="P3" s="433"/>
      <c r="Q3" s="433"/>
      <c r="R3" s="433"/>
      <c r="S3" s="433"/>
      <c r="T3" s="433"/>
      <c r="U3" s="433"/>
      <c r="V3" s="433"/>
      <c r="W3" s="434"/>
      <c r="X3" s="432" t="s">
        <v>26</v>
      </c>
      <c r="Y3" s="433"/>
      <c r="Z3" s="433"/>
      <c r="AA3" s="433"/>
      <c r="AB3" s="433"/>
      <c r="AC3" s="433"/>
      <c r="AD3" s="433"/>
      <c r="AE3" s="433"/>
      <c r="AF3" s="433"/>
      <c r="AG3" s="433"/>
      <c r="AH3" s="433"/>
      <c r="AI3" s="434"/>
      <c r="AJ3" s="435" t="s">
        <v>27</v>
      </c>
      <c r="AK3" s="436"/>
      <c r="AL3" s="436"/>
      <c r="AM3" s="436"/>
      <c r="AN3" s="436"/>
      <c r="AO3" s="436"/>
      <c r="AP3" s="436"/>
      <c r="AQ3" s="436"/>
      <c r="AR3" s="436"/>
      <c r="AS3" s="436"/>
      <c r="AT3" s="436"/>
      <c r="AU3" s="437"/>
      <c r="AV3" s="435" t="s">
        <v>28</v>
      </c>
      <c r="AW3" s="436"/>
      <c r="AX3" s="436"/>
      <c r="AY3" s="436"/>
      <c r="AZ3" s="436"/>
      <c r="BA3" s="436"/>
      <c r="BB3" s="436"/>
      <c r="BC3" s="436"/>
      <c r="BD3" s="436"/>
      <c r="BE3" s="436"/>
      <c r="BF3" s="436"/>
      <c r="BG3" s="437"/>
      <c r="BH3" s="435" t="s">
        <v>29</v>
      </c>
      <c r="BI3" s="436"/>
      <c r="BJ3" s="436"/>
      <c r="BK3" s="436"/>
      <c r="BL3" s="436"/>
      <c r="BM3" s="436"/>
      <c r="BN3" s="436"/>
      <c r="BO3" s="436"/>
      <c r="BP3" s="436"/>
      <c r="BQ3" s="436"/>
      <c r="BR3" s="436"/>
      <c r="BS3" s="437"/>
      <c r="BT3" s="435" t="s">
        <v>33</v>
      </c>
      <c r="BU3" s="436"/>
      <c r="BV3" s="436"/>
      <c r="BW3" s="436"/>
      <c r="BX3" s="436"/>
      <c r="BY3" s="436"/>
      <c r="BZ3" s="436"/>
      <c r="CA3" s="436"/>
      <c r="CB3" s="436"/>
      <c r="CC3" s="436"/>
      <c r="CD3" s="436"/>
      <c r="CE3" s="438"/>
    </row>
    <row r="4" spans="1:83" ht="17" thickBot="1" x14ac:dyDescent="0.5">
      <c r="A4" s="190" t="s">
        <v>156</v>
      </c>
      <c r="B4" s="190" t="s">
        <v>309</v>
      </c>
      <c r="C4" s="190" t="s">
        <v>310</v>
      </c>
      <c r="D4" s="190" t="s">
        <v>0</v>
      </c>
      <c r="E4" s="190" t="s">
        <v>1</v>
      </c>
      <c r="F4" s="191" t="s">
        <v>2</v>
      </c>
      <c r="G4" s="191" t="s">
        <v>43</v>
      </c>
      <c r="H4" s="192" t="s">
        <v>48</v>
      </c>
      <c r="I4" s="193" t="s">
        <v>44</v>
      </c>
      <c r="J4" s="428"/>
      <c r="K4" s="457"/>
      <c r="L4" s="44" t="s">
        <v>12</v>
      </c>
      <c r="M4" s="45" t="s">
        <v>14</v>
      </c>
      <c r="N4" s="45" t="s">
        <v>15</v>
      </c>
      <c r="O4" s="45" t="s">
        <v>16</v>
      </c>
      <c r="P4" s="45" t="s">
        <v>17</v>
      </c>
      <c r="Q4" s="45" t="s">
        <v>18</v>
      </c>
      <c r="R4" s="45" t="s">
        <v>19</v>
      </c>
      <c r="S4" s="45" t="s">
        <v>20</v>
      </c>
      <c r="T4" s="45" t="s">
        <v>5</v>
      </c>
      <c r="U4" s="45" t="s">
        <v>7</v>
      </c>
      <c r="V4" s="45" t="s">
        <v>9</v>
      </c>
      <c r="W4" s="46" t="s">
        <v>11</v>
      </c>
      <c r="X4" s="44" t="s">
        <v>12</v>
      </c>
      <c r="Y4" s="45" t="s">
        <v>14</v>
      </c>
      <c r="Z4" s="45" t="s">
        <v>15</v>
      </c>
      <c r="AA4" s="45" t="s">
        <v>16</v>
      </c>
      <c r="AB4" s="45" t="s">
        <v>17</v>
      </c>
      <c r="AC4" s="45" t="s">
        <v>18</v>
      </c>
      <c r="AD4" s="45" t="s">
        <v>19</v>
      </c>
      <c r="AE4" s="45" t="s">
        <v>20</v>
      </c>
      <c r="AF4" s="45" t="s">
        <v>5</v>
      </c>
      <c r="AG4" s="45" t="s">
        <v>7</v>
      </c>
      <c r="AH4" s="45" t="s">
        <v>9</v>
      </c>
      <c r="AI4" s="46" t="s">
        <v>11</v>
      </c>
      <c r="AJ4" s="173" t="s">
        <v>13</v>
      </c>
      <c r="AK4" s="45" t="s">
        <v>14</v>
      </c>
      <c r="AL4" s="45" t="s">
        <v>15</v>
      </c>
      <c r="AM4" s="45" t="s">
        <v>16</v>
      </c>
      <c r="AN4" s="45" t="s">
        <v>17</v>
      </c>
      <c r="AO4" s="45" t="s">
        <v>18</v>
      </c>
      <c r="AP4" s="45" t="s">
        <v>19</v>
      </c>
      <c r="AQ4" s="45" t="s">
        <v>20</v>
      </c>
      <c r="AR4" s="45" t="s">
        <v>5</v>
      </c>
      <c r="AS4" s="45" t="s">
        <v>6</v>
      </c>
      <c r="AT4" s="45" t="s">
        <v>8</v>
      </c>
      <c r="AU4" s="46" t="s">
        <v>10</v>
      </c>
      <c r="AV4" s="44" t="s">
        <v>13</v>
      </c>
      <c r="AW4" s="45" t="s">
        <v>14</v>
      </c>
      <c r="AX4" s="45" t="s">
        <v>15</v>
      </c>
      <c r="AY4" s="45" t="s">
        <v>16</v>
      </c>
      <c r="AZ4" s="45" t="s">
        <v>17</v>
      </c>
      <c r="BA4" s="45" t="s">
        <v>18</v>
      </c>
      <c r="BB4" s="45" t="s">
        <v>19</v>
      </c>
      <c r="BC4" s="45" t="s">
        <v>20</v>
      </c>
      <c r="BD4" s="45" t="s">
        <v>5</v>
      </c>
      <c r="BE4" s="45" t="s">
        <v>6</v>
      </c>
      <c r="BF4" s="45" t="s">
        <v>8</v>
      </c>
      <c r="BG4" s="46" t="s">
        <v>10</v>
      </c>
      <c r="BH4" s="44" t="s">
        <v>13</v>
      </c>
      <c r="BI4" s="45" t="s">
        <v>14</v>
      </c>
      <c r="BJ4" s="45" t="s">
        <v>15</v>
      </c>
      <c r="BK4" s="45" t="s">
        <v>16</v>
      </c>
      <c r="BL4" s="45" t="s">
        <v>17</v>
      </c>
      <c r="BM4" s="45" t="s">
        <v>18</v>
      </c>
      <c r="BN4" s="45" t="s">
        <v>19</v>
      </c>
      <c r="BO4" s="45" t="s">
        <v>20</v>
      </c>
      <c r="BP4" s="45" t="s">
        <v>5</v>
      </c>
      <c r="BQ4" s="45" t="s">
        <v>6</v>
      </c>
      <c r="BR4" s="45" t="s">
        <v>8</v>
      </c>
      <c r="BS4" s="46" t="s">
        <v>10</v>
      </c>
      <c r="BT4" s="44" t="s">
        <v>13</v>
      </c>
      <c r="BU4" s="45" t="s">
        <v>14</v>
      </c>
      <c r="BV4" s="45" t="s">
        <v>15</v>
      </c>
      <c r="BW4" s="45" t="s">
        <v>16</v>
      </c>
      <c r="BX4" s="45" t="s">
        <v>17</v>
      </c>
      <c r="BY4" s="45" t="s">
        <v>18</v>
      </c>
      <c r="BZ4" s="45" t="s">
        <v>19</v>
      </c>
      <c r="CA4" s="45" t="s">
        <v>20</v>
      </c>
      <c r="CB4" s="45" t="s">
        <v>5</v>
      </c>
      <c r="CC4" s="45" t="s">
        <v>6</v>
      </c>
      <c r="CD4" s="45" t="s">
        <v>8</v>
      </c>
      <c r="CE4" s="174" t="s">
        <v>10</v>
      </c>
    </row>
    <row r="5" spans="1:83" ht="17" thickTop="1" x14ac:dyDescent="0.45">
      <c r="A5" s="395" t="s">
        <v>157</v>
      </c>
      <c r="B5" s="395" t="s">
        <v>308</v>
      </c>
      <c r="C5" s="175"/>
      <c r="D5" s="417" t="s">
        <v>158</v>
      </c>
      <c r="E5" s="176"/>
      <c r="F5" s="419" t="s">
        <v>24</v>
      </c>
      <c r="G5" s="395" t="s">
        <v>54</v>
      </c>
      <c r="H5" s="395" t="s">
        <v>49</v>
      </c>
      <c r="I5" s="420" t="s">
        <v>55</v>
      </c>
      <c r="J5" s="177" t="s">
        <v>22</v>
      </c>
      <c r="K5" s="195">
        <f>AVERAGE(L5:AX5,BC5:CE5)</f>
        <v>2.2647058823529411</v>
      </c>
      <c r="L5" s="178">
        <v>5</v>
      </c>
      <c r="M5" s="179">
        <v>1</v>
      </c>
      <c r="N5" s="179">
        <v>4</v>
      </c>
      <c r="O5" s="179">
        <v>2</v>
      </c>
      <c r="P5" s="179">
        <v>2</v>
      </c>
      <c r="Q5" s="179">
        <v>0</v>
      </c>
      <c r="R5" s="179">
        <v>1</v>
      </c>
      <c r="S5" s="179">
        <v>2</v>
      </c>
      <c r="T5" s="179">
        <v>3</v>
      </c>
      <c r="U5" s="179">
        <v>1</v>
      </c>
      <c r="V5" s="179">
        <v>3</v>
      </c>
      <c r="W5" s="179">
        <v>2</v>
      </c>
      <c r="X5" s="180">
        <v>7</v>
      </c>
      <c r="Y5" s="181">
        <v>1</v>
      </c>
      <c r="Z5" s="181">
        <v>1</v>
      </c>
      <c r="AA5" s="181">
        <v>3</v>
      </c>
      <c r="AB5" s="181">
        <v>1</v>
      </c>
      <c r="AC5" s="181">
        <v>2</v>
      </c>
      <c r="AD5" s="181">
        <v>4</v>
      </c>
      <c r="AE5" s="181">
        <v>1</v>
      </c>
      <c r="AF5" s="181">
        <v>3</v>
      </c>
      <c r="AG5" s="181">
        <v>1</v>
      </c>
      <c r="AH5" s="181">
        <v>1</v>
      </c>
      <c r="AI5" s="182">
        <v>3</v>
      </c>
      <c r="AJ5" s="181">
        <v>2</v>
      </c>
      <c r="AK5" s="181">
        <v>2</v>
      </c>
      <c r="AL5" s="181">
        <v>4</v>
      </c>
      <c r="AM5" s="181">
        <v>3</v>
      </c>
      <c r="AN5" s="181">
        <v>2</v>
      </c>
      <c r="AO5" s="181">
        <v>3</v>
      </c>
      <c r="AP5" s="181">
        <v>2</v>
      </c>
      <c r="AQ5" s="181">
        <v>1</v>
      </c>
      <c r="AR5" s="181">
        <v>3</v>
      </c>
      <c r="AS5" s="181">
        <v>3</v>
      </c>
      <c r="AT5" s="181">
        <v>2</v>
      </c>
      <c r="AU5" s="181">
        <v>4</v>
      </c>
      <c r="AV5" s="183">
        <v>5</v>
      </c>
      <c r="AW5" s="184">
        <v>4</v>
      </c>
      <c r="AX5" s="185">
        <v>4</v>
      </c>
      <c r="AY5" s="442" t="s">
        <v>57</v>
      </c>
      <c r="AZ5" s="443"/>
      <c r="BA5" s="440" t="s">
        <v>30</v>
      </c>
      <c r="BB5" s="441"/>
      <c r="BC5" s="186">
        <v>3</v>
      </c>
      <c r="BD5" s="184">
        <v>4</v>
      </c>
      <c r="BE5" s="184">
        <v>1</v>
      </c>
      <c r="BF5" s="184">
        <v>0</v>
      </c>
      <c r="BG5" s="187">
        <v>3</v>
      </c>
      <c r="BH5" s="181">
        <v>3</v>
      </c>
      <c r="BI5" s="181">
        <v>0</v>
      </c>
      <c r="BJ5" s="181">
        <v>4</v>
      </c>
      <c r="BK5" s="181">
        <v>1</v>
      </c>
      <c r="BL5" s="181">
        <v>0</v>
      </c>
      <c r="BM5" s="181">
        <v>4</v>
      </c>
      <c r="BN5" s="181">
        <v>1</v>
      </c>
      <c r="BO5" s="181">
        <v>1</v>
      </c>
      <c r="BP5" s="181">
        <v>3</v>
      </c>
      <c r="BQ5" s="181">
        <v>1</v>
      </c>
      <c r="BR5" s="181">
        <v>2</v>
      </c>
      <c r="BS5" s="181">
        <v>1</v>
      </c>
      <c r="BT5" s="180">
        <v>3</v>
      </c>
      <c r="BU5" s="181">
        <v>3</v>
      </c>
      <c r="BV5" s="181">
        <v>1</v>
      </c>
      <c r="BW5" s="181">
        <v>3</v>
      </c>
      <c r="BX5" s="181">
        <v>2</v>
      </c>
      <c r="BY5" s="181">
        <v>5</v>
      </c>
      <c r="BZ5" s="181">
        <v>0</v>
      </c>
      <c r="CA5" s="181">
        <v>1</v>
      </c>
      <c r="CB5" s="181">
        <v>3</v>
      </c>
      <c r="CC5" s="188">
        <v>2</v>
      </c>
      <c r="CD5" s="188">
        <v>0</v>
      </c>
      <c r="CE5" s="189">
        <v>1</v>
      </c>
    </row>
    <row r="6" spans="1:83" ht="17" thickBot="1" x14ac:dyDescent="0.5">
      <c r="A6" s="355"/>
      <c r="B6" s="355"/>
      <c r="C6" s="169"/>
      <c r="D6" s="418"/>
      <c r="E6" s="1"/>
      <c r="F6" s="351"/>
      <c r="G6" s="353"/>
      <c r="H6" s="353"/>
      <c r="I6" s="400"/>
      <c r="J6" s="51" t="s">
        <v>165</v>
      </c>
      <c r="K6" s="196"/>
      <c r="L6" s="404">
        <v>14</v>
      </c>
      <c r="M6" s="405"/>
      <c r="N6" s="405"/>
      <c r="O6" s="405"/>
      <c r="P6" s="405"/>
      <c r="Q6" s="405"/>
      <c r="R6" s="405">
        <v>12</v>
      </c>
      <c r="S6" s="405"/>
      <c r="T6" s="405"/>
      <c r="U6" s="405"/>
      <c r="V6" s="405"/>
      <c r="W6" s="405"/>
      <c r="X6" s="354">
        <v>15</v>
      </c>
      <c r="Y6" s="363"/>
      <c r="Z6" s="363"/>
      <c r="AA6" s="363"/>
      <c r="AB6" s="363"/>
      <c r="AC6" s="363"/>
      <c r="AD6" s="363">
        <v>13</v>
      </c>
      <c r="AE6" s="363"/>
      <c r="AF6" s="363"/>
      <c r="AG6" s="363"/>
      <c r="AH6" s="363"/>
      <c r="AI6" s="390"/>
      <c r="AJ6" s="363">
        <v>16</v>
      </c>
      <c r="AK6" s="363"/>
      <c r="AL6" s="363"/>
      <c r="AM6" s="363"/>
      <c r="AN6" s="363"/>
      <c r="AO6" s="363"/>
      <c r="AP6" s="363">
        <v>15</v>
      </c>
      <c r="AQ6" s="363"/>
      <c r="AR6" s="363"/>
      <c r="AS6" s="363"/>
      <c r="AT6" s="363"/>
      <c r="AU6" s="363"/>
      <c r="AV6" s="112"/>
      <c r="AW6" s="105"/>
      <c r="AX6" s="104"/>
      <c r="AY6" s="373"/>
      <c r="AZ6" s="444"/>
      <c r="BA6" s="384"/>
      <c r="BB6" s="385"/>
      <c r="BC6" s="103"/>
      <c r="BD6" s="105"/>
      <c r="BE6" s="105"/>
      <c r="BF6" s="105"/>
      <c r="BG6" s="113"/>
      <c r="BH6" s="363">
        <v>12</v>
      </c>
      <c r="BI6" s="363"/>
      <c r="BJ6" s="363"/>
      <c r="BK6" s="363"/>
      <c r="BL6" s="363"/>
      <c r="BM6" s="363"/>
      <c r="BN6" s="363">
        <v>9</v>
      </c>
      <c r="BO6" s="363"/>
      <c r="BP6" s="363"/>
      <c r="BQ6" s="363"/>
      <c r="BR6" s="363"/>
      <c r="BS6" s="363"/>
      <c r="BT6" s="354">
        <v>17</v>
      </c>
      <c r="BU6" s="363"/>
      <c r="BV6" s="363"/>
      <c r="BW6" s="363"/>
      <c r="BX6" s="363"/>
      <c r="BY6" s="363"/>
      <c r="BZ6" s="363">
        <v>7</v>
      </c>
      <c r="CA6" s="363"/>
      <c r="CB6" s="363"/>
      <c r="CC6" s="363"/>
      <c r="CD6" s="363"/>
      <c r="CE6" s="364"/>
    </row>
    <row r="7" spans="1:83" ht="16.5" customHeight="1" x14ac:dyDescent="0.45">
      <c r="A7" s="355"/>
      <c r="B7" s="355"/>
      <c r="C7" s="169"/>
      <c r="D7" s="439" t="s">
        <v>159</v>
      </c>
      <c r="E7" s="52"/>
      <c r="F7" s="350" t="s">
        <v>36</v>
      </c>
      <c r="G7" s="352" t="s">
        <v>45</v>
      </c>
      <c r="H7" s="352" t="s">
        <v>46</v>
      </c>
      <c r="I7" s="399" t="s">
        <v>51</v>
      </c>
      <c r="J7" s="43" t="s">
        <v>22</v>
      </c>
      <c r="K7" s="197">
        <f>AVERAGE(L7:AS7, AX7:CE7)</f>
        <v>2.3970588235294117</v>
      </c>
      <c r="L7" s="47">
        <v>1</v>
      </c>
      <c r="M7" s="48">
        <v>1</v>
      </c>
      <c r="N7" s="48">
        <v>1</v>
      </c>
      <c r="O7" s="48">
        <v>1</v>
      </c>
      <c r="P7" s="48">
        <v>0</v>
      </c>
      <c r="Q7" s="48">
        <v>3</v>
      </c>
      <c r="R7" s="48">
        <v>2</v>
      </c>
      <c r="S7" s="48">
        <v>3</v>
      </c>
      <c r="T7" s="48">
        <v>1</v>
      </c>
      <c r="U7" s="48">
        <v>2</v>
      </c>
      <c r="V7" s="48">
        <v>1</v>
      </c>
      <c r="W7" s="48">
        <v>4</v>
      </c>
      <c r="X7" s="123">
        <v>3</v>
      </c>
      <c r="Y7" s="49">
        <v>2</v>
      </c>
      <c r="Z7" s="49">
        <v>4</v>
      </c>
      <c r="AA7" s="49">
        <v>4</v>
      </c>
      <c r="AB7" s="49">
        <v>3</v>
      </c>
      <c r="AC7" s="49">
        <v>4</v>
      </c>
      <c r="AD7" s="49">
        <v>2</v>
      </c>
      <c r="AE7" s="49">
        <v>1</v>
      </c>
      <c r="AF7" s="49">
        <v>5</v>
      </c>
      <c r="AG7" s="5">
        <v>2</v>
      </c>
      <c r="AH7" s="5">
        <v>2</v>
      </c>
      <c r="AI7" s="114">
        <v>1</v>
      </c>
      <c r="AJ7" s="70">
        <v>7</v>
      </c>
      <c r="AK7" s="70">
        <v>3</v>
      </c>
      <c r="AL7" s="70">
        <v>4</v>
      </c>
      <c r="AM7" s="70">
        <v>5</v>
      </c>
      <c r="AN7" s="70">
        <v>1</v>
      </c>
      <c r="AO7" s="70">
        <v>4</v>
      </c>
      <c r="AP7" s="110">
        <v>3</v>
      </c>
      <c r="AQ7" s="110">
        <v>3</v>
      </c>
      <c r="AR7" s="110">
        <v>2</v>
      </c>
      <c r="AS7" s="111">
        <v>1</v>
      </c>
      <c r="AT7" s="371" t="s">
        <v>57</v>
      </c>
      <c r="AU7" s="345"/>
      <c r="AV7" s="338" t="s">
        <v>30</v>
      </c>
      <c r="AW7" s="367"/>
      <c r="AX7" s="129">
        <v>1</v>
      </c>
      <c r="AY7" s="130">
        <v>1</v>
      </c>
      <c r="AZ7" s="130">
        <v>2</v>
      </c>
      <c r="BA7" s="130">
        <v>1</v>
      </c>
      <c r="BB7" s="70">
        <v>2</v>
      </c>
      <c r="BC7" s="70">
        <v>2</v>
      </c>
      <c r="BD7" s="70">
        <v>0</v>
      </c>
      <c r="BE7" s="70">
        <v>2</v>
      </c>
      <c r="BF7" s="70">
        <v>3</v>
      </c>
      <c r="BG7" s="120">
        <v>2</v>
      </c>
      <c r="BH7" s="70">
        <v>2</v>
      </c>
      <c r="BI7" s="70">
        <v>2</v>
      </c>
      <c r="BJ7" s="70">
        <v>3</v>
      </c>
      <c r="BK7" s="70">
        <v>1</v>
      </c>
      <c r="BL7" s="70">
        <v>1</v>
      </c>
      <c r="BM7" s="70">
        <v>1</v>
      </c>
      <c r="BN7" s="70">
        <v>0</v>
      </c>
      <c r="BO7" s="70">
        <v>3</v>
      </c>
      <c r="BP7" s="70">
        <v>1</v>
      </c>
      <c r="BQ7" s="70">
        <v>1</v>
      </c>
      <c r="BR7" s="70">
        <v>2</v>
      </c>
      <c r="BS7" s="70">
        <v>3</v>
      </c>
      <c r="BT7" s="119">
        <v>4</v>
      </c>
      <c r="BU7" s="70">
        <v>2</v>
      </c>
      <c r="BV7" s="70">
        <v>0</v>
      </c>
      <c r="BW7" s="70">
        <v>4</v>
      </c>
      <c r="BX7" s="70">
        <v>4</v>
      </c>
      <c r="BY7" s="70">
        <v>4</v>
      </c>
      <c r="BZ7" s="70">
        <v>3</v>
      </c>
      <c r="CA7" s="70">
        <v>5</v>
      </c>
      <c r="CB7" s="70">
        <v>5</v>
      </c>
      <c r="CC7" s="70">
        <v>3</v>
      </c>
      <c r="CD7" s="70">
        <v>4</v>
      </c>
      <c r="CE7" s="71">
        <v>3</v>
      </c>
    </row>
    <row r="8" spans="1:83" ht="16.5" customHeight="1" thickBot="1" x14ac:dyDescent="0.5">
      <c r="A8" s="355"/>
      <c r="B8" s="355"/>
      <c r="C8" s="169"/>
      <c r="D8" s="418"/>
      <c r="E8" s="3"/>
      <c r="F8" s="351"/>
      <c r="G8" s="353"/>
      <c r="H8" s="353"/>
      <c r="I8" s="400"/>
      <c r="J8" s="51" t="s">
        <v>165</v>
      </c>
      <c r="K8" s="196"/>
      <c r="L8" s="354">
        <v>7</v>
      </c>
      <c r="M8" s="363"/>
      <c r="N8" s="363"/>
      <c r="O8" s="363"/>
      <c r="P8" s="363"/>
      <c r="Q8" s="363"/>
      <c r="R8" s="363">
        <v>13</v>
      </c>
      <c r="S8" s="363"/>
      <c r="T8" s="363"/>
      <c r="U8" s="363"/>
      <c r="V8" s="363"/>
      <c r="W8" s="363"/>
      <c r="X8" s="393">
        <v>20</v>
      </c>
      <c r="Y8" s="386"/>
      <c r="Z8" s="386"/>
      <c r="AA8" s="386"/>
      <c r="AB8" s="386"/>
      <c r="AC8" s="386"/>
      <c r="AD8" s="386">
        <v>13</v>
      </c>
      <c r="AE8" s="386"/>
      <c r="AF8" s="386"/>
      <c r="AG8" s="386"/>
      <c r="AH8" s="386"/>
      <c r="AI8" s="394"/>
      <c r="AJ8" s="386">
        <v>24</v>
      </c>
      <c r="AK8" s="386"/>
      <c r="AL8" s="386"/>
      <c r="AM8" s="386"/>
      <c r="AN8" s="386"/>
      <c r="AO8" s="386"/>
      <c r="AP8" s="105"/>
      <c r="AQ8" s="105"/>
      <c r="AR8" s="105"/>
      <c r="AS8" s="104"/>
      <c r="AT8" s="373"/>
      <c r="AU8" s="349"/>
      <c r="AV8" s="342"/>
      <c r="AW8" s="385"/>
      <c r="AX8" s="106"/>
      <c r="AY8" s="107"/>
      <c r="AZ8" s="107"/>
      <c r="BA8" s="107"/>
      <c r="BB8" s="386">
        <v>11</v>
      </c>
      <c r="BC8" s="386"/>
      <c r="BD8" s="386"/>
      <c r="BE8" s="386"/>
      <c r="BF8" s="386"/>
      <c r="BG8" s="394"/>
      <c r="BH8" s="386">
        <v>10</v>
      </c>
      <c r="BI8" s="386"/>
      <c r="BJ8" s="386"/>
      <c r="BK8" s="386"/>
      <c r="BL8" s="386"/>
      <c r="BM8" s="386"/>
      <c r="BN8" s="386">
        <v>10</v>
      </c>
      <c r="BO8" s="386"/>
      <c r="BP8" s="386"/>
      <c r="BQ8" s="386"/>
      <c r="BR8" s="386"/>
      <c r="BS8" s="386"/>
      <c r="BT8" s="393">
        <v>18</v>
      </c>
      <c r="BU8" s="386"/>
      <c r="BV8" s="386"/>
      <c r="BW8" s="386"/>
      <c r="BX8" s="386"/>
      <c r="BY8" s="386"/>
      <c r="BZ8" s="386">
        <v>23</v>
      </c>
      <c r="CA8" s="386"/>
      <c r="CB8" s="386"/>
      <c r="CC8" s="386"/>
      <c r="CD8" s="386"/>
      <c r="CE8" s="387"/>
    </row>
    <row r="9" spans="1:83" ht="16.5" customHeight="1" x14ac:dyDescent="0.45">
      <c r="A9" s="355"/>
      <c r="B9" s="355"/>
      <c r="C9" s="169"/>
      <c r="D9" s="439" t="s">
        <v>160</v>
      </c>
      <c r="E9" s="52"/>
      <c r="F9" s="350" t="s">
        <v>37</v>
      </c>
      <c r="G9" s="352" t="s">
        <v>52</v>
      </c>
      <c r="H9" s="352" t="s">
        <v>46</v>
      </c>
      <c r="I9" s="399" t="s">
        <v>53</v>
      </c>
      <c r="J9" s="43" t="s">
        <v>22</v>
      </c>
      <c r="K9" s="197">
        <f>AVERAGE(L9:BS9,BW9:CE9)</f>
        <v>1.3478260869565217</v>
      </c>
      <c r="L9" s="47">
        <v>0</v>
      </c>
      <c r="M9" s="48">
        <v>1</v>
      </c>
      <c r="N9" s="48">
        <v>1</v>
      </c>
      <c r="O9" s="48">
        <v>0</v>
      </c>
      <c r="P9" s="48">
        <v>1</v>
      </c>
      <c r="Q9" s="48">
        <v>0</v>
      </c>
      <c r="R9" s="48">
        <v>2</v>
      </c>
      <c r="S9" s="48">
        <v>1</v>
      </c>
      <c r="T9" s="48">
        <v>0</v>
      </c>
      <c r="U9" s="48">
        <v>3</v>
      </c>
      <c r="V9" s="48">
        <v>4</v>
      </c>
      <c r="W9" s="48">
        <v>1</v>
      </c>
      <c r="X9" s="115">
        <v>2</v>
      </c>
      <c r="Y9" s="5">
        <v>1</v>
      </c>
      <c r="Z9" s="5">
        <v>0</v>
      </c>
      <c r="AA9" s="5">
        <v>3</v>
      </c>
      <c r="AB9" s="5">
        <v>1</v>
      </c>
      <c r="AC9" s="5">
        <v>3</v>
      </c>
      <c r="AD9" s="5">
        <v>0</v>
      </c>
      <c r="AE9" s="5">
        <v>1</v>
      </c>
      <c r="AF9" s="5">
        <v>2</v>
      </c>
      <c r="AG9" s="5">
        <v>4</v>
      </c>
      <c r="AH9" s="5">
        <v>0</v>
      </c>
      <c r="AI9" s="114">
        <v>6</v>
      </c>
      <c r="AJ9" s="5">
        <v>2</v>
      </c>
      <c r="AK9" s="5">
        <v>1</v>
      </c>
      <c r="AL9" s="5">
        <v>0</v>
      </c>
      <c r="AM9" s="5">
        <v>1</v>
      </c>
      <c r="AN9" s="5">
        <v>2</v>
      </c>
      <c r="AO9" s="5">
        <v>0</v>
      </c>
      <c r="AP9" s="5">
        <v>3</v>
      </c>
      <c r="AQ9" s="5">
        <v>4</v>
      </c>
      <c r="AR9" s="5">
        <v>0</v>
      </c>
      <c r="AS9" s="5">
        <v>1</v>
      </c>
      <c r="AT9" s="5">
        <v>0</v>
      </c>
      <c r="AU9" s="5">
        <v>1</v>
      </c>
      <c r="AV9" s="115">
        <v>2</v>
      </c>
      <c r="AW9" s="5">
        <v>3</v>
      </c>
      <c r="AX9" s="5">
        <v>0</v>
      </c>
      <c r="AY9" s="5">
        <v>2</v>
      </c>
      <c r="AZ9" s="5">
        <v>1</v>
      </c>
      <c r="BA9" s="5">
        <v>3</v>
      </c>
      <c r="BB9" s="5">
        <v>2</v>
      </c>
      <c r="BC9" s="5">
        <v>3</v>
      </c>
      <c r="BD9" s="5">
        <v>1</v>
      </c>
      <c r="BE9" s="5">
        <v>4</v>
      </c>
      <c r="BF9" s="5">
        <v>1</v>
      </c>
      <c r="BG9" s="114">
        <v>2</v>
      </c>
      <c r="BH9" s="5">
        <v>2</v>
      </c>
      <c r="BI9" s="5">
        <v>0</v>
      </c>
      <c r="BJ9" s="5">
        <v>3</v>
      </c>
      <c r="BK9" s="5">
        <v>2</v>
      </c>
      <c r="BL9" s="5">
        <v>0</v>
      </c>
      <c r="BM9" s="5">
        <v>0</v>
      </c>
      <c r="BN9" s="5">
        <v>1</v>
      </c>
      <c r="BO9" s="5">
        <v>0</v>
      </c>
      <c r="BP9" s="5">
        <v>1</v>
      </c>
      <c r="BQ9" s="5">
        <v>0</v>
      </c>
      <c r="BR9" s="5">
        <v>2</v>
      </c>
      <c r="BS9" s="5">
        <v>1</v>
      </c>
      <c r="BT9" s="446" t="s">
        <v>57</v>
      </c>
      <c r="BU9" s="366" t="s">
        <v>30</v>
      </c>
      <c r="BV9" s="367"/>
      <c r="BW9" s="109">
        <v>0</v>
      </c>
      <c r="BX9" s="110">
        <v>0</v>
      </c>
      <c r="BY9" s="110">
        <v>0</v>
      </c>
      <c r="BZ9" s="70">
        <v>0</v>
      </c>
      <c r="CA9" s="70">
        <v>3</v>
      </c>
      <c r="CB9" s="70">
        <v>1</v>
      </c>
      <c r="CC9" s="70">
        <v>0</v>
      </c>
      <c r="CD9" s="70">
        <v>1</v>
      </c>
      <c r="CE9" s="71">
        <v>0</v>
      </c>
    </row>
    <row r="10" spans="1:83" ht="16.5" customHeight="1" thickBot="1" x14ac:dyDescent="0.5">
      <c r="A10" s="355"/>
      <c r="B10" s="355"/>
      <c r="C10" s="169"/>
      <c r="D10" s="418"/>
      <c r="E10" s="3"/>
      <c r="F10" s="351"/>
      <c r="G10" s="353"/>
      <c r="H10" s="353"/>
      <c r="I10" s="400"/>
      <c r="J10" s="51" t="s">
        <v>165</v>
      </c>
      <c r="K10" s="198"/>
      <c r="L10" s="356">
        <v>3</v>
      </c>
      <c r="M10" s="357"/>
      <c r="N10" s="357"/>
      <c r="O10" s="357"/>
      <c r="P10" s="357"/>
      <c r="Q10" s="357"/>
      <c r="R10" s="357">
        <v>11</v>
      </c>
      <c r="S10" s="357"/>
      <c r="T10" s="357"/>
      <c r="U10" s="357"/>
      <c r="V10" s="357"/>
      <c r="W10" s="357"/>
      <c r="X10" s="448">
        <v>10</v>
      </c>
      <c r="Y10" s="376"/>
      <c r="Z10" s="376"/>
      <c r="AA10" s="376"/>
      <c r="AB10" s="376"/>
      <c r="AC10" s="376"/>
      <c r="AD10" s="376">
        <v>13</v>
      </c>
      <c r="AE10" s="376"/>
      <c r="AF10" s="376"/>
      <c r="AG10" s="376"/>
      <c r="AH10" s="376"/>
      <c r="AI10" s="445"/>
      <c r="AJ10" s="376">
        <v>6</v>
      </c>
      <c r="AK10" s="376"/>
      <c r="AL10" s="376"/>
      <c r="AM10" s="376"/>
      <c r="AN10" s="376"/>
      <c r="AO10" s="376"/>
      <c r="AP10" s="376">
        <v>9</v>
      </c>
      <c r="AQ10" s="376"/>
      <c r="AR10" s="376"/>
      <c r="AS10" s="376"/>
      <c r="AT10" s="376"/>
      <c r="AU10" s="376"/>
      <c r="AV10" s="448">
        <v>11</v>
      </c>
      <c r="AW10" s="376"/>
      <c r="AX10" s="376"/>
      <c r="AY10" s="376"/>
      <c r="AZ10" s="376"/>
      <c r="BA10" s="376"/>
      <c r="BB10" s="376">
        <v>13</v>
      </c>
      <c r="BC10" s="376"/>
      <c r="BD10" s="376"/>
      <c r="BE10" s="376"/>
      <c r="BF10" s="376"/>
      <c r="BG10" s="445"/>
      <c r="BH10" s="386">
        <v>7</v>
      </c>
      <c r="BI10" s="386"/>
      <c r="BJ10" s="386"/>
      <c r="BK10" s="386"/>
      <c r="BL10" s="386"/>
      <c r="BM10" s="386"/>
      <c r="BN10" s="386">
        <v>5</v>
      </c>
      <c r="BO10" s="386"/>
      <c r="BP10" s="386"/>
      <c r="BQ10" s="386"/>
      <c r="BR10" s="386"/>
      <c r="BS10" s="386"/>
      <c r="BT10" s="447"/>
      <c r="BU10" s="384"/>
      <c r="BV10" s="385"/>
      <c r="BW10" s="103"/>
      <c r="BX10" s="105"/>
      <c r="BY10" s="105"/>
      <c r="BZ10" s="386">
        <v>5</v>
      </c>
      <c r="CA10" s="386"/>
      <c r="CB10" s="386"/>
      <c r="CC10" s="386"/>
      <c r="CD10" s="386"/>
      <c r="CE10" s="387"/>
    </row>
    <row r="11" spans="1:83" ht="16.5" customHeight="1" x14ac:dyDescent="0.45">
      <c r="A11" s="355"/>
      <c r="B11" s="355"/>
      <c r="C11" s="169"/>
      <c r="D11" s="439" t="s">
        <v>161</v>
      </c>
      <c r="E11" s="52"/>
      <c r="F11" s="352" t="s">
        <v>38</v>
      </c>
      <c r="G11" s="352" t="s">
        <v>56</v>
      </c>
      <c r="H11" s="352" t="s">
        <v>49</v>
      </c>
      <c r="I11" s="399" t="s">
        <v>52</v>
      </c>
      <c r="J11" s="43" t="s">
        <v>22</v>
      </c>
      <c r="K11" s="197">
        <f>AVERAGE(L11:BH11,BL11:CE11)</f>
        <v>0.21739130434782608</v>
      </c>
      <c r="L11" s="66">
        <v>1</v>
      </c>
      <c r="M11" s="67">
        <v>0</v>
      </c>
      <c r="N11" s="67">
        <v>0</v>
      </c>
      <c r="O11" s="67">
        <v>0</v>
      </c>
      <c r="P11" s="67">
        <v>2</v>
      </c>
      <c r="Q11" s="67">
        <v>0</v>
      </c>
      <c r="R11" s="48">
        <v>0</v>
      </c>
      <c r="S11" s="48">
        <v>1</v>
      </c>
      <c r="T11" s="48">
        <v>0</v>
      </c>
      <c r="U11" s="48">
        <v>1</v>
      </c>
      <c r="V11" s="48">
        <v>0</v>
      </c>
      <c r="W11" s="48">
        <v>0</v>
      </c>
      <c r="X11" s="115">
        <v>0</v>
      </c>
      <c r="Y11" s="5">
        <v>0</v>
      </c>
      <c r="Z11" s="5">
        <v>0</v>
      </c>
      <c r="AA11" s="5">
        <v>1</v>
      </c>
      <c r="AB11" s="5">
        <v>0</v>
      </c>
      <c r="AC11" s="5">
        <v>0</v>
      </c>
      <c r="AD11" s="5">
        <v>1</v>
      </c>
      <c r="AE11" s="5">
        <v>1</v>
      </c>
      <c r="AF11" s="5">
        <v>0</v>
      </c>
      <c r="AG11" s="5">
        <v>0</v>
      </c>
      <c r="AH11" s="5">
        <v>0</v>
      </c>
      <c r="AI11" s="114">
        <v>0</v>
      </c>
      <c r="AJ11" s="5">
        <v>0</v>
      </c>
      <c r="AK11" s="5">
        <v>0</v>
      </c>
      <c r="AL11" s="5">
        <v>0</v>
      </c>
      <c r="AM11" s="5">
        <v>0</v>
      </c>
      <c r="AN11" s="5">
        <v>1</v>
      </c>
      <c r="AO11" s="5">
        <v>0</v>
      </c>
      <c r="AP11" s="5">
        <v>1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115">
        <v>1</v>
      </c>
      <c r="AW11" s="5">
        <v>0</v>
      </c>
      <c r="AX11" s="5">
        <v>0</v>
      </c>
      <c r="AY11" s="5">
        <v>0</v>
      </c>
      <c r="AZ11" s="5">
        <v>0</v>
      </c>
      <c r="BA11" s="5">
        <v>0</v>
      </c>
      <c r="BB11" s="5">
        <v>0</v>
      </c>
      <c r="BC11" s="5">
        <v>0</v>
      </c>
      <c r="BD11" s="5">
        <v>0</v>
      </c>
      <c r="BE11" s="5">
        <v>0</v>
      </c>
      <c r="BF11" s="5">
        <v>0</v>
      </c>
      <c r="BG11" s="114">
        <v>0</v>
      </c>
      <c r="BH11" s="131">
        <v>0</v>
      </c>
      <c r="BI11" s="370" t="s">
        <v>166</v>
      </c>
      <c r="BJ11" s="366" t="s">
        <v>30</v>
      </c>
      <c r="BK11" s="367"/>
      <c r="BL11" s="109">
        <v>0</v>
      </c>
      <c r="BM11" s="110">
        <v>0</v>
      </c>
      <c r="BN11" s="70">
        <v>0</v>
      </c>
      <c r="BO11" s="70">
        <v>0</v>
      </c>
      <c r="BP11" s="70">
        <v>0</v>
      </c>
      <c r="BQ11" s="70">
        <v>0</v>
      </c>
      <c r="BR11" s="70">
        <v>1</v>
      </c>
      <c r="BS11" s="70">
        <v>0</v>
      </c>
      <c r="BT11" s="119">
        <v>0</v>
      </c>
      <c r="BU11" s="70">
        <v>0</v>
      </c>
      <c r="BV11" s="70">
        <v>0</v>
      </c>
      <c r="BW11" s="70">
        <v>0</v>
      </c>
      <c r="BX11" s="70">
        <v>0</v>
      </c>
      <c r="BY11" s="70">
        <v>1</v>
      </c>
      <c r="BZ11" s="70">
        <v>0</v>
      </c>
      <c r="CA11" s="70">
        <v>0</v>
      </c>
      <c r="CB11" s="70">
        <v>1</v>
      </c>
      <c r="CC11" s="70">
        <v>0</v>
      </c>
      <c r="CD11" s="70">
        <v>0</v>
      </c>
      <c r="CE11" s="71">
        <v>1</v>
      </c>
    </row>
    <row r="12" spans="1:83" ht="16.5" customHeight="1" thickBot="1" x14ac:dyDescent="0.5">
      <c r="A12" s="355"/>
      <c r="B12" s="355"/>
      <c r="C12" s="169"/>
      <c r="D12" s="418"/>
      <c r="E12" s="3"/>
      <c r="F12" s="353"/>
      <c r="G12" s="353"/>
      <c r="H12" s="353"/>
      <c r="I12" s="400"/>
      <c r="J12" s="51" t="s">
        <v>165</v>
      </c>
      <c r="K12" s="196"/>
      <c r="L12" s="354">
        <v>3</v>
      </c>
      <c r="M12" s="363"/>
      <c r="N12" s="363"/>
      <c r="O12" s="363"/>
      <c r="P12" s="363"/>
      <c r="Q12" s="363"/>
      <c r="R12" s="357">
        <v>2</v>
      </c>
      <c r="S12" s="357"/>
      <c r="T12" s="357"/>
      <c r="U12" s="357"/>
      <c r="V12" s="357"/>
      <c r="W12" s="357"/>
      <c r="X12" s="448">
        <v>1</v>
      </c>
      <c r="Y12" s="376"/>
      <c r="Z12" s="376"/>
      <c r="AA12" s="376"/>
      <c r="AB12" s="376"/>
      <c r="AC12" s="376"/>
      <c r="AD12" s="376">
        <v>2</v>
      </c>
      <c r="AE12" s="376"/>
      <c r="AF12" s="376"/>
      <c r="AG12" s="376"/>
      <c r="AH12" s="376"/>
      <c r="AI12" s="445"/>
      <c r="AJ12" s="376">
        <v>1</v>
      </c>
      <c r="AK12" s="376"/>
      <c r="AL12" s="376"/>
      <c r="AM12" s="376"/>
      <c r="AN12" s="376"/>
      <c r="AO12" s="376"/>
      <c r="AP12" s="376">
        <v>1</v>
      </c>
      <c r="AQ12" s="376"/>
      <c r="AR12" s="376"/>
      <c r="AS12" s="376"/>
      <c r="AT12" s="376"/>
      <c r="AU12" s="376"/>
      <c r="AV12" s="448">
        <v>1</v>
      </c>
      <c r="AW12" s="376"/>
      <c r="AX12" s="376"/>
      <c r="AY12" s="376"/>
      <c r="AZ12" s="376"/>
      <c r="BA12" s="376"/>
      <c r="BB12" s="376">
        <v>0</v>
      </c>
      <c r="BC12" s="376"/>
      <c r="BD12" s="376"/>
      <c r="BE12" s="376"/>
      <c r="BF12" s="376"/>
      <c r="BG12" s="445"/>
      <c r="BH12" s="107"/>
      <c r="BI12" s="372"/>
      <c r="BJ12" s="384"/>
      <c r="BK12" s="385"/>
      <c r="BL12" s="103"/>
      <c r="BM12" s="105"/>
      <c r="BN12" s="386">
        <v>1</v>
      </c>
      <c r="BO12" s="386"/>
      <c r="BP12" s="386"/>
      <c r="BQ12" s="386"/>
      <c r="BR12" s="386"/>
      <c r="BS12" s="386"/>
      <c r="BT12" s="393">
        <v>1</v>
      </c>
      <c r="BU12" s="386"/>
      <c r="BV12" s="386"/>
      <c r="BW12" s="386"/>
      <c r="BX12" s="386"/>
      <c r="BY12" s="386"/>
      <c r="BZ12" s="386">
        <v>2</v>
      </c>
      <c r="CA12" s="386"/>
      <c r="CB12" s="386"/>
      <c r="CC12" s="386"/>
      <c r="CD12" s="386"/>
      <c r="CE12" s="387"/>
    </row>
    <row r="13" spans="1:83" ht="16.5" customHeight="1" x14ac:dyDescent="0.45">
      <c r="A13" s="355"/>
      <c r="B13" s="355"/>
      <c r="C13" s="169"/>
      <c r="D13" s="439" t="s">
        <v>162</v>
      </c>
      <c r="E13" s="52"/>
      <c r="F13" s="350" t="s">
        <v>32</v>
      </c>
      <c r="G13" s="352" t="s">
        <v>60</v>
      </c>
      <c r="H13" s="352" t="s">
        <v>49</v>
      </c>
      <c r="I13" s="399" t="s">
        <v>61</v>
      </c>
      <c r="J13" s="43" t="s">
        <v>22</v>
      </c>
      <c r="K13" s="197">
        <f>AVERAGE(L13:BP13,BU13:CE13)</f>
        <v>0.35294117647058826</v>
      </c>
      <c r="L13" s="47">
        <v>2</v>
      </c>
      <c r="M13" s="48">
        <v>0</v>
      </c>
      <c r="N13" s="48">
        <v>0</v>
      </c>
      <c r="O13" s="48">
        <v>0</v>
      </c>
      <c r="P13" s="48">
        <v>0</v>
      </c>
      <c r="Q13" s="48">
        <v>1</v>
      </c>
      <c r="R13" s="48">
        <v>0</v>
      </c>
      <c r="S13" s="48">
        <v>1</v>
      </c>
      <c r="T13" s="48">
        <v>0</v>
      </c>
      <c r="U13" s="48">
        <v>1</v>
      </c>
      <c r="V13" s="48">
        <v>0</v>
      </c>
      <c r="W13" s="48">
        <v>0</v>
      </c>
      <c r="X13" s="115">
        <v>0</v>
      </c>
      <c r="Y13" s="5">
        <v>0</v>
      </c>
      <c r="Z13" s="5">
        <v>0</v>
      </c>
      <c r="AA13" s="5">
        <v>1</v>
      </c>
      <c r="AB13" s="5">
        <v>0</v>
      </c>
      <c r="AC13" s="5">
        <v>0</v>
      </c>
      <c r="AD13" s="5">
        <v>0</v>
      </c>
      <c r="AE13" s="5">
        <v>1</v>
      </c>
      <c r="AF13" s="5">
        <v>0</v>
      </c>
      <c r="AG13" s="5">
        <v>1</v>
      </c>
      <c r="AH13" s="5">
        <v>1</v>
      </c>
      <c r="AI13" s="114">
        <v>0</v>
      </c>
      <c r="AJ13" s="5">
        <v>0</v>
      </c>
      <c r="AK13" s="5">
        <v>0</v>
      </c>
      <c r="AL13" s="5">
        <v>0</v>
      </c>
      <c r="AM13" s="5">
        <v>0</v>
      </c>
      <c r="AN13" s="5">
        <v>0</v>
      </c>
      <c r="AO13" s="5">
        <v>0</v>
      </c>
      <c r="AP13" s="5">
        <v>1</v>
      </c>
      <c r="AQ13" s="5">
        <v>0</v>
      </c>
      <c r="AR13" s="5">
        <v>0</v>
      </c>
      <c r="AS13" s="5">
        <v>1</v>
      </c>
      <c r="AT13" s="5">
        <v>0</v>
      </c>
      <c r="AU13" s="5">
        <v>0</v>
      </c>
      <c r="AV13" s="115">
        <v>1</v>
      </c>
      <c r="AW13" s="5">
        <v>1</v>
      </c>
      <c r="AX13" s="5">
        <v>0</v>
      </c>
      <c r="AY13" s="5">
        <v>1</v>
      </c>
      <c r="AZ13" s="5">
        <v>0</v>
      </c>
      <c r="BA13" s="5">
        <v>1</v>
      </c>
      <c r="BB13" s="5">
        <v>0</v>
      </c>
      <c r="BC13" s="5">
        <v>0</v>
      </c>
      <c r="BD13" s="5">
        <v>1</v>
      </c>
      <c r="BE13" s="5">
        <v>1</v>
      </c>
      <c r="BF13" s="5">
        <v>1</v>
      </c>
      <c r="BG13" s="114">
        <v>1</v>
      </c>
      <c r="BH13" s="5">
        <v>1</v>
      </c>
      <c r="BI13" s="5">
        <v>0</v>
      </c>
      <c r="BJ13" s="5">
        <v>0</v>
      </c>
      <c r="BK13" s="5">
        <v>1</v>
      </c>
      <c r="BL13" s="5">
        <v>0</v>
      </c>
      <c r="BM13" s="5">
        <v>0</v>
      </c>
      <c r="BN13" s="110">
        <v>0</v>
      </c>
      <c r="BO13" s="110">
        <v>0</v>
      </c>
      <c r="BP13" s="111">
        <v>0</v>
      </c>
      <c r="BQ13" s="370" t="s">
        <v>57</v>
      </c>
      <c r="BR13" s="371"/>
      <c r="BS13" s="366" t="s">
        <v>30</v>
      </c>
      <c r="BT13" s="367"/>
      <c r="BU13" s="109">
        <v>0</v>
      </c>
      <c r="BV13" s="110">
        <v>0</v>
      </c>
      <c r="BW13" s="110">
        <v>1</v>
      </c>
      <c r="BX13" s="110">
        <v>0</v>
      </c>
      <c r="BY13" s="110">
        <v>0</v>
      </c>
      <c r="BZ13" s="5">
        <v>0</v>
      </c>
      <c r="CA13" s="5">
        <v>1</v>
      </c>
      <c r="CB13" s="5">
        <v>1</v>
      </c>
      <c r="CC13" s="5">
        <v>0</v>
      </c>
      <c r="CD13" s="5">
        <v>0</v>
      </c>
      <c r="CE13" s="50">
        <v>0</v>
      </c>
    </row>
    <row r="14" spans="1:83" ht="16.5" customHeight="1" thickBot="1" x14ac:dyDescent="0.5">
      <c r="A14" s="355"/>
      <c r="B14" s="355"/>
      <c r="C14" s="169"/>
      <c r="D14" s="418"/>
      <c r="E14" s="3"/>
      <c r="F14" s="351"/>
      <c r="G14" s="353"/>
      <c r="H14" s="353"/>
      <c r="I14" s="400"/>
      <c r="J14" s="51" t="s">
        <v>165</v>
      </c>
      <c r="K14" s="198"/>
      <c r="L14" s="356">
        <v>3</v>
      </c>
      <c r="M14" s="357"/>
      <c r="N14" s="357"/>
      <c r="O14" s="357"/>
      <c r="P14" s="357"/>
      <c r="Q14" s="357"/>
      <c r="R14" s="357">
        <v>2</v>
      </c>
      <c r="S14" s="357"/>
      <c r="T14" s="357"/>
      <c r="U14" s="357"/>
      <c r="V14" s="357"/>
      <c r="W14" s="357"/>
      <c r="X14" s="448">
        <v>1</v>
      </c>
      <c r="Y14" s="376"/>
      <c r="Z14" s="376"/>
      <c r="AA14" s="376"/>
      <c r="AB14" s="376"/>
      <c r="AC14" s="376"/>
      <c r="AD14" s="376">
        <v>3</v>
      </c>
      <c r="AE14" s="376"/>
      <c r="AF14" s="376"/>
      <c r="AG14" s="376"/>
      <c r="AH14" s="376"/>
      <c r="AI14" s="445"/>
      <c r="AJ14" s="376">
        <v>0</v>
      </c>
      <c r="AK14" s="376"/>
      <c r="AL14" s="376"/>
      <c r="AM14" s="376"/>
      <c r="AN14" s="376"/>
      <c r="AO14" s="376"/>
      <c r="AP14" s="376">
        <v>2</v>
      </c>
      <c r="AQ14" s="376"/>
      <c r="AR14" s="376"/>
      <c r="AS14" s="376"/>
      <c r="AT14" s="376"/>
      <c r="AU14" s="376"/>
      <c r="AV14" s="356">
        <v>4</v>
      </c>
      <c r="AW14" s="357"/>
      <c r="AX14" s="357"/>
      <c r="AY14" s="357"/>
      <c r="AZ14" s="357"/>
      <c r="BA14" s="357"/>
      <c r="BB14" s="357">
        <v>4</v>
      </c>
      <c r="BC14" s="357"/>
      <c r="BD14" s="357"/>
      <c r="BE14" s="357"/>
      <c r="BF14" s="357"/>
      <c r="BG14" s="358"/>
      <c r="BH14" s="376">
        <v>2</v>
      </c>
      <c r="BI14" s="376"/>
      <c r="BJ14" s="376"/>
      <c r="BK14" s="376"/>
      <c r="BL14" s="376"/>
      <c r="BM14" s="376"/>
      <c r="BN14" s="132"/>
      <c r="BO14" s="132"/>
      <c r="BP14" s="133"/>
      <c r="BQ14" s="372"/>
      <c r="BR14" s="373"/>
      <c r="BS14" s="384"/>
      <c r="BT14" s="385"/>
      <c r="BU14" s="103"/>
      <c r="BV14" s="105"/>
      <c r="BW14" s="105"/>
      <c r="BX14" s="105"/>
      <c r="BY14" s="105"/>
      <c r="BZ14" s="376">
        <v>2</v>
      </c>
      <c r="CA14" s="376"/>
      <c r="CB14" s="376"/>
      <c r="CC14" s="376"/>
      <c r="CD14" s="376"/>
      <c r="CE14" s="377"/>
    </row>
    <row r="15" spans="1:83" ht="16.5" customHeight="1" x14ac:dyDescent="0.45">
      <c r="A15" s="355"/>
      <c r="B15" s="355"/>
      <c r="C15" s="169"/>
      <c r="D15" s="439" t="s">
        <v>163</v>
      </c>
      <c r="E15" s="52">
        <v>120.33595</v>
      </c>
      <c r="F15" s="350" t="s">
        <v>167</v>
      </c>
      <c r="G15" s="352" t="s">
        <v>59</v>
      </c>
      <c r="H15" s="352" t="s">
        <v>49</v>
      </c>
      <c r="I15" s="399" t="s">
        <v>54</v>
      </c>
      <c r="J15" s="43" t="s">
        <v>22</v>
      </c>
      <c r="K15" s="197">
        <f>AVERAGE(L15:BQ15,BV15:CE15)</f>
        <v>0.33823529411764708</v>
      </c>
      <c r="L15" s="64">
        <v>0</v>
      </c>
      <c r="M15" s="65">
        <v>0</v>
      </c>
      <c r="N15" s="65">
        <v>0</v>
      </c>
      <c r="O15" s="65">
        <v>0</v>
      </c>
      <c r="P15" s="65">
        <v>2</v>
      </c>
      <c r="Q15" s="65">
        <v>0</v>
      </c>
      <c r="R15" s="65">
        <v>0</v>
      </c>
      <c r="S15" s="65">
        <v>0</v>
      </c>
      <c r="T15" s="65">
        <v>0</v>
      </c>
      <c r="U15" s="65">
        <v>0</v>
      </c>
      <c r="V15" s="65">
        <v>0</v>
      </c>
      <c r="W15" s="65">
        <v>1</v>
      </c>
      <c r="X15" s="116">
        <v>1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  <c r="AD15" s="4">
        <v>2</v>
      </c>
      <c r="AE15" s="4">
        <v>1</v>
      </c>
      <c r="AF15" s="4">
        <v>0</v>
      </c>
      <c r="AG15" s="4">
        <v>0</v>
      </c>
      <c r="AH15" s="4">
        <v>0</v>
      </c>
      <c r="AI15" s="117">
        <v>1</v>
      </c>
      <c r="AJ15" s="4">
        <v>0</v>
      </c>
      <c r="AK15" s="4">
        <v>1</v>
      </c>
      <c r="AL15" s="4">
        <v>1</v>
      </c>
      <c r="AM15" s="4">
        <v>2</v>
      </c>
      <c r="AN15" s="4">
        <v>0</v>
      </c>
      <c r="AO15" s="4">
        <v>1</v>
      </c>
      <c r="AP15" s="4">
        <v>0</v>
      </c>
      <c r="AQ15" s="4">
        <v>0</v>
      </c>
      <c r="AR15" s="4">
        <v>0</v>
      </c>
      <c r="AS15" s="4">
        <v>1</v>
      </c>
      <c r="AT15" s="4">
        <v>0</v>
      </c>
      <c r="AU15" s="4">
        <v>0</v>
      </c>
      <c r="AV15" s="116">
        <v>1</v>
      </c>
      <c r="AW15" s="4">
        <v>0</v>
      </c>
      <c r="AX15" s="4">
        <v>1</v>
      </c>
      <c r="AY15" s="4">
        <v>0</v>
      </c>
      <c r="AZ15" s="4">
        <v>0</v>
      </c>
      <c r="BA15" s="4">
        <v>1</v>
      </c>
      <c r="BB15" s="4">
        <v>0</v>
      </c>
      <c r="BC15" s="4">
        <v>0</v>
      </c>
      <c r="BD15" s="4">
        <v>1</v>
      </c>
      <c r="BE15" s="4">
        <v>0</v>
      </c>
      <c r="BF15" s="4">
        <v>0</v>
      </c>
      <c r="BG15" s="117">
        <v>1</v>
      </c>
      <c r="BH15" s="49">
        <v>0</v>
      </c>
      <c r="BI15" s="49">
        <v>1</v>
      </c>
      <c r="BJ15" s="49">
        <v>0</v>
      </c>
      <c r="BK15" s="49">
        <v>0</v>
      </c>
      <c r="BL15" s="49">
        <v>0</v>
      </c>
      <c r="BM15" s="49">
        <v>0</v>
      </c>
      <c r="BN15" s="110">
        <v>0</v>
      </c>
      <c r="BO15" s="110">
        <v>0</v>
      </c>
      <c r="BP15" s="110">
        <v>1</v>
      </c>
      <c r="BQ15" s="111">
        <v>0</v>
      </c>
      <c r="BR15" s="370" t="s">
        <v>57</v>
      </c>
      <c r="BS15" s="371"/>
      <c r="BT15" s="338" t="s">
        <v>30</v>
      </c>
      <c r="BU15" s="367"/>
      <c r="BV15" s="109">
        <v>1</v>
      </c>
      <c r="BW15" s="110">
        <v>0</v>
      </c>
      <c r="BX15" s="110">
        <v>1</v>
      </c>
      <c r="BY15" s="110">
        <v>0</v>
      </c>
      <c r="BZ15" s="49">
        <v>0</v>
      </c>
      <c r="CA15" s="49">
        <v>0</v>
      </c>
      <c r="CB15" s="49">
        <v>0</v>
      </c>
      <c r="CC15" s="49">
        <v>0</v>
      </c>
      <c r="CD15" s="49">
        <v>0</v>
      </c>
      <c r="CE15" s="92">
        <v>0</v>
      </c>
    </row>
    <row r="16" spans="1:83" ht="16.5" customHeight="1" thickBot="1" x14ac:dyDescent="0.5">
      <c r="A16" s="355"/>
      <c r="B16" s="355"/>
      <c r="C16" s="169"/>
      <c r="D16" s="418"/>
      <c r="E16" s="3">
        <v>22.605309999999999</v>
      </c>
      <c r="F16" s="351"/>
      <c r="G16" s="353"/>
      <c r="H16" s="353"/>
      <c r="I16" s="400"/>
      <c r="J16" s="51" t="s">
        <v>165</v>
      </c>
      <c r="K16" s="198"/>
      <c r="L16" s="356">
        <v>2</v>
      </c>
      <c r="M16" s="357"/>
      <c r="N16" s="357"/>
      <c r="O16" s="357"/>
      <c r="P16" s="357"/>
      <c r="Q16" s="357"/>
      <c r="R16" s="357">
        <v>1</v>
      </c>
      <c r="S16" s="357"/>
      <c r="T16" s="357"/>
      <c r="U16" s="357"/>
      <c r="V16" s="357"/>
      <c r="W16" s="357"/>
      <c r="X16" s="448">
        <v>1</v>
      </c>
      <c r="Y16" s="376"/>
      <c r="Z16" s="376"/>
      <c r="AA16" s="376"/>
      <c r="AB16" s="376"/>
      <c r="AC16" s="376"/>
      <c r="AD16" s="376">
        <v>4</v>
      </c>
      <c r="AE16" s="376"/>
      <c r="AF16" s="376"/>
      <c r="AG16" s="376"/>
      <c r="AH16" s="376"/>
      <c r="AI16" s="445"/>
      <c r="AJ16" s="376">
        <v>5</v>
      </c>
      <c r="AK16" s="376"/>
      <c r="AL16" s="376"/>
      <c r="AM16" s="376"/>
      <c r="AN16" s="376"/>
      <c r="AO16" s="376"/>
      <c r="AP16" s="376">
        <v>1</v>
      </c>
      <c r="AQ16" s="376"/>
      <c r="AR16" s="376"/>
      <c r="AS16" s="376"/>
      <c r="AT16" s="376"/>
      <c r="AU16" s="376"/>
      <c r="AV16" s="356">
        <v>3</v>
      </c>
      <c r="AW16" s="357"/>
      <c r="AX16" s="357"/>
      <c r="AY16" s="357"/>
      <c r="AZ16" s="357"/>
      <c r="BA16" s="357"/>
      <c r="BB16" s="357">
        <v>2</v>
      </c>
      <c r="BC16" s="357"/>
      <c r="BD16" s="357"/>
      <c r="BE16" s="357"/>
      <c r="BF16" s="357"/>
      <c r="BG16" s="358"/>
      <c r="BH16" s="376">
        <v>1</v>
      </c>
      <c r="BI16" s="376"/>
      <c r="BJ16" s="376"/>
      <c r="BK16" s="376"/>
      <c r="BL16" s="376"/>
      <c r="BM16" s="376"/>
      <c r="BN16" s="105"/>
      <c r="BO16" s="105"/>
      <c r="BP16" s="105"/>
      <c r="BQ16" s="104"/>
      <c r="BR16" s="372"/>
      <c r="BS16" s="373"/>
      <c r="BT16" s="342"/>
      <c r="BU16" s="385"/>
      <c r="BV16" s="103"/>
      <c r="BW16" s="105"/>
      <c r="BX16" s="105"/>
      <c r="BY16" s="105"/>
      <c r="BZ16" s="376">
        <v>0</v>
      </c>
      <c r="CA16" s="376"/>
      <c r="CB16" s="376"/>
      <c r="CC16" s="376"/>
      <c r="CD16" s="376"/>
      <c r="CE16" s="377"/>
    </row>
    <row r="17" spans="1:83" ht="16.5" customHeight="1" x14ac:dyDescent="0.45">
      <c r="A17" s="355"/>
      <c r="B17" s="355"/>
      <c r="C17" s="164"/>
      <c r="D17" s="401" t="s">
        <v>164</v>
      </c>
      <c r="E17" s="52"/>
      <c r="F17" s="350" t="s">
        <v>64</v>
      </c>
      <c r="G17" s="352" t="s">
        <v>65</v>
      </c>
      <c r="H17" s="352" t="s">
        <v>49</v>
      </c>
      <c r="I17" s="399" t="s">
        <v>66</v>
      </c>
      <c r="J17" s="170" t="s">
        <v>22</v>
      </c>
      <c r="K17" s="199">
        <f>AVERAGE(L17:BT17,BX17:CE17)</f>
        <v>0.15942028985507245</v>
      </c>
      <c r="L17" s="47">
        <v>0</v>
      </c>
      <c r="M17" s="48">
        <v>0</v>
      </c>
      <c r="N17" s="48">
        <v>0</v>
      </c>
      <c r="O17" s="48">
        <v>0</v>
      </c>
      <c r="P17" s="48">
        <v>0</v>
      </c>
      <c r="Q17" s="48">
        <v>0</v>
      </c>
      <c r="R17" s="48">
        <v>1</v>
      </c>
      <c r="S17" s="48">
        <v>0</v>
      </c>
      <c r="T17" s="48">
        <v>0</v>
      </c>
      <c r="U17" s="48">
        <v>0</v>
      </c>
      <c r="V17" s="48">
        <v>1</v>
      </c>
      <c r="W17" s="48">
        <v>0</v>
      </c>
      <c r="X17" s="123">
        <v>2</v>
      </c>
      <c r="Y17" s="49">
        <v>0</v>
      </c>
      <c r="Z17" s="49">
        <v>1</v>
      </c>
      <c r="AA17" s="49">
        <v>0</v>
      </c>
      <c r="AB17" s="49">
        <v>0</v>
      </c>
      <c r="AC17" s="49">
        <v>0</v>
      </c>
      <c r="AD17" s="49">
        <v>0</v>
      </c>
      <c r="AE17" s="49">
        <v>0</v>
      </c>
      <c r="AF17" s="49">
        <v>0</v>
      </c>
      <c r="AG17" s="49">
        <v>0</v>
      </c>
      <c r="AH17" s="49">
        <v>0</v>
      </c>
      <c r="AI17" s="124">
        <v>0</v>
      </c>
      <c r="AJ17" s="49">
        <v>1</v>
      </c>
      <c r="AK17" s="49">
        <v>0</v>
      </c>
      <c r="AL17" s="49">
        <v>0</v>
      </c>
      <c r="AM17" s="49">
        <v>0</v>
      </c>
      <c r="AN17" s="49">
        <v>0</v>
      </c>
      <c r="AO17" s="49">
        <v>0</v>
      </c>
      <c r="AP17" s="49">
        <v>0</v>
      </c>
      <c r="AQ17" s="49">
        <v>1</v>
      </c>
      <c r="AR17" s="49">
        <v>0</v>
      </c>
      <c r="AS17" s="49">
        <v>0</v>
      </c>
      <c r="AT17" s="49">
        <v>0</v>
      </c>
      <c r="AU17" s="49">
        <v>1</v>
      </c>
      <c r="AV17" s="123">
        <v>0</v>
      </c>
      <c r="AW17" s="49">
        <v>0</v>
      </c>
      <c r="AX17" s="49">
        <v>0</v>
      </c>
      <c r="AY17" s="49">
        <v>0</v>
      </c>
      <c r="AZ17" s="49">
        <v>0</v>
      </c>
      <c r="BA17" s="49">
        <v>0</v>
      </c>
      <c r="BB17" s="49">
        <v>0</v>
      </c>
      <c r="BC17" s="49">
        <v>0</v>
      </c>
      <c r="BD17" s="49">
        <v>1</v>
      </c>
      <c r="BE17" s="49">
        <v>0</v>
      </c>
      <c r="BF17" s="49">
        <v>0</v>
      </c>
      <c r="BG17" s="124">
        <v>0</v>
      </c>
      <c r="BH17" s="49">
        <v>0</v>
      </c>
      <c r="BI17" s="49">
        <v>0</v>
      </c>
      <c r="BJ17" s="49">
        <v>0</v>
      </c>
      <c r="BK17" s="49">
        <v>0</v>
      </c>
      <c r="BL17" s="49">
        <v>0</v>
      </c>
      <c r="BM17" s="49">
        <v>0</v>
      </c>
      <c r="BN17" s="49">
        <v>0</v>
      </c>
      <c r="BO17" s="49">
        <v>0</v>
      </c>
      <c r="BP17" s="49">
        <v>0</v>
      </c>
      <c r="BQ17" s="49">
        <v>0</v>
      </c>
      <c r="BR17" s="49">
        <v>0</v>
      </c>
      <c r="BS17" s="49">
        <v>0</v>
      </c>
      <c r="BT17" s="134">
        <v>0</v>
      </c>
      <c r="BU17" s="370" t="s">
        <v>57</v>
      </c>
      <c r="BV17" s="366" t="s">
        <v>30</v>
      </c>
      <c r="BW17" s="367"/>
      <c r="BX17" s="129">
        <v>1</v>
      </c>
      <c r="BY17" s="130">
        <v>0</v>
      </c>
      <c r="BZ17" s="68">
        <v>0</v>
      </c>
      <c r="CA17" s="68">
        <v>0</v>
      </c>
      <c r="CB17" s="68">
        <v>1</v>
      </c>
      <c r="CC17" s="69">
        <v>0</v>
      </c>
      <c r="CD17" s="69">
        <v>0</v>
      </c>
      <c r="CE17" s="72">
        <v>0</v>
      </c>
    </row>
    <row r="18" spans="1:83" ht="16.5" customHeight="1" thickBot="1" x14ac:dyDescent="0.5">
      <c r="A18" s="396"/>
      <c r="B18" s="396"/>
      <c r="C18" s="165"/>
      <c r="D18" s="402"/>
      <c r="E18" s="42"/>
      <c r="F18" s="403"/>
      <c r="G18" s="396"/>
      <c r="H18" s="396"/>
      <c r="I18" s="406"/>
      <c r="J18" s="73" t="s">
        <v>165</v>
      </c>
      <c r="K18" s="200"/>
      <c r="L18" s="408">
        <v>0</v>
      </c>
      <c r="M18" s="409"/>
      <c r="N18" s="409"/>
      <c r="O18" s="409"/>
      <c r="P18" s="409"/>
      <c r="Q18" s="409"/>
      <c r="R18" s="409">
        <v>2</v>
      </c>
      <c r="S18" s="409"/>
      <c r="T18" s="409"/>
      <c r="U18" s="409"/>
      <c r="V18" s="409"/>
      <c r="W18" s="409"/>
      <c r="X18" s="410">
        <v>3</v>
      </c>
      <c r="Y18" s="411"/>
      <c r="Z18" s="411"/>
      <c r="AA18" s="411"/>
      <c r="AB18" s="411"/>
      <c r="AC18" s="411"/>
      <c r="AD18" s="411">
        <v>0</v>
      </c>
      <c r="AE18" s="411"/>
      <c r="AF18" s="411"/>
      <c r="AG18" s="411"/>
      <c r="AH18" s="411"/>
      <c r="AI18" s="412"/>
      <c r="AJ18" s="411">
        <v>1</v>
      </c>
      <c r="AK18" s="411"/>
      <c r="AL18" s="411"/>
      <c r="AM18" s="411"/>
      <c r="AN18" s="411"/>
      <c r="AO18" s="411"/>
      <c r="AP18" s="411">
        <v>2</v>
      </c>
      <c r="AQ18" s="411"/>
      <c r="AR18" s="411"/>
      <c r="AS18" s="411"/>
      <c r="AT18" s="411"/>
      <c r="AU18" s="411"/>
      <c r="AV18" s="356">
        <v>0</v>
      </c>
      <c r="AW18" s="357"/>
      <c r="AX18" s="357"/>
      <c r="AY18" s="357"/>
      <c r="AZ18" s="357"/>
      <c r="BA18" s="357"/>
      <c r="BB18" s="357">
        <v>1</v>
      </c>
      <c r="BC18" s="357"/>
      <c r="BD18" s="357"/>
      <c r="BE18" s="357"/>
      <c r="BF18" s="357"/>
      <c r="BG18" s="358"/>
      <c r="BH18" s="411">
        <v>0</v>
      </c>
      <c r="BI18" s="411"/>
      <c r="BJ18" s="411"/>
      <c r="BK18" s="411"/>
      <c r="BL18" s="411"/>
      <c r="BM18" s="411"/>
      <c r="BN18" s="413">
        <v>0</v>
      </c>
      <c r="BO18" s="411"/>
      <c r="BP18" s="411"/>
      <c r="BQ18" s="411"/>
      <c r="BR18" s="411"/>
      <c r="BS18" s="411"/>
      <c r="BT18" s="172"/>
      <c r="BU18" s="407"/>
      <c r="BV18" s="368"/>
      <c r="BW18" s="369"/>
      <c r="BX18" s="108"/>
      <c r="BY18" s="135"/>
      <c r="BZ18" s="374">
        <v>1</v>
      </c>
      <c r="CA18" s="374"/>
      <c r="CB18" s="374"/>
      <c r="CC18" s="374"/>
      <c r="CD18" s="374"/>
      <c r="CE18" s="375"/>
    </row>
    <row r="19" spans="1:83" ht="16.5" hidden="1" customHeight="1" thickBot="1" x14ac:dyDescent="0.5">
      <c r="D19" s="458" t="s">
        <v>68</v>
      </c>
      <c r="E19" s="3"/>
      <c r="F19" s="351" t="s">
        <v>39</v>
      </c>
      <c r="G19" s="355" t="s">
        <v>47</v>
      </c>
      <c r="H19" s="355" t="s">
        <v>49</v>
      </c>
      <c r="I19" s="460" t="s">
        <v>50</v>
      </c>
      <c r="J19" s="43" t="s">
        <v>22</v>
      </c>
      <c r="K19" s="197"/>
      <c r="L19" s="64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81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118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81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118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81"/>
      <c r="BU19" s="2"/>
      <c r="BV19" s="2"/>
      <c r="BW19" s="2"/>
      <c r="BX19" s="2"/>
      <c r="BY19" s="2"/>
      <c r="BZ19" s="378" t="s">
        <v>57</v>
      </c>
      <c r="CA19" s="379"/>
      <c r="CB19" s="380" t="s">
        <v>30</v>
      </c>
      <c r="CC19" s="381"/>
      <c r="CD19" s="382" t="s">
        <v>58</v>
      </c>
      <c r="CE19" s="383"/>
    </row>
    <row r="20" spans="1:83" ht="16.5" hidden="1" customHeight="1" x14ac:dyDescent="0.45">
      <c r="D20" s="459"/>
      <c r="E20" s="42"/>
      <c r="F20" s="403"/>
      <c r="G20" s="396"/>
      <c r="H20" s="396"/>
      <c r="I20" s="406"/>
      <c r="J20" s="77" t="s">
        <v>23</v>
      </c>
      <c r="K20" s="197"/>
      <c r="L20" s="351"/>
      <c r="M20" s="449"/>
      <c r="N20" s="449"/>
      <c r="O20" s="449"/>
      <c r="P20" s="449"/>
      <c r="Q20" s="449"/>
      <c r="R20" s="449"/>
      <c r="S20" s="449"/>
      <c r="T20" s="449"/>
      <c r="U20" s="449"/>
      <c r="V20" s="449"/>
      <c r="W20" s="449"/>
      <c r="X20" s="414"/>
      <c r="Y20" s="415"/>
      <c r="Z20" s="415"/>
      <c r="AA20" s="415"/>
      <c r="AB20" s="415"/>
      <c r="AC20" s="415"/>
      <c r="AD20" s="415"/>
      <c r="AE20" s="415"/>
      <c r="AF20" s="415"/>
      <c r="AG20" s="415"/>
      <c r="AH20" s="415"/>
      <c r="AI20" s="416"/>
      <c r="AJ20" s="415"/>
      <c r="AK20" s="415"/>
      <c r="AL20" s="415"/>
      <c r="AM20" s="415"/>
      <c r="AN20" s="415"/>
      <c r="AO20" s="415"/>
      <c r="AP20" s="415"/>
      <c r="AQ20" s="415"/>
      <c r="AR20" s="415"/>
      <c r="AS20" s="415"/>
      <c r="AT20" s="415"/>
      <c r="AU20" s="415"/>
      <c r="AV20" s="414"/>
      <c r="AW20" s="415"/>
      <c r="AX20" s="415"/>
      <c r="AY20" s="415"/>
      <c r="AZ20" s="415"/>
      <c r="BA20" s="415"/>
      <c r="BB20" s="415"/>
      <c r="BC20" s="415"/>
      <c r="BD20" s="415"/>
      <c r="BE20" s="415"/>
      <c r="BF20" s="415"/>
      <c r="BG20" s="416"/>
      <c r="BH20" s="415"/>
      <c r="BI20" s="415"/>
      <c r="BJ20" s="415"/>
      <c r="BK20" s="415"/>
      <c r="BL20" s="415"/>
      <c r="BM20" s="415"/>
      <c r="BN20" s="415"/>
      <c r="BO20" s="415"/>
      <c r="BP20" s="415"/>
      <c r="BQ20" s="415"/>
      <c r="BR20" s="415"/>
      <c r="BS20" s="415"/>
      <c r="BT20" s="414"/>
      <c r="BU20" s="415"/>
      <c r="BV20" s="415"/>
      <c r="BW20" s="415"/>
      <c r="BX20" s="415"/>
      <c r="BY20" s="415"/>
      <c r="BZ20" s="378"/>
      <c r="CA20" s="379"/>
      <c r="CB20" s="380"/>
      <c r="CC20" s="381"/>
      <c r="CD20" s="382"/>
      <c r="CE20" s="383"/>
    </row>
    <row r="21" spans="1:83" ht="17" thickTop="1" x14ac:dyDescent="0.45">
      <c r="A21" s="352" t="s">
        <v>62</v>
      </c>
      <c r="B21" s="352" t="s">
        <v>308</v>
      </c>
      <c r="C21" s="352" t="s">
        <v>271</v>
      </c>
      <c r="D21" s="461" t="s">
        <v>263</v>
      </c>
      <c r="E21" s="52"/>
      <c r="F21" s="351" t="s">
        <v>182</v>
      </c>
      <c r="G21" s="352" t="s">
        <v>180</v>
      </c>
      <c r="H21" s="352" t="s">
        <v>46</v>
      </c>
      <c r="I21" s="350" t="s">
        <v>181</v>
      </c>
      <c r="J21" s="78" t="s">
        <v>22</v>
      </c>
      <c r="K21" s="201">
        <f>AVERAGE(L21:BS21)</f>
        <v>2.1833333333333331</v>
      </c>
      <c r="L21" s="66">
        <v>2</v>
      </c>
      <c r="M21" s="67">
        <v>3</v>
      </c>
      <c r="N21" s="67">
        <v>1</v>
      </c>
      <c r="O21" s="67">
        <v>3</v>
      </c>
      <c r="P21" s="67">
        <v>1</v>
      </c>
      <c r="Q21" s="67">
        <v>4</v>
      </c>
      <c r="R21" s="67">
        <v>1</v>
      </c>
      <c r="S21" s="67">
        <v>1</v>
      </c>
      <c r="T21" s="67">
        <v>3</v>
      </c>
      <c r="U21" s="67">
        <v>1</v>
      </c>
      <c r="V21" s="67">
        <v>2</v>
      </c>
      <c r="W21" s="67">
        <v>3</v>
      </c>
      <c r="X21" s="125">
        <v>3</v>
      </c>
      <c r="Y21" s="68">
        <v>1</v>
      </c>
      <c r="Z21" s="68">
        <v>2</v>
      </c>
      <c r="AA21" s="68">
        <v>3</v>
      </c>
      <c r="AB21" s="68">
        <v>3</v>
      </c>
      <c r="AC21" s="68">
        <v>1</v>
      </c>
      <c r="AD21" s="68">
        <v>0</v>
      </c>
      <c r="AE21" s="68">
        <v>3</v>
      </c>
      <c r="AF21" s="68">
        <v>5</v>
      </c>
      <c r="AG21" s="68">
        <v>1</v>
      </c>
      <c r="AH21" s="68">
        <v>2</v>
      </c>
      <c r="AI21" s="126">
        <v>4</v>
      </c>
      <c r="AJ21" s="68">
        <v>3</v>
      </c>
      <c r="AK21" s="68">
        <v>3</v>
      </c>
      <c r="AL21" s="68">
        <v>1</v>
      </c>
      <c r="AM21" s="68">
        <v>0</v>
      </c>
      <c r="AN21" s="68">
        <v>6</v>
      </c>
      <c r="AO21" s="68">
        <v>0</v>
      </c>
      <c r="AP21" s="68">
        <v>0</v>
      </c>
      <c r="AQ21" s="68">
        <v>5</v>
      </c>
      <c r="AR21" s="68">
        <v>0</v>
      </c>
      <c r="AS21" s="68">
        <v>2</v>
      </c>
      <c r="AT21" s="68">
        <v>1</v>
      </c>
      <c r="AU21" s="68">
        <v>1</v>
      </c>
      <c r="AV21" s="229">
        <v>3</v>
      </c>
      <c r="AW21" s="230">
        <v>3</v>
      </c>
      <c r="AX21" s="230">
        <v>2</v>
      </c>
      <c r="AY21" s="230">
        <v>3</v>
      </c>
      <c r="AZ21" s="230">
        <v>5</v>
      </c>
      <c r="BA21" s="230">
        <v>6</v>
      </c>
      <c r="BB21" s="230">
        <v>3</v>
      </c>
      <c r="BC21" s="230">
        <v>2</v>
      </c>
      <c r="BD21" s="230">
        <v>1</v>
      </c>
      <c r="BE21" s="230">
        <v>3</v>
      </c>
      <c r="BF21" s="230">
        <v>2</v>
      </c>
      <c r="BG21" s="231">
        <v>5</v>
      </c>
      <c r="BH21" s="125">
        <v>0</v>
      </c>
      <c r="BI21" s="68">
        <v>3</v>
      </c>
      <c r="BJ21" s="68">
        <v>2</v>
      </c>
      <c r="BK21" s="68">
        <v>1</v>
      </c>
      <c r="BL21" s="68">
        <v>2</v>
      </c>
      <c r="BM21" s="68">
        <v>1</v>
      </c>
      <c r="BN21" s="68">
        <v>0</v>
      </c>
      <c r="BO21" s="68">
        <v>1</v>
      </c>
      <c r="BP21" s="68">
        <v>3</v>
      </c>
      <c r="BQ21" s="68">
        <v>0</v>
      </c>
      <c r="BR21" s="68">
        <v>2</v>
      </c>
      <c r="BS21" s="126">
        <v>3</v>
      </c>
      <c r="BT21" s="130">
        <v>3</v>
      </c>
      <c r="BU21" s="130">
        <v>1</v>
      </c>
      <c r="BV21" s="131">
        <v>4</v>
      </c>
      <c r="BW21" s="370" t="s">
        <v>57</v>
      </c>
      <c r="BX21" s="371"/>
      <c r="BY21" s="366" t="s">
        <v>30</v>
      </c>
      <c r="BZ21" s="367"/>
      <c r="CA21" s="450" t="s">
        <v>58</v>
      </c>
      <c r="CB21" s="451"/>
      <c r="CC21" s="451"/>
      <c r="CD21" s="451"/>
      <c r="CE21" s="452"/>
    </row>
    <row r="22" spans="1:83" ht="17" thickBot="1" x14ac:dyDescent="0.5">
      <c r="A22" s="355"/>
      <c r="B22" s="355"/>
      <c r="C22" s="355"/>
      <c r="D22" s="463"/>
      <c r="E22" s="81"/>
      <c r="F22" s="351"/>
      <c r="G22" s="353"/>
      <c r="H22" s="353"/>
      <c r="I22" s="354"/>
      <c r="J22" s="51" t="s">
        <v>165</v>
      </c>
      <c r="K22" s="197"/>
      <c r="L22" s="404">
        <v>14</v>
      </c>
      <c r="M22" s="405"/>
      <c r="N22" s="405"/>
      <c r="O22" s="405"/>
      <c r="P22" s="405"/>
      <c r="Q22" s="405"/>
      <c r="R22" s="405">
        <v>11</v>
      </c>
      <c r="S22" s="405"/>
      <c r="T22" s="405"/>
      <c r="U22" s="405"/>
      <c r="V22" s="405"/>
      <c r="W22" s="405"/>
      <c r="X22" s="354">
        <v>13</v>
      </c>
      <c r="Y22" s="363"/>
      <c r="Z22" s="363"/>
      <c r="AA22" s="363"/>
      <c r="AB22" s="363"/>
      <c r="AC22" s="363"/>
      <c r="AD22" s="363">
        <v>15</v>
      </c>
      <c r="AE22" s="363"/>
      <c r="AF22" s="363"/>
      <c r="AG22" s="363"/>
      <c r="AH22" s="363"/>
      <c r="AI22" s="390"/>
      <c r="AJ22" s="363">
        <v>13</v>
      </c>
      <c r="AK22" s="363"/>
      <c r="AL22" s="363"/>
      <c r="AM22" s="363"/>
      <c r="AN22" s="363"/>
      <c r="AO22" s="363"/>
      <c r="AP22" s="363">
        <v>9</v>
      </c>
      <c r="AQ22" s="363"/>
      <c r="AR22" s="363"/>
      <c r="AS22" s="363"/>
      <c r="AT22" s="363"/>
      <c r="AU22" s="363"/>
      <c r="AV22" s="356">
        <v>22</v>
      </c>
      <c r="AW22" s="357"/>
      <c r="AX22" s="357"/>
      <c r="AY22" s="357"/>
      <c r="AZ22" s="357"/>
      <c r="BA22" s="357"/>
      <c r="BB22" s="357">
        <v>16</v>
      </c>
      <c r="BC22" s="357"/>
      <c r="BD22" s="357"/>
      <c r="BE22" s="357"/>
      <c r="BF22" s="357"/>
      <c r="BG22" s="358"/>
      <c r="BH22" s="354">
        <v>9</v>
      </c>
      <c r="BI22" s="363"/>
      <c r="BJ22" s="363"/>
      <c r="BK22" s="363"/>
      <c r="BL22" s="363"/>
      <c r="BM22" s="363"/>
      <c r="BN22" s="363">
        <v>9</v>
      </c>
      <c r="BO22" s="363"/>
      <c r="BP22" s="363"/>
      <c r="BQ22" s="363"/>
      <c r="BR22" s="363"/>
      <c r="BS22" s="390"/>
      <c r="BT22" s="107"/>
      <c r="BU22" s="107"/>
      <c r="BV22" s="228"/>
      <c r="BW22" s="372"/>
      <c r="BX22" s="373"/>
      <c r="BY22" s="384"/>
      <c r="BZ22" s="385"/>
      <c r="CA22" s="453"/>
      <c r="CB22" s="405"/>
      <c r="CC22" s="405"/>
      <c r="CD22" s="405"/>
      <c r="CE22" s="454"/>
    </row>
    <row r="23" spans="1:83" ht="16.5" x14ac:dyDescent="0.45">
      <c r="A23" s="355"/>
      <c r="B23" s="355"/>
      <c r="C23" s="355"/>
      <c r="D23" s="461" t="s">
        <v>185</v>
      </c>
      <c r="E23" s="52"/>
      <c r="F23" s="350" t="s">
        <v>195</v>
      </c>
      <c r="G23" s="352" t="s">
        <v>183</v>
      </c>
      <c r="H23" s="352" t="s">
        <v>46</v>
      </c>
      <c r="I23" s="399" t="s">
        <v>184</v>
      </c>
      <c r="J23" s="80" t="s">
        <v>22</v>
      </c>
      <c r="K23" s="202">
        <f>AVERAGE(L23:CE23)</f>
        <v>1.0694444444444444</v>
      </c>
      <c r="L23" s="83">
        <v>0</v>
      </c>
      <c r="M23" s="84">
        <v>0</v>
      </c>
      <c r="N23" s="84">
        <v>1</v>
      </c>
      <c r="O23" s="84">
        <v>0</v>
      </c>
      <c r="P23" s="84">
        <v>2</v>
      </c>
      <c r="Q23" s="84">
        <v>0</v>
      </c>
      <c r="R23" s="84">
        <v>1</v>
      </c>
      <c r="S23" s="84">
        <v>2</v>
      </c>
      <c r="T23" s="84">
        <v>1</v>
      </c>
      <c r="U23" s="84">
        <v>1</v>
      </c>
      <c r="V23" s="84">
        <v>0</v>
      </c>
      <c r="W23" s="84">
        <v>0</v>
      </c>
      <c r="X23" s="64">
        <v>3</v>
      </c>
      <c r="Y23" s="65">
        <v>1</v>
      </c>
      <c r="Z23" s="65">
        <v>3</v>
      </c>
      <c r="AA23" s="65">
        <v>0</v>
      </c>
      <c r="AB23" s="65">
        <v>1</v>
      </c>
      <c r="AC23" s="65">
        <v>0</v>
      </c>
      <c r="AD23" s="65">
        <v>1</v>
      </c>
      <c r="AE23" s="65">
        <v>1</v>
      </c>
      <c r="AF23" s="65">
        <v>2</v>
      </c>
      <c r="AG23" s="65">
        <v>2</v>
      </c>
      <c r="AH23" s="65">
        <v>1</v>
      </c>
      <c r="AI23" s="127">
        <v>2</v>
      </c>
      <c r="AJ23" s="65">
        <v>3</v>
      </c>
      <c r="AK23" s="65">
        <v>0</v>
      </c>
      <c r="AL23" s="65">
        <v>1</v>
      </c>
      <c r="AM23" s="65">
        <v>3</v>
      </c>
      <c r="AN23" s="65">
        <v>1</v>
      </c>
      <c r="AO23" s="65">
        <v>1</v>
      </c>
      <c r="AP23" s="65">
        <v>0</v>
      </c>
      <c r="AQ23" s="65">
        <v>0</v>
      </c>
      <c r="AR23" s="65">
        <v>0</v>
      </c>
      <c r="AS23" s="65">
        <v>0</v>
      </c>
      <c r="AT23" s="65">
        <v>0</v>
      </c>
      <c r="AU23" s="65">
        <v>0</v>
      </c>
      <c r="AV23" s="116">
        <v>0</v>
      </c>
      <c r="AW23" s="4">
        <v>0</v>
      </c>
      <c r="AX23" s="4">
        <v>1</v>
      </c>
      <c r="AY23" s="4">
        <v>3</v>
      </c>
      <c r="AZ23" s="4">
        <v>2</v>
      </c>
      <c r="BA23" s="4">
        <v>4</v>
      </c>
      <c r="BB23" s="4">
        <v>1</v>
      </c>
      <c r="BC23" s="4">
        <v>0</v>
      </c>
      <c r="BD23" s="4">
        <v>1</v>
      </c>
      <c r="BE23" s="4">
        <v>1</v>
      </c>
      <c r="BF23" s="4">
        <v>1</v>
      </c>
      <c r="BG23" s="117">
        <v>2</v>
      </c>
      <c r="BH23" s="64">
        <v>0</v>
      </c>
      <c r="BI23" s="65">
        <v>2</v>
      </c>
      <c r="BJ23" s="65">
        <v>2</v>
      </c>
      <c r="BK23" s="65">
        <v>2</v>
      </c>
      <c r="BL23" s="65">
        <v>1</v>
      </c>
      <c r="BM23" s="65">
        <v>1</v>
      </c>
      <c r="BN23" s="65">
        <v>0</v>
      </c>
      <c r="BO23" s="65">
        <v>0</v>
      </c>
      <c r="BP23" s="65">
        <v>1</v>
      </c>
      <c r="BQ23" s="65">
        <v>2</v>
      </c>
      <c r="BR23" s="65">
        <v>1</v>
      </c>
      <c r="BS23" s="127">
        <v>0</v>
      </c>
      <c r="BT23" s="65">
        <v>1</v>
      </c>
      <c r="BU23" s="65">
        <v>1</v>
      </c>
      <c r="BV23" s="65">
        <v>3</v>
      </c>
      <c r="BW23" s="65">
        <v>2</v>
      </c>
      <c r="BX23" s="65">
        <v>1</v>
      </c>
      <c r="BY23" s="65">
        <v>1</v>
      </c>
      <c r="BZ23" s="48">
        <v>1</v>
      </c>
      <c r="CA23" s="48">
        <v>0</v>
      </c>
      <c r="CB23" s="48">
        <v>0</v>
      </c>
      <c r="CC23" s="48">
        <v>2</v>
      </c>
      <c r="CD23" s="48">
        <v>1</v>
      </c>
      <c r="CE23" s="85">
        <v>2</v>
      </c>
    </row>
    <row r="24" spans="1:83" ht="17" thickBot="1" x14ac:dyDescent="0.5">
      <c r="A24" s="355"/>
      <c r="B24" s="355"/>
      <c r="C24" s="355"/>
      <c r="D24" s="463"/>
      <c r="E24" s="82"/>
      <c r="F24" s="351"/>
      <c r="G24" s="353"/>
      <c r="H24" s="353"/>
      <c r="I24" s="400"/>
      <c r="J24" s="51" t="s">
        <v>165</v>
      </c>
      <c r="K24" s="203"/>
      <c r="L24" s="404">
        <v>3</v>
      </c>
      <c r="M24" s="405"/>
      <c r="N24" s="405"/>
      <c r="O24" s="405"/>
      <c r="P24" s="405"/>
      <c r="Q24" s="405"/>
      <c r="R24" s="405">
        <v>5</v>
      </c>
      <c r="S24" s="405"/>
      <c r="T24" s="405"/>
      <c r="U24" s="405"/>
      <c r="V24" s="405"/>
      <c r="W24" s="405"/>
      <c r="X24" s="354">
        <v>8</v>
      </c>
      <c r="Y24" s="363"/>
      <c r="Z24" s="363"/>
      <c r="AA24" s="363"/>
      <c r="AB24" s="363"/>
      <c r="AC24" s="363"/>
      <c r="AD24" s="363">
        <v>9</v>
      </c>
      <c r="AE24" s="363"/>
      <c r="AF24" s="363"/>
      <c r="AG24" s="363"/>
      <c r="AH24" s="363"/>
      <c r="AI24" s="390"/>
      <c r="AJ24" s="363">
        <v>9</v>
      </c>
      <c r="AK24" s="363"/>
      <c r="AL24" s="363"/>
      <c r="AM24" s="363"/>
      <c r="AN24" s="363"/>
      <c r="AO24" s="363"/>
      <c r="AP24" s="363">
        <v>0</v>
      </c>
      <c r="AQ24" s="363"/>
      <c r="AR24" s="363"/>
      <c r="AS24" s="363"/>
      <c r="AT24" s="363"/>
      <c r="AU24" s="363"/>
      <c r="AV24" s="356">
        <v>10</v>
      </c>
      <c r="AW24" s="357"/>
      <c r="AX24" s="357"/>
      <c r="AY24" s="357"/>
      <c r="AZ24" s="357"/>
      <c r="BA24" s="357"/>
      <c r="BB24" s="357">
        <v>6</v>
      </c>
      <c r="BC24" s="357"/>
      <c r="BD24" s="357"/>
      <c r="BE24" s="357"/>
      <c r="BF24" s="357"/>
      <c r="BG24" s="358"/>
      <c r="BH24" s="354">
        <v>8</v>
      </c>
      <c r="BI24" s="363"/>
      <c r="BJ24" s="363"/>
      <c r="BK24" s="363"/>
      <c r="BL24" s="363"/>
      <c r="BM24" s="363"/>
      <c r="BN24" s="363">
        <v>4</v>
      </c>
      <c r="BO24" s="363"/>
      <c r="BP24" s="363"/>
      <c r="BQ24" s="363"/>
      <c r="BR24" s="363"/>
      <c r="BS24" s="390"/>
      <c r="BT24" s="363">
        <v>9</v>
      </c>
      <c r="BU24" s="363"/>
      <c r="BV24" s="363"/>
      <c r="BW24" s="363"/>
      <c r="BX24" s="363"/>
      <c r="BY24" s="363"/>
      <c r="BZ24" s="363">
        <v>6</v>
      </c>
      <c r="CA24" s="363"/>
      <c r="CB24" s="363"/>
      <c r="CC24" s="363"/>
      <c r="CD24" s="363"/>
      <c r="CE24" s="364"/>
    </row>
    <row r="25" spans="1:83" ht="16.5" x14ac:dyDescent="0.45">
      <c r="A25" s="355"/>
      <c r="B25" s="355"/>
      <c r="C25" s="355"/>
      <c r="D25" s="461" t="s">
        <v>264</v>
      </c>
      <c r="E25" s="52"/>
      <c r="F25" s="350" t="s">
        <v>195</v>
      </c>
      <c r="G25" s="352" t="s">
        <v>224</v>
      </c>
      <c r="H25" s="352" t="s">
        <v>46</v>
      </c>
      <c r="I25" s="399" t="s">
        <v>225</v>
      </c>
      <c r="J25" s="80" t="s">
        <v>22</v>
      </c>
      <c r="K25" s="202">
        <f t="shared" ref="K25:K51" si="0">AVERAGE(L25:CE25)</f>
        <v>1.8055555555555556</v>
      </c>
      <c r="L25" s="83">
        <v>2</v>
      </c>
      <c r="M25" s="84">
        <v>1</v>
      </c>
      <c r="N25" s="84">
        <v>2</v>
      </c>
      <c r="O25" s="84">
        <v>0</v>
      </c>
      <c r="P25" s="84">
        <v>0</v>
      </c>
      <c r="Q25" s="84">
        <v>1</v>
      </c>
      <c r="R25" s="84">
        <v>1</v>
      </c>
      <c r="S25" s="84">
        <v>2</v>
      </c>
      <c r="T25" s="84">
        <v>2</v>
      </c>
      <c r="U25" s="84">
        <v>0</v>
      </c>
      <c r="V25" s="84">
        <v>1</v>
      </c>
      <c r="W25" s="84">
        <v>1</v>
      </c>
      <c r="X25" s="64">
        <v>2</v>
      </c>
      <c r="Y25" s="65">
        <v>0</v>
      </c>
      <c r="Z25" s="65">
        <v>2</v>
      </c>
      <c r="AA25" s="65">
        <v>1</v>
      </c>
      <c r="AB25" s="65">
        <v>1</v>
      </c>
      <c r="AC25" s="65">
        <v>0</v>
      </c>
      <c r="AD25" s="65">
        <v>0</v>
      </c>
      <c r="AE25" s="65">
        <v>0</v>
      </c>
      <c r="AF25" s="65">
        <v>0</v>
      </c>
      <c r="AG25" s="65">
        <v>3</v>
      </c>
      <c r="AH25" s="65">
        <v>1</v>
      </c>
      <c r="AI25" s="127">
        <v>0</v>
      </c>
      <c r="AJ25" s="65">
        <v>1</v>
      </c>
      <c r="AK25" s="65">
        <v>0</v>
      </c>
      <c r="AL25" s="65">
        <v>1</v>
      </c>
      <c r="AM25" s="65">
        <v>4</v>
      </c>
      <c r="AN25" s="65">
        <v>0</v>
      </c>
      <c r="AO25" s="65">
        <v>3</v>
      </c>
      <c r="AP25" s="65">
        <v>0</v>
      </c>
      <c r="AQ25" s="65">
        <v>3</v>
      </c>
      <c r="AR25" s="65">
        <v>2</v>
      </c>
      <c r="AS25" s="65">
        <v>0</v>
      </c>
      <c r="AT25" s="65">
        <v>1</v>
      </c>
      <c r="AU25" s="65">
        <v>2</v>
      </c>
      <c r="AV25" s="116">
        <v>5</v>
      </c>
      <c r="AW25" s="4">
        <v>2</v>
      </c>
      <c r="AX25" s="4">
        <v>1</v>
      </c>
      <c r="AY25" s="4">
        <v>5</v>
      </c>
      <c r="AZ25" s="4">
        <v>1</v>
      </c>
      <c r="BA25" s="4">
        <v>5</v>
      </c>
      <c r="BB25" s="4">
        <v>5</v>
      </c>
      <c r="BC25" s="4">
        <v>2</v>
      </c>
      <c r="BD25" s="4">
        <v>2</v>
      </c>
      <c r="BE25" s="4">
        <v>6</v>
      </c>
      <c r="BF25" s="4">
        <v>4</v>
      </c>
      <c r="BG25" s="117">
        <v>3</v>
      </c>
      <c r="BH25" s="64">
        <v>2</v>
      </c>
      <c r="BI25" s="65">
        <v>3</v>
      </c>
      <c r="BJ25" s="65">
        <v>2</v>
      </c>
      <c r="BK25" s="65">
        <v>2</v>
      </c>
      <c r="BL25" s="65">
        <v>5</v>
      </c>
      <c r="BM25" s="65">
        <v>2</v>
      </c>
      <c r="BN25" s="65">
        <v>3</v>
      </c>
      <c r="BO25" s="65">
        <v>2</v>
      </c>
      <c r="BP25" s="65">
        <v>1</v>
      </c>
      <c r="BQ25" s="65">
        <v>0</v>
      </c>
      <c r="BR25" s="65">
        <v>3</v>
      </c>
      <c r="BS25" s="127">
        <v>3</v>
      </c>
      <c r="BT25" s="65">
        <v>1</v>
      </c>
      <c r="BU25" s="65">
        <v>0</v>
      </c>
      <c r="BV25" s="65">
        <v>1</v>
      </c>
      <c r="BW25" s="65">
        <v>2</v>
      </c>
      <c r="BX25" s="65">
        <v>3</v>
      </c>
      <c r="BY25" s="65">
        <v>4</v>
      </c>
      <c r="BZ25" s="48">
        <v>1</v>
      </c>
      <c r="CA25" s="48">
        <v>2</v>
      </c>
      <c r="CB25" s="48">
        <v>0</v>
      </c>
      <c r="CC25" s="48">
        <v>5</v>
      </c>
      <c r="CD25" s="48">
        <v>1</v>
      </c>
      <c r="CE25" s="85">
        <v>1</v>
      </c>
    </row>
    <row r="26" spans="1:83" ht="17" thickBot="1" x14ac:dyDescent="0.5">
      <c r="A26" s="355"/>
      <c r="B26" s="355"/>
      <c r="C26" s="353"/>
      <c r="D26" s="463"/>
      <c r="E26" s="82"/>
      <c r="F26" s="351"/>
      <c r="G26" s="353"/>
      <c r="H26" s="353"/>
      <c r="I26" s="400"/>
      <c r="J26" s="51" t="s">
        <v>165</v>
      </c>
      <c r="K26" s="203"/>
      <c r="L26" s="404"/>
      <c r="M26" s="405"/>
      <c r="N26" s="405"/>
      <c r="O26" s="405"/>
      <c r="P26" s="405"/>
      <c r="Q26" s="405"/>
      <c r="R26" s="405"/>
      <c r="S26" s="405"/>
      <c r="T26" s="405"/>
      <c r="U26" s="405"/>
      <c r="V26" s="405"/>
      <c r="W26" s="405"/>
      <c r="X26" s="354"/>
      <c r="Y26" s="363"/>
      <c r="Z26" s="363"/>
      <c r="AA26" s="363"/>
      <c r="AB26" s="363"/>
      <c r="AC26" s="363"/>
      <c r="AD26" s="363"/>
      <c r="AE26" s="363"/>
      <c r="AF26" s="363"/>
      <c r="AG26" s="363"/>
      <c r="AH26" s="363"/>
      <c r="AI26" s="390"/>
      <c r="AJ26" s="363"/>
      <c r="AK26" s="363"/>
      <c r="AL26" s="363"/>
      <c r="AM26" s="363"/>
      <c r="AN26" s="363"/>
      <c r="AO26" s="363"/>
      <c r="AP26" s="363"/>
      <c r="AQ26" s="363"/>
      <c r="AR26" s="363"/>
      <c r="AS26" s="363"/>
      <c r="AT26" s="363"/>
      <c r="AU26" s="363"/>
      <c r="AV26" s="393"/>
      <c r="AW26" s="386"/>
      <c r="AX26" s="386"/>
      <c r="AY26" s="386"/>
      <c r="AZ26" s="386"/>
      <c r="BA26" s="386"/>
      <c r="BB26" s="386"/>
      <c r="BC26" s="386"/>
      <c r="BD26" s="386"/>
      <c r="BE26" s="386"/>
      <c r="BF26" s="386"/>
      <c r="BG26" s="394"/>
      <c r="BH26" s="356"/>
      <c r="BI26" s="357"/>
      <c r="BJ26" s="357"/>
      <c r="BK26" s="357"/>
      <c r="BL26" s="357"/>
      <c r="BM26" s="357"/>
      <c r="BN26" s="357"/>
      <c r="BO26" s="357"/>
      <c r="BP26" s="357"/>
      <c r="BQ26" s="357"/>
      <c r="BR26" s="357"/>
      <c r="BS26" s="358"/>
      <c r="BT26" s="357"/>
      <c r="BU26" s="357"/>
      <c r="BV26" s="357"/>
      <c r="BW26" s="357"/>
      <c r="BX26" s="357"/>
      <c r="BY26" s="357"/>
      <c r="BZ26" s="357"/>
      <c r="CA26" s="357"/>
      <c r="CB26" s="357"/>
      <c r="CC26" s="357"/>
      <c r="CD26" s="357"/>
      <c r="CE26" s="365"/>
    </row>
    <row r="27" spans="1:83" ht="16.5" x14ac:dyDescent="0.45">
      <c r="A27" s="355"/>
      <c r="B27" s="355"/>
      <c r="C27" s="352" t="s">
        <v>272</v>
      </c>
      <c r="D27" s="461" t="s">
        <v>266</v>
      </c>
      <c r="E27" s="52"/>
      <c r="F27" s="350" t="s">
        <v>195</v>
      </c>
      <c r="G27" s="352" t="s">
        <v>201</v>
      </c>
      <c r="H27" s="352" t="s">
        <v>46</v>
      </c>
      <c r="I27" s="399" t="s">
        <v>202</v>
      </c>
      <c r="J27" s="80" t="s">
        <v>22</v>
      </c>
      <c r="K27" s="202">
        <f t="shared" si="0"/>
        <v>1.5277777777777777</v>
      </c>
      <c r="L27" s="83">
        <v>1</v>
      </c>
      <c r="M27" s="84">
        <v>3</v>
      </c>
      <c r="N27" s="84">
        <v>2</v>
      </c>
      <c r="O27" s="84">
        <v>1</v>
      </c>
      <c r="P27" s="84">
        <v>0</v>
      </c>
      <c r="Q27" s="84">
        <v>1</v>
      </c>
      <c r="R27" s="84">
        <v>3</v>
      </c>
      <c r="S27" s="84">
        <v>0</v>
      </c>
      <c r="T27" s="84">
        <v>1</v>
      </c>
      <c r="U27" s="84">
        <v>0</v>
      </c>
      <c r="V27" s="84">
        <v>0</v>
      </c>
      <c r="W27" s="194">
        <v>3</v>
      </c>
      <c r="X27" s="84">
        <v>4</v>
      </c>
      <c r="Y27" s="84">
        <v>1</v>
      </c>
      <c r="Z27" s="84">
        <v>0</v>
      </c>
      <c r="AA27" s="84">
        <v>3</v>
      </c>
      <c r="AB27" s="84">
        <v>4</v>
      </c>
      <c r="AC27" s="84">
        <v>2</v>
      </c>
      <c r="AD27" s="84">
        <v>1</v>
      </c>
      <c r="AE27" s="84">
        <v>1</v>
      </c>
      <c r="AF27" s="84">
        <v>1</v>
      </c>
      <c r="AG27" s="84">
        <v>1</v>
      </c>
      <c r="AH27" s="84">
        <v>0</v>
      </c>
      <c r="AI27" s="194">
        <v>1</v>
      </c>
      <c r="AJ27" s="65">
        <v>2</v>
      </c>
      <c r="AK27" s="65">
        <v>1</v>
      </c>
      <c r="AL27" s="65">
        <v>1</v>
      </c>
      <c r="AM27" s="65">
        <v>0</v>
      </c>
      <c r="AN27" s="65">
        <v>2</v>
      </c>
      <c r="AO27" s="65">
        <v>3</v>
      </c>
      <c r="AP27" s="65">
        <v>2</v>
      </c>
      <c r="AQ27" s="65">
        <v>0</v>
      </c>
      <c r="AR27" s="65">
        <v>2</v>
      </c>
      <c r="AS27" s="65">
        <v>0</v>
      </c>
      <c r="AT27" s="65">
        <v>0</v>
      </c>
      <c r="AU27" s="65">
        <v>1</v>
      </c>
      <c r="AV27" s="116">
        <v>3</v>
      </c>
      <c r="AW27" s="4">
        <v>2</v>
      </c>
      <c r="AX27" s="4">
        <v>3</v>
      </c>
      <c r="AY27" s="4">
        <v>2</v>
      </c>
      <c r="AZ27" s="4">
        <v>1</v>
      </c>
      <c r="BA27" s="4">
        <v>0</v>
      </c>
      <c r="BB27" s="4">
        <v>2</v>
      </c>
      <c r="BC27" s="4">
        <v>1</v>
      </c>
      <c r="BD27" s="4">
        <v>0</v>
      </c>
      <c r="BE27" s="4">
        <v>0</v>
      </c>
      <c r="BF27" s="4">
        <v>3</v>
      </c>
      <c r="BG27" s="117">
        <v>3</v>
      </c>
      <c r="BH27" s="64">
        <v>2</v>
      </c>
      <c r="BI27" s="65">
        <v>1</v>
      </c>
      <c r="BJ27" s="65">
        <v>2</v>
      </c>
      <c r="BK27" s="65">
        <v>1</v>
      </c>
      <c r="BL27" s="65">
        <v>4</v>
      </c>
      <c r="BM27" s="65">
        <v>0</v>
      </c>
      <c r="BN27" s="65">
        <v>1</v>
      </c>
      <c r="BO27" s="65">
        <v>0</v>
      </c>
      <c r="BP27" s="65">
        <v>2</v>
      </c>
      <c r="BQ27" s="65">
        <v>0</v>
      </c>
      <c r="BR27" s="65">
        <v>2</v>
      </c>
      <c r="BS27" s="127">
        <v>0</v>
      </c>
      <c r="BT27" s="65">
        <v>0</v>
      </c>
      <c r="BU27" s="65">
        <v>5</v>
      </c>
      <c r="BV27" s="65">
        <v>3</v>
      </c>
      <c r="BW27" s="65">
        <v>1</v>
      </c>
      <c r="BX27" s="65">
        <v>2</v>
      </c>
      <c r="BY27" s="65">
        <v>1</v>
      </c>
      <c r="BZ27" s="65">
        <v>2</v>
      </c>
      <c r="CA27" s="65">
        <v>4</v>
      </c>
      <c r="CB27" s="65">
        <v>4</v>
      </c>
      <c r="CC27" s="65">
        <v>2</v>
      </c>
      <c r="CD27" s="65">
        <v>1</v>
      </c>
      <c r="CE27" s="232">
        <v>2</v>
      </c>
    </row>
    <row r="28" spans="1:83" ht="17" thickBot="1" x14ac:dyDescent="0.5">
      <c r="A28" s="355"/>
      <c r="B28" s="355"/>
      <c r="C28" s="353"/>
      <c r="D28" s="463"/>
      <c r="E28" s="82"/>
      <c r="F28" s="351"/>
      <c r="G28" s="353"/>
      <c r="H28" s="353"/>
      <c r="I28" s="400"/>
      <c r="J28" s="51" t="s">
        <v>165</v>
      </c>
      <c r="K28" s="203"/>
      <c r="L28" s="404"/>
      <c r="M28" s="405"/>
      <c r="N28" s="405"/>
      <c r="O28" s="405"/>
      <c r="P28" s="405"/>
      <c r="Q28" s="405"/>
      <c r="R28" s="405"/>
      <c r="S28" s="405"/>
      <c r="T28" s="405"/>
      <c r="U28" s="405"/>
      <c r="V28" s="405"/>
      <c r="W28" s="405"/>
      <c r="X28" s="354"/>
      <c r="Y28" s="363"/>
      <c r="Z28" s="363"/>
      <c r="AA28" s="363"/>
      <c r="AB28" s="363"/>
      <c r="AC28" s="363"/>
      <c r="AD28" s="363"/>
      <c r="AE28" s="363"/>
      <c r="AF28" s="363"/>
      <c r="AG28" s="363"/>
      <c r="AH28" s="363"/>
      <c r="AI28" s="390"/>
      <c r="AJ28" s="363"/>
      <c r="AK28" s="363"/>
      <c r="AL28" s="363"/>
      <c r="AM28" s="363"/>
      <c r="AN28" s="363"/>
      <c r="AO28" s="363"/>
      <c r="AP28" s="363"/>
      <c r="AQ28" s="363"/>
      <c r="AR28" s="363"/>
      <c r="AS28" s="363"/>
      <c r="AT28" s="363"/>
      <c r="AU28" s="363"/>
      <c r="AV28" s="356"/>
      <c r="AW28" s="357"/>
      <c r="AX28" s="357"/>
      <c r="AY28" s="357"/>
      <c r="AZ28" s="357"/>
      <c r="BA28" s="357"/>
      <c r="BB28" s="357"/>
      <c r="BC28" s="357"/>
      <c r="BD28" s="357"/>
      <c r="BE28" s="357"/>
      <c r="BF28" s="357"/>
      <c r="BG28" s="358"/>
      <c r="BH28" s="356"/>
      <c r="BI28" s="357"/>
      <c r="BJ28" s="357"/>
      <c r="BK28" s="357"/>
      <c r="BL28" s="357"/>
      <c r="BM28" s="357"/>
      <c r="BN28" s="357"/>
      <c r="BO28" s="357"/>
      <c r="BP28" s="357"/>
      <c r="BQ28" s="357"/>
      <c r="BR28" s="357"/>
      <c r="BS28" s="358"/>
      <c r="BT28" s="357"/>
      <c r="BU28" s="357"/>
      <c r="BV28" s="357"/>
      <c r="BW28" s="357"/>
      <c r="BX28" s="357"/>
      <c r="BY28" s="357"/>
      <c r="BZ28" s="357"/>
      <c r="CA28" s="357"/>
      <c r="CB28" s="357"/>
      <c r="CC28" s="357"/>
      <c r="CD28" s="357"/>
      <c r="CE28" s="365"/>
    </row>
    <row r="29" spans="1:83" ht="16.5" x14ac:dyDescent="0.45">
      <c r="A29" s="355"/>
      <c r="B29" s="355"/>
      <c r="C29" s="352" t="s">
        <v>273</v>
      </c>
      <c r="D29" s="461" t="s">
        <v>260</v>
      </c>
      <c r="E29" s="52"/>
      <c r="F29" s="350" t="s">
        <v>311</v>
      </c>
      <c r="G29" s="352" t="s">
        <v>187</v>
      </c>
      <c r="H29" s="352" t="s">
        <v>46</v>
      </c>
      <c r="I29" s="350" t="s">
        <v>188</v>
      </c>
      <c r="J29" s="80" t="s">
        <v>22</v>
      </c>
      <c r="K29" s="202">
        <f>AVERAGE(L29:BY29)</f>
        <v>1.3333333333333333</v>
      </c>
      <c r="L29" s="66">
        <v>1</v>
      </c>
      <c r="M29" s="67">
        <v>1</v>
      </c>
      <c r="N29" s="67">
        <v>0</v>
      </c>
      <c r="O29" s="67">
        <v>0</v>
      </c>
      <c r="P29" s="67">
        <v>0</v>
      </c>
      <c r="Q29" s="67">
        <v>0</v>
      </c>
      <c r="R29" s="67">
        <v>1</v>
      </c>
      <c r="S29" s="67">
        <v>0</v>
      </c>
      <c r="T29" s="67">
        <v>2</v>
      </c>
      <c r="U29" s="67">
        <v>1</v>
      </c>
      <c r="V29" s="67">
        <v>3</v>
      </c>
      <c r="W29" s="67">
        <v>0</v>
      </c>
      <c r="X29" s="128">
        <v>0</v>
      </c>
      <c r="Y29" s="79">
        <v>0</v>
      </c>
      <c r="Z29" s="79">
        <v>0</v>
      </c>
      <c r="AA29" s="79">
        <v>1</v>
      </c>
      <c r="AB29" s="79">
        <v>2</v>
      </c>
      <c r="AC29" s="79">
        <v>0</v>
      </c>
      <c r="AD29" s="79">
        <v>0</v>
      </c>
      <c r="AE29" s="79">
        <v>1</v>
      </c>
      <c r="AF29" s="79">
        <v>3</v>
      </c>
      <c r="AG29" s="70">
        <v>4</v>
      </c>
      <c r="AH29" s="70">
        <v>5</v>
      </c>
      <c r="AI29" s="120">
        <v>1</v>
      </c>
      <c r="AJ29" s="70">
        <v>2</v>
      </c>
      <c r="AK29" s="70">
        <v>1</v>
      </c>
      <c r="AL29" s="70">
        <v>0</v>
      </c>
      <c r="AM29" s="70">
        <v>0</v>
      </c>
      <c r="AN29" s="70">
        <v>3</v>
      </c>
      <c r="AO29" s="70">
        <v>0</v>
      </c>
      <c r="AP29" s="70">
        <v>0</v>
      </c>
      <c r="AQ29" s="70">
        <v>0</v>
      </c>
      <c r="AR29" s="70">
        <v>0</v>
      </c>
      <c r="AS29" s="70">
        <v>2</v>
      </c>
      <c r="AT29" s="70">
        <v>1</v>
      </c>
      <c r="AU29" s="70">
        <v>3</v>
      </c>
      <c r="AV29" s="119">
        <v>3</v>
      </c>
      <c r="AW29" s="70">
        <v>1</v>
      </c>
      <c r="AX29" s="70">
        <v>2</v>
      </c>
      <c r="AY29" s="70">
        <v>1</v>
      </c>
      <c r="AZ29" s="70">
        <v>2</v>
      </c>
      <c r="BA29" s="70">
        <v>0</v>
      </c>
      <c r="BB29" s="70">
        <v>1</v>
      </c>
      <c r="BC29" s="70">
        <v>1</v>
      </c>
      <c r="BD29" s="70">
        <v>5</v>
      </c>
      <c r="BE29" s="70">
        <v>1</v>
      </c>
      <c r="BF29" s="70">
        <v>0</v>
      </c>
      <c r="BG29" s="120">
        <v>0</v>
      </c>
      <c r="BH29" s="119">
        <v>4</v>
      </c>
      <c r="BI29" s="70">
        <v>0</v>
      </c>
      <c r="BJ29" s="70">
        <v>2</v>
      </c>
      <c r="BK29" s="70">
        <v>1</v>
      </c>
      <c r="BL29" s="70">
        <v>1</v>
      </c>
      <c r="BM29" s="70">
        <v>0</v>
      </c>
      <c r="BN29" s="70">
        <v>1</v>
      </c>
      <c r="BO29" s="70">
        <v>1</v>
      </c>
      <c r="BP29" s="70">
        <v>2</v>
      </c>
      <c r="BQ29" s="70">
        <v>1</v>
      </c>
      <c r="BR29" s="70">
        <v>4</v>
      </c>
      <c r="BS29" s="120">
        <v>2</v>
      </c>
      <c r="BT29" s="70">
        <v>2</v>
      </c>
      <c r="BU29" s="70">
        <v>1</v>
      </c>
      <c r="BV29" s="70">
        <v>4</v>
      </c>
      <c r="BW29" s="70">
        <v>0</v>
      </c>
      <c r="BX29" s="70">
        <v>4</v>
      </c>
      <c r="BY29" s="70">
        <v>3</v>
      </c>
      <c r="BZ29" s="110">
        <v>0</v>
      </c>
      <c r="CA29" s="110">
        <v>2</v>
      </c>
      <c r="CB29" s="110">
        <v>1</v>
      </c>
      <c r="CC29" s="111">
        <v>3</v>
      </c>
      <c r="CD29" s="370" t="s">
        <v>57</v>
      </c>
      <c r="CE29" s="391"/>
    </row>
    <row r="30" spans="1:83" ht="17" thickBot="1" x14ac:dyDescent="0.5">
      <c r="A30" s="355"/>
      <c r="B30" s="355"/>
      <c r="C30" s="355"/>
      <c r="D30" s="463"/>
      <c r="E30" s="3"/>
      <c r="F30" s="351"/>
      <c r="G30" s="353"/>
      <c r="H30" s="353"/>
      <c r="I30" s="354"/>
      <c r="J30" s="51" t="s">
        <v>165</v>
      </c>
      <c r="K30" s="203"/>
      <c r="L30" s="354">
        <v>2</v>
      </c>
      <c r="M30" s="363"/>
      <c r="N30" s="363"/>
      <c r="O30" s="363"/>
      <c r="P30" s="363"/>
      <c r="Q30" s="363"/>
      <c r="R30" s="363">
        <v>7</v>
      </c>
      <c r="S30" s="363"/>
      <c r="T30" s="363"/>
      <c r="U30" s="363"/>
      <c r="V30" s="363"/>
      <c r="W30" s="363"/>
      <c r="X30" s="393">
        <v>3</v>
      </c>
      <c r="Y30" s="386"/>
      <c r="Z30" s="386"/>
      <c r="AA30" s="386"/>
      <c r="AB30" s="386"/>
      <c r="AC30" s="386"/>
      <c r="AD30" s="386">
        <v>14</v>
      </c>
      <c r="AE30" s="386"/>
      <c r="AF30" s="386"/>
      <c r="AG30" s="386"/>
      <c r="AH30" s="386"/>
      <c r="AI30" s="394"/>
      <c r="AJ30" s="386">
        <v>6</v>
      </c>
      <c r="AK30" s="386"/>
      <c r="AL30" s="386"/>
      <c r="AM30" s="386"/>
      <c r="AN30" s="386"/>
      <c r="AO30" s="386"/>
      <c r="AP30" s="386">
        <v>6</v>
      </c>
      <c r="AQ30" s="386"/>
      <c r="AR30" s="386"/>
      <c r="AS30" s="386"/>
      <c r="AT30" s="386"/>
      <c r="AU30" s="386"/>
      <c r="AV30" s="393">
        <v>9</v>
      </c>
      <c r="AW30" s="386"/>
      <c r="AX30" s="386"/>
      <c r="AY30" s="386"/>
      <c r="AZ30" s="386"/>
      <c r="BA30" s="386"/>
      <c r="BB30" s="386">
        <v>8</v>
      </c>
      <c r="BC30" s="386"/>
      <c r="BD30" s="386"/>
      <c r="BE30" s="386"/>
      <c r="BF30" s="386"/>
      <c r="BG30" s="394"/>
      <c r="BH30" s="356">
        <v>8</v>
      </c>
      <c r="BI30" s="357"/>
      <c r="BJ30" s="357"/>
      <c r="BK30" s="357"/>
      <c r="BL30" s="357"/>
      <c r="BM30" s="357"/>
      <c r="BN30" s="357">
        <v>11</v>
      </c>
      <c r="BO30" s="357"/>
      <c r="BP30" s="357"/>
      <c r="BQ30" s="357"/>
      <c r="BR30" s="357"/>
      <c r="BS30" s="358"/>
      <c r="BT30" s="386">
        <v>14</v>
      </c>
      <c r="BU30" s="386"/>
      <c r="BV30" s="386"/>
      <c r="BW30" s="386"/>
      <c r="BX30" s="386"/>
      <c r="BY30" s="386"/>
      <c r="BZ30" s="105"/>
      <c r="CA30" s="105"/>
      <c r="CB30" s="105"/>
      <c r="CC30" s="104"/>
      <c r="CD30" s="372"/>
      <c r="CE30" s="392"/>
    </row>
    <row r="31" spans="1:83" ht="16.5" x14ac:dyDescent="0.45">
      <c r="A31" s="355"/>
      <c r="B31" s="355"/>
      <c r="C31" s="355"/>
      <c r="D31" s="461" t="s">
        <v>205</v>
      </c>
      <c r="E31" s="3"/>
      <c r="F31" s="350" t="s">
        <v>195</v>
      </c>
      <c r="G31" s="352" t="s">
        <v>206</v>
      </c>
      <c r="H31" s="352" t="s">
        <v>193</v>
      </c>
      <c r="I31" s="350" t="s">
        <v>207</v>
      </c>
      <c r="J31" s="80" t="s">
        <v>22</v>
      </c>
      <c r="K31" s="202">
        <f t="shared" si="0"/>
        <v>6.4722222222222223</v>
      </c>
      <c r="L31" s="47">
        <v>7</v>
      </c>
      <c r="M31" s="48">
        <v>3</v>
      </c>
      <c r="N31" s="48">
        <v>7</v>
      </c>
      <c r="O31" s="48">
        <v>2</v>
      </c>
      <c r="P31" s="48">
        <v>5</v>
      </c>
      <c r="Q31" s="48">
        <v>4</v>
      </c>
      <c r="R31" s="48">
        <v>4</v>
      </c>
      <c r="S31" s="48">
        <v>8</v>
      </c>
      <c r="T31" s="48">
        <v>8</v>
      </c>
      <c r="U31" s="48">
        <v>5</v>
      </c>
      <c r="V31" s="48">
        <v>6</v>
      </c>
      <c r="W31" s="48">
        <v>6</v>
      </c>
      <c r="X31" s="123">
        <v>7</v>
      </c>
      <c r="Y31" s="49">
        <v>4</v>
      </c>
      <c r="Z31" s="49">
        <v>0</v>
      </c>
      <c r="AA31" s="49">
        <v>1</v>
      </c>
      <c r="AB31" s="49">
        <v>9</v>
      </c>
      <c r="AC31" s="49">
        <v>5</v>
      </c>
      <c r="AD31" s="49">
        <v>5</v>
      </c>
      <c r="AE31" s="49">
        <v>5</v>
      </c>
      <c r="AF31" s="49">
        <v>6</v>
      </c>
      <c r="AG31" s="49">
        <v>6</v>
      </c>
      <c r="AH31" s="49">
        <v>10</v>
      </c>
      <c r="AI31" s="124">
        <v>15</v>
      </c>
      <c r="AJ31" s="49">
        <v>12</v>
      </c>
      <c r="AK31" s="49">
        <v>4</v>
      </c>
      <c r="AL31" s="49">
        <v>6</v>
      </c>
      <c r="AM31" s="49">
        <v>9</v>
      </c>
      <c r="AN31" s="49">
        <v>5</v>
      </c>
      <c r="AO31" s="49">
        <v>10</v>
      </c>
      <c r="AP31" s="49">
        <v>7</v>
      </c>
      <c r="AQ31" s="49">
        <v>9</v>
      </c>
      <c r="AR31" s="49">
        <v>8</v>
      </c>
      <c r="AS31" s="49">
        <v>15</v>
      </c>
      <c r="AT31" s="49">
        <v>7</v>
      </c>
      <c r="AU31" s="49">
        <v>8</v>
      </c>
      <c r="AV31" s="123">
        <v>6</v>
      </c>
      <c r="AW31" s="49">
        <v>4</v>
      </c>
      <c r="AX31" s="49">
        <v>10</v>
      </c>
      <c r="AY31" s="49">
        <v>12</v>
      </c>
      <c r="AZ31" s="49">
        <v>4</v>
      </c>
      <c r="BA31" s="49">
        <v>8</v>
      </c>
      <c r="BB31" s="49">
        <v>12</v>
      </c>
      <c r="BC31" s="49">
        <v>6</v>
      </c>
      <c r="BD31" s="49">
        <v>7</v>
      </c>
      <c r="BE31" s="49">
        <v>13</v>
      </c>
      <c r="BF31" s="49">
        <v>8</v>
      </c>
      <c r="BG31" s="124">
        <v>9</v>
      </c>
      <c r="BH31" s="123">
        <v>9</v>
      </c>
      <c r="BI31" s="49">
        <v>4</v>
      </c>
      <c r="BJ31" s="49">
        <v>4</v>
      </c>
      <c r="BK31" s="49">
        <v>6</v>
      </c>
      <c r="BL31" s="49">
        <v>3</v>
      </c>
      <c r="BM31" s="49">
        <v>7</v>
      </c>
      <c r="BN31" s="49">
        <v>4</v>
      </c>
      <c r="BO31" s="49">
        <v>3</v>
      </c>
      <c r="BP31" s="49">
        <v>7</v>
      </c>
      <c r="BQ31" s="49">
        <v>5</v>
      </c>
      <c r="BR31" s="49">
        <v>7</v>
      </c>
      <c r="BS31" s="124">
        <v>6</v>
      </c>
      <c r="BT31" s="49">
        <v>6</v>
      </c>
      <c r="BU31" s="49">
        <v>2</v>
      </c>
      <c r="BV31" s="49">
        <v>6</v>
      </c>
      <c r="BW31" s="49">
        <v>6</v>
      </c>
      <c r="BX31" s="49">
        <v>9</v>
      </c>
      <c r="BY31" s="49">
        <v>9</v>
      </c>
      <c r="BZ31" s="49">
        <v>9</v>
      </c>
      <c r="CA31" s="49">
        <v>2</v>
      </c>
      <c r="CB31" s="49">
        <v>1</v>
      </c>
      <c r="CC31" s="49">
        <v>8</v>
      </c>
      <c r="CD31" s="49">
        <v>2</v>
      </c>
      <c r="CE31" s="92">
        <v>4</v>
      </c>
    </row>
    <row r="32" spans="1:83" ht="17" thickBot="1" x14ac:dyDescent="0.5">
      <c r="A32" s="355"/>
      <c r="B32" s="355"/>
      <c r="C32" s="353"/>
      <c r="D32" s="463"/>
      <c r="E32" s="3"/>
      <c r="F32" s="351"/>
      <c r="G32" s="353"/>
      <c r="H32" s="353"/>
      <c r="I32" s="354"/>
      <c r="J32" s="51" t="s">
        <v>165</v>
      </c>
      <c r="K32" s="203"/>
      <c r="L32" s="88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121"/>
      <c r="Y32" s="90"/>
      <c r="Z32" s="90"/>
      <c r="AA32" s="90"/>
      <c r="AB32" s="90"/>
      <c r="AC32" s="90"/>
      <c r="AD32" s="90"/>
      <c r="AE32" s="90"/>
      <c r="AF32" s="90"/>
      <c r="AG32" s="90"/>
      <c r="AH32" s="90"/>
      <c r="AI32" s="122"/>
      <c r="AJ32" s="90"/>
      <c r="AK32" s="90"/>
      <c r="AL32" s="90"/>
      <c r="AM32" s="90"/>
      <c r="AN32" s="90"/>
      <c r="AO32" s="90"/>
      <c r="AP32" s="90"/>
      <c r="AQ32" s="90"/>
      <c r="AR32" s="90"/>
      <c r="AS32" s="90"/>
      <c r="AT32" s="90"/>
      <c r="AU32" s="90"/>
      <c r="AV32" s="356"/>
      <c r="AW32" s="357"/>
      <c r="AX32" s="357"/>
      <c r="AY32" s="357"/>
      <c r="AZ32" s="357"/>
      <c r="BA32" s="357"/>
      <c r="BB32" s="357"/>
      <c r="BC32" s="357"/>
      <c r="BD32" s="357"/>
      <c r="BE32" s="357"/>
      <c r="BF32" s="357"/>
      <c r="BG32" s="358"/>
      <c r="BH32" s="356"/>
      <c r="BI32" s="357"/>
      <c r="BJ32" s="357"/>
      <c r="BK32" s="357"/>
      <c r="BL32" s="357"/>
      <c r="BM32" s="357"/>
      <c r="BN32" s="357"/>
      <c r="BO32" s="357"/>
      <c r="BP32" s="357"/>
      <c r="BQ32" s="357"/>
      <c r="BR32" s="357"/>
      <c r="BS32" s="358"/>
      <c r="BT32" s="357"/>
      <c r="BU32" s="357"/>
      <c r="BV32" s="357"/>
      <c r="BW32" s="357"/>
      <c r="BX32" s="357"/>
      <c r="BY32" s="357"/>
      <c r="BZ32" s="357"/>
      <c r="CA32" s="357"/>
      <c r="CB32" s="357"/>
      <c r="CC32" s="357"/>
      <c r="CD32" s="357"/>
      <c r="CE32" s="365"/>
    </row>
    <row r="33" spans="1:83" ht="16.5" x14ac:dyDescent="0.45">
      <c r="A33" s="355"/>
      <c r="B33" s="355"/>
      <c r="C33" s="352" t="s">
        <v>274</v>
      </c>
      <c r="D33" s="461" t="s">
        <v>294</v>
      </c>
      <c r="E33" s="3"/>
      <c r="F33" s="352" t="s">
        <v>195</v>
      </c>
      <c r="G33" s="352" t="s">
        <v>304</v>
      </c>
      <c r="H33" s="352" t="s">
        <v>46</v>
      </c>
      <c r="I33" s="399" t="s">
        <v>305</v>
      </c>
      <c r="J33" s="80" t="s">
        <v>22</v>
      </c>
      <c r="K33" s="202">
        <f t="shared" ref="K33" si="1">AVERAGE(L33:CE33)</f>
        <v>0.5</v>
      </c>
      <c r="L33" s="66">
        <v>0</v>
      </c>
      <c r="M33" s="67">
        <v>0</v>
      </c>
      <c r="N33" s="67">
        <v>1</v>
      </c>
      <c r="O33" s="67">
        <v>0</v>
      </c>
      <c r="P33" s="67">
        <v>1</v>
      </c>
      <c r="Q33" s="67">
        <v>0</v>
      </c>
      <c r="R33" s="67">
        <v>0</v>
      </c>
      <c r="S33" s="67">
        <v>0</v>
      </c>
      <c r="T33" s="67">
        <v>0</v>
      </c>
      <c r="U33" s="67">
        <v>0</v>
      </c>
      <c r="V33" s="67">
        <v>0</v>
      </c>
      <c r="W33" s="67">
        <v>0</v>
      </c>
      <c r="X33" s="119">
        <v>2</v>
      </c>
      <c r="Y33" s="70">
        <v>0</v>
      </c>
      <c r="Z33" s="70">
        <v>0</v>
      </c>
      <c r="AA33" s="70">
        <v>0</v>
      </c>
      <c r="AB33" s="70">
        <v>1</v>
      </c>
      <c r="AC33" s="70">
        <v>1</v>
      </c>
      <c r="AD33" s="70">
        <v>1</v>
      </c>
      <c r="AE33" s="70">
        <v>0</v>
      </c>
      <c r="AF33" s="70">
        <v>0</v>
      </c>
      <c r="AG33" s="70">
        <v>0</v>
      </c>
      <c r="AH33" s="70">
        <v>0</v>
      </c>
      <c r="AI33" s="120">
        <v>0</v>
      </c>
      <c r="AJ33" s="70">
        <v>0</v>
      </c>
      <c r="AK33" s="70">
        <v>0</v>
      </c>
      <c r="AL33" s="70">
        <v>0</v>
      </c>
      <c r="AM33" s="70">
        <v>2</v>
      </c>
      <c r="AN33" s="70">
        <v>0</v>
      </c>
      <c r="AO33" s="70">
        <v>1</v>
      </c>
      <c r="AP33" s="70">
        <v>1</v>
      </c>
      <c r="AQ33" s="70">
        <v>2</v>
      </c>
      <c r="AR33" s="70">
        <v>0</v>
      </c>
      <c r="AS33" s="70">
        <v>0</v>
      </c>
      <c r="AT33" s="70">
        <v>0</v>
      </c>
      <c r="AU33" s="70">
        <v>0</v>
      </c>
      <c r="AV33" s="119">
        <v>1</v>
      </c>
      <c r="AW33" s="70">
        <v>1</v>
      </c>
      <c r="AX33" s="70">
        <v>0</v>
      </c>
      <c r="AY33" s="70">
        <v>0</v>
      </c>
      <c r="AZ33" s="70">
        <v>0</v>
      </c>
      <c r="BA33" s="70">
        <v>11</v>
      </c>
      <c r="BB33" s="70">
        <v>0</v>
      </c>
      <c r="BC33" s="70">
        <v>0</v>
      </c>
      <c r="BD33" s="70">
        <v>0</v>
      </c>
      <c r="BE33" s="70">
        <v>2</v>
      </c>
      <c r="BF33" s="70">
        <v>1</v>
      </c>
      <c r="BG33" s="120">
        <v>1</v>
      </c>
      <c r="BH33" s="119">
        <v>2</v>
      </c>
      <c r="BI33" s="70">
        <v>1</v>
      </c>
      <c r="BJ33" s="70">
        <v>0</v>
      </c>
      <c r="BK33" s="70">
        <v>0</v>
      </c>
      <c r="BL33" s="70">
        <v>0</v>
      </c>
      <c r="BM33" s="70">
        <v>0</v>
      </c>
      <c r="BN33" s="70">
        <v>0</v>
      </c>
      <c r="BO33" s="70">
        <v>0</v>
      </c>
      <c r="BP33" s="70">
        <v>0</v>
      </c>
      <c r="BQ33" s="70">
        <v>0</v>
      </c>
      <c r="BR33" s="70">
        <v>0</v>
      </c>
      <c r="BS33" s="120">
        <v>0</v>
      </c>
      <c r="BT33" s="70">
        <v>0</v>
      </c>
      <c r="BU33" s="70">
        <v>0</v>
      </c>
      <c r="BV33" s="70">
        <v>0</v>
      </c>
      <c r="BW33" s="70">
        <v>0</v>
      </c>
      <c r="BX33" s="70">
        <v>0</v>
      </c>
      <c r="BY33" s="70">
        <v>1</v>
      </c>
      <c r="BZ33" s="70">
        <v>0</v>
      </c>
      <c r="CA33" s="70">
        <v>0</v>
      </c>
      <c r="CB33" s="70">
        <v>1</v>
      </c>
      <c r="CC33" s="70">
        <v>0</v>
      </c>
      <c r="CD33" s="70">
        <v>0</v>
      </c>
      <c r="CE33" s="71">
        <v>1</v>
      </c>
    </row>
    <row r="34" spans="1:83" ht="17" thickBot="1" x14ac:dyDescent="0.5">
      <c r="A34" s="355"/>
      <c r="B34" s="355"/>
      <c r="C34" s="355"/>
      <c r="D34" s="463"/>
      <c r="E34" s="3"/>
      <c r="F34" s="353"/>
      <c r="G34" s="353"/>
      <c r="H34" s="353"/>
      <c r="I34" s="400"/>
      <c r="J34" s="51" t="s">
        <v>312</v>
      </c>
      <c r="K34" s="203"/>
      <c r="L34" s="356">
        <v>2</v>
      </c>
      <c r="M34" s="357"/>
      <c r="N34" s="357"/>
      <c r="O34" s="357"/>
      <c r="P34" s="357"/>
      <c r="Q34" s="357"/>
      <c r="R34" s="357"/>
      <c r="S34" s="357"/>
      <c r="T34" s="357"/>
      <c r="U34" s="357"/>
      <c r="V34" s="357"/>
      <c r="W34" s="358"/>
      <c r="X34" s="448">
        <v>5</v>
      </c>
      <c r="Y34" s="376"/>
      <c r="Z34" s="376"/>
      <c r="AA34" s="376"/>
      <c r="AB34" s="376"/>
      <c r="AC34" s="376"/>
      <c r="AD34" s="376"/>
      <c r="AE34" s="376"/>
      <c r="AF34" s="376"/>
      <c r="AG34" s="376"/>
      <c r="AH34" s="376"/>
      <c r="AI34" s="445"/>
      <c r="AJ34" s="448">
        <v>6</v>
      </c>
      <c r="AK34" s="376"/>
      <c r="AL34" s="376"/>
      <c r="AM34" s="376"/>
      <c r="AN34" s="376"/>
      <c r="AO34" s="376"/>
      <c r="AP34" s="376"/>
      <c r="AQ34" s="376"/>
      <c r="AR34" s="376"/>
      <c r="AS34" s="376"/>
      <c r="AT34" s="376"/>
      <c r="AU34" s="445"/>
      <c r="AV34" s="448">
        <v>7</v>
      </c>
      <c r="AW34" s="376"/>
      <c r="AX34" s="376"/>
      <c r="AY34" s="376"/>
      <c r="AZ34" s="376"/>
      <c r="BA34" s="376"/>
      <c r="BB34" s="376"/>
      <c r="BC34" s="376"/>
      <c r="BD34" s="376"/>
      <c r="BE34" s="376"/>
      <c r="BF34" s="376"/>
      <c r="BG34" s="445"/>
      <c r="BH34" s="448">
        <v>3</v>
      </c>
      <c r="BI34" s="376"/>
      <c r="BJ34" s="376"/>
      <c r="BK34" s="376"/>
      <c r="BL34" s="376"/>
      <c r="BM34" s="376"/>
      <c r="BN34" s="376"/>
      <c r="BO34" s="376"/>
      <c r="BP34" s="376"/>
      <c r="BQ34" s="376"/>
      <c r="BR34" s="376"/>
      <c r="BS34" s="445"/>
      <c r="BT34" s="376">
        <v>3</v>
      </c>
      <c r="BU34" s="376"/>
      <c r="BV34" s="376"/>
      <c r="BW34" s="376"/>
      <c r="BX34" s="376"/>
      <c r="BY34" s="376"/>
      <c r="BZ34" s="376"/>
      <c r="CA34" s="376"/>
      <c r="CB34" s="376"/>
      <c r="CC34" s="376"/>
      <c r="CD34" s="376"/>
      <c r="CE34" s="377"/>
    </row>
    <row r="35" spans="1:83" ht="16.5" x14ac:dyDescent="0.45">
      <c r="A35" s="355"/>
      <c r="B35" s="355"/>
      <c r="C35" s="355"/>
      <c r="D35" s="461" t="s">
        <v>223</v>
      </c>
      <c r="E35" s="3"/>
      <c r="F35" s="350" t="s">
        <v>195</v>
      </c>
      <c r="G35" s="352" t="s">
        <v>226</v>
      </c>
      <c r="H35" s="352" t="s">
        <v>46</v>
      </c>
      <c r="I35" s="350" t="s">
        <v>227</v>
      </c>
      <c r="J35" s="80" t="s">
        <v>22</v>
      </c>
      <c r="K35" s="202">
        <f t="shared" ref="K35" si="2">AVERAGE(L35:CE35)</f>
        <v>0.20833333333333334</v>
      </c>
      <c r="L35" s="47">
        <v>0</v>
      </c>
      <c r="M35" s="48">
        <v>0</v>
      </c>
      <c r="N35" s="48">
        <v>0</v>
      </c>
      <c r="O35" s="48">
        <v>0</v>
      </c>
      <c r="P35" s="48">
        <v>0</v>
      </c>
      <c r="Q35" s="48">
        <v>0</v>
      </c>
      <c r="R35" s="48">
        <v>0</v>
      </c>
      <c r="S35" s="48">
        <v>0</v>
      </c>
      <c r="T35" s="48">
        <v>0</v>
      </c>
      <c r="U35" s="48">
        <v>1</v>
      </c>
      <c r="V35" s="48">
        <v>0</v>
      </c>
      <c r="W35" s="48">
        <v>0</v>
      </c>
      <c r="X35" s="123">
        <v>0</v>
      </c>
      <c r="Y35" s="49">
        <v>0</v>
      </c>
      <c r="Z35" s="49">
        <v>1</v>
      </c>
      <c r="AA35" s="49">
        <v>1</v>
      </c>
      <c r="AB35" s="49">
        <v>0</v>
      </c>
      <c r="AC35" s="49">
        <v>1</v>
      </c>
      <c r="AD35" s="49">
        <v>0</v>
      </c>
      <c r="AE35" s="49">
        <v>0</v>
      </c>
      <c r="AF35" s="49">
        <v>0</v>
      </c>
      <c r="AG35" s="49">
        <v>0</v>
      </c>
      <c r="AH35" s="49">
        <v>0</v>
      </c>
      <c r="AI35" s="124">
        <v>0</v>
      </c>
      <c r="AJ35" s="49">
        <v>0</v>
      </c>
      <c r="AK35" s="49">
        <v>0</v>
      </c>
      <c r="AL35" s="49">
        <v>0</v>
      </c>
      <c r="AM35" s="49">
        <v>0</v>
      </c>
      <c r="AN35" s="49">
        <v>0</v>
      </c>
      <c r="AO35" s="49">
        <v>0</v>
      </c>
      <c r="AP35" s="49">
        <v>0</v>
      </c>
      <c r="AQ35" s="49">
        <v>0</v>
      </c>
      <c r="AR35" s="49">
        <v>0</v>
      </c>
      <c r="AS35" s="49">
        <v>0</v>
      </c>
      <c r="AT35" s="49">
        <v>0</v>
      </c>
      <c r="AU35" s="49">
        <v>0</v>
      </c>
      <c r="AV35" s="123">
        <v>1</v>
      </c>
      <c r="AW35" s="49">
        <v>0</v>
      </c>
      <c r="AX35" s="49">
        <v>0</v>
      </c>
      <c r="AY35" s="49">
        <v>0</v>
      </c>
      <c r="AZ35" s="49">
        <v>0</v>
      </c>
      <c r="BA35" s="49">
        <v>1</v>
      </c>
      <c r="BB35" s="49">
        <v>0</v>
      </c>
      <c r="BC35" s="49">
        <v>0</v>
      </c>
      <c r="BD35" s="49">
        <v>0</v>
      </c>
      <c r="BE35" s="49">
        <v>1</v>
      </c>
      <c r="BF35" s="49">
        <v>0</v>
      </c>
      <c r="BG35" s="124">
        <v>0</v>
      </c>
      <c r="BH35" s="123">
        <v>0</v>
      </c>
      <c r="BI35" s="49">
        <v>0</v>
      </c>
      <c r="BJ35" s="49">
        <v>0</v>
      </c>
      <c r="BK35" s="49">
        <v>0</v>
      </c>
      <c r="BL35" s="49">
        <v>0</v>
      </c>
      <c r="BM35" s="49">
        <v>1</v>
      </c>
      <c r="BN35" s="49">
        <v>0</v>
      </c>
      <c r="BO35" s="49">
        <v>0</v>
      </c>
      <c r="BP35" s="49">
        <v>0</v>
      </c>
      <c r="BQ35" s="49">
        <v>0</v>
      </c>
      <c r="BR35" s="49">
        <v>1</v>
      </c>
      <c r="BS35" s="124">
        <v>0</v>
      </c>
      <c r="BT35" s="49">
        <v>0</v>
      </c>
      <c r="BU35" s="49">
        <v>0</v>
      </c>
      <c r="BV35" s="49">
        <v>0</v>
      </c>
      <c r="BW35" s="49">
        <v>1</v>
      </c>
      <c r="BX35" s="49">
        <v>1</v>
      </c>
      <c r="BY35" s="49">
        <v>0</v>
      </c>
      <c r="BZ35" s="49">
        <v>0</v>
      </c>
      <c r="CA35" s="49">
        <v>0</v>
      </c>
      <c r="CB35" s="49">
        <v>0</v>
      </c>
      <c r="CC35" s="49">
        <v>0</v>
      </c>
      <c r="CD35" s="49">
        <v>1</v>
      </c>
      <c r="CE35" s="92">
        <v>3</v>
      </c>
    </row>
    <row r="36" spans="1:83" ht="17" thickBot="1" x14ac:dyDescent="0.5">
      <c r="A36" s="355"/>
      <c r="B36" s="355"/>
      <c r="C36" s="355"/>
      <c r="D36" s="463"/>
      <c r="E36" s="3"/>
      <c r="F36" s="351"/>
      <c r="G36" s="353"/>
      <c r="H36" s="353"/>
      <c r="I36" s="354"/>
      <c r="J36" s="51" t="s">
        <v>165</v>
      </c>
      <c r="K36" s="203"/>
      <c r="L36" s="88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121"/>
      <c r="Y36" s="90"/>
      <c r="Z36" s="90"/>
      <c r="AA36" s="90"/>
      <c r="AB36" s="90"/>
      <c r="AC36" s="90"/>
      <c r="AD36" s="90"/>
      <c r="AE36" s="90"/>
      <c r="AF36" s="90"/>
      <c r="AG36" s="90"/>
      <c r="AH36" s="90"/>
      <c r="AI36" s="122"/>
      <c r="AJ36" s="90"/>
      <c r="AK36" s="90"/>
      <c r="AL36" s="90"/>
      <c r="AM36" s="90"/>
      <c r="AN36" s="90"/>
      <c r="AO36" s="90"/>
      <c r="AP36" s="90"/>
      <c r="AQ36" s="90"/>
      <c r="AR36" s="90"/>
      <c r="AS36" s="90"/>
      <c r="AT36" s="90"/>
      <c r="AU36" s="90"/>
      <c r="AV36" s="356"/>
      <c r="AW36" s="357"/>
      <c r="AX36" s="357"/>
      <c r="AY36" s="357"/>
      <c r="AZ36" s="357"/>
      <c r="BA36" s="357"/>
      <c r="BB36" s="357"/>
      <c r="BC36" s="357"/>
      <c r="BD36" s="357"/>
      <c r="BE36" s="357"/>
      <c r="BF36" s="357"/>
      <c r="BG36" s="358"/>
      <c r="BH36" s="356"/>
      <c r="BI36" s="357"/>
      <c r="BJ36" s="357"/>
      <c r="BK36" s="357"/>
      <c r="BL36" s="357"/>
      <c r="BM36" s="357"/>
      <c r="BN36" s="357"/>
      <c r="BO36" s="357"/>
      <c r="BP36" s="357"/>
      <c r="BQ36" s="357"/>
      <c r="BR36" s="357"/>
      <c r="BS36" s="358"/>
      <c r="BT36" s="357"/>
      <c r="BU36" s="357"/>
      <c r="BV36" s="357"/>
      <c r="BW36" s="357"/>
      <c r="BX36" s="357"/>
      <c r="BY36" s="357"/>
      <c r="BZ36" s="357"/>
      <c r="CA36" s="357"/>
      <c r="CB36" s="357"/>
      <c r="CC36" s="357"/>
      <c r="CD36" s="357"/>
      <c r="CE36" s="365"/>
    </row>
    <row r="37" spans="1:83" ht="16.5" x14ac:dyDescent="0.45">
      <c r="A37" s="355"/>
      <c r="B37" s="355"/>
      <c r="C37" s="355"/>
      <c r="D37" s="461" t="s">
        <v>222</v>
      </c>
      <c r="E37" s="3"/>
      <c r="F37" s="350" t="s">
        <v>195</v>
      </c>
      <c r="G37" s="352" t="s">
        <v>224</v>
      </c>
      <c r="H37" s="352" t="s">
        <v>46</v>
      </c>
      <c r="I37" s="350" t="s">
        <v>225</v>
      </c>
      <c r="J37" s="80" t="s">
        <v>22</v>
      </c>
      <c r="K37" s="202">
        <f t="shared" ref="K37" si="3">AVERAGE(L37:CE37)</f>
        <v>1.625</v>
      </c>
      <c r="L37" s="47">
        <v>2</v>
      </c>
      <c r="M37" s="48">
        <v>2</v>
      </c>
      <c r="N37" s="48">
        <v>1</v>
      </c>
      <c r="O37" s="48">
        <v>3</v>
      </c>
      <c r="P37" s="48">
        <v>1</v>
      </c>
      <c r="Q37" s="48">
        <v>0</v>
      </c>
      <c r="R37" s="48">
        <v>0</v>
      </c>
      <c r="S37" s="48">
        <v>0</v>
      </c>
      <c r="T37" s="48">
        <v>2</v>
      </c>
      <c r="U37" s="48">
        <v>0</v>
      </c>
      <c r="V37" s="48">
        <v>1</v>
      </c>
      <c r="W37" s="48">
        <v>2</v>
      </c>
      <c r="X37" s="123">
        <v>1</v>
      </c>
      <c r="Y37" s="49">
        <v>3</v>
      </c>
      <c r="Z37" s="49">
        <v>0</v>
      </c>
      <c r="AA37" s="49">
        <v>0</v>
      </c>
      <c r="AB37" s="49">
        <v>5</v>
      </c>
      <c r="AC37" s="49">
        <v>1</v>
      </c>
      <c r="AD37" s="49">
        <v>2</v>
      </c>
      <c r="AE37" s="49">
        <v>1</v>
      </c>
      <c r="AF37" s="49">
        <v>2</v>
      </c>
      <c r="AG37" s="49">
        <v>4</v>
      </c>
      <c r="AH37" s="49">
        <v>1</v>
      </c>
      <c r="AI37" s="124">
        <v>1</v>
      </c>
      <c r="AJ37" s="49">
        <v>1</v>
      </c>
      <c r="AK37" s="49">
        <v>2</v>
      </c>
      <c r="AL37" s="49">
        <v>1</v>
      </c>
      <c r="AM37" s="49">
        <v>1</v>
      </c>
      <c r="AN37" s="49">
        <v>1</v>
      </c>
      <c r="AO37" s="49">
        <v>0</v>
      </c>
      <c r="AP37" s="49">
        <v>2</v>
      </c>
      <c r="AQ37" s="49">
        <v>1</v>
      </c>
      <c r="AR37" s="49">
        <v>0</v>
      </c>
      <c r="AS37" s="49">
        <v>3</v>
      </c>
      <c r="AT37" s="49">
        <v>1</v>
      </c>
      <c r="AU37" s="49">
        <v>2</v>
      </c>
      <c r="AV37" s="123">
        <v>1</v>
      </c>
      <c r="AW37" s="49">
        <v>2</v>
      </c>
      <c r="AX37" s="49">
        <v>0</v>
      </c>
      <c r="AY37" s="49">
        <v>2</v>
      </c>
      <c r="AZ37" s="49">
        <v>0</v>
      </c>
      <c r="BA37" s="49">
        <v>2</v>
      </c>
      <c r="BB37" s="49">
        <v>2</v>
      </c>
      <c r="BC37" s="49">
        <v>1</v>
      </c>
      <c r="BD37" s="49">
        <v>2</v>
      </c>
      <c r="BE37" s="49">
        <v>0</v>
      </c>
      <c r="BF37" s="49">
        <v>2</v>
      </c>
      <c r="BG37" s="124">
        <v>1</v>
      </c>
      <c r="BH37" s="123">
        <v>1</v>
      </c>
      <c r="BI37" s="49">
        <v>1</v>
      </c>
      <c r="BJ37" s="49">
        <v>3</v>
      </c>
      <c r="BK37" s="49">
        <v>1</v>
      </c>
      <c r="BL37" s="49">
        <v>1</v>
      </c>
      <c r="BM37" s="49">
        <v>2</v>
      </c>
      <c r="BN37" s="49">
        <v>2</v>
      </c>
      <c r="BO37" s="49">
        <v>0</v>
      </c>
      <c r="BP37" s="49">
        <v>0</v>
      </c>
      <c r="BQ37" s="49">
        <v>4</v>
      </c>
      <c r="BR37" s="49">
        <v>2</v>
      </c>
      <c r="BS37" s="124">
        <v>0</v>
      </c>
      <c r="BT37" s="49">
        <v>1</v>
      </c>
      <c r="BU37" s="49">
        <v>4</v>
      </c>
      <c r="BV37" s="49">
        <v>4</v>
      </c>
      <c r="BW37" s="49">
        <v>4</v>
      </c>
      <c r="BX37" s="49">
        <v>1</v>
      </c>
      <c r="BY37" s="49">
        <v>2</v>
      </c>
      <c r="BZ37" s="49">
        <v>1</v>
      </c>
      <c r="CA37" s="49">
        <v>2</v>
      </c>
      <c r="CB37" s="49">
        <v>2</v>
      </c>
      <c r="CC37" s="49">
        <v>2</v>
      </c>
      <c r="CD37" s="49">
        <v>6</v>
      </c>
      <c r="CE37" s="92">
        <v>6</v>
      </c>
    </row>
    <row r="38" spans="1:83" ht="17" thickBot="1" x14ac:dyDescent="0.5">
      <c r="A38" s="355"/>
      <c r="B38" s="355"/>
      <c r="C38" s="353"/>
      <c r="D38" s="463"/>
      <c r="E38" s="3"/>
      <c r="F38" s="351"/>
      <c r="G38" s="353"/>
      <c r="H38" s="353"/>
      <c r="I38" s="354"/>
      <c r="J38" s="51" t="s">
        <v>165</v>
      </c>
      <c r="K38" s="203"/>
      <c r="L38" s="88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121"/>
      <c r="Y38" s="90"/>
      <c r="Z38" s="90"/>
      <c r="AA38" s="90"/>
      <c r="AB38" s="90"/>
      <c r="AC38" s="90"/>
      <c r="AD38" s="90"/>
      <c r="AE38" s="90"/>
      <c r="AF38" s="90"/>
      <c r="AG38" s="90"/>
      <c r="AH38" s="90"/>
      <c r="AI38" s="122"/>
      <c r="AJ38" s="90"/>
      <c r="AK38" s="90"/>
      <c r="AL38" s="90"/>
      <c r="AM38" s="90"/>
      <c r="AN38" s="90"/>
      <c r="AO38" s="90"/>
      <c r="AP38" s="90"/>
      <c r="AQ38" s="90"/>
      <c r="AR38" s="90"/>
      <c r="AS38" s="90"/>
      <c r="AT38" s="90"/>
      <c r="AU38" s="90"/>
      <c r="AV38" s="356"/>
      <c r="AW38" s="357"/>
      <c r="AX38" s="357"/>
      <c r="AY38" s="357"/>
      <c r="AZ38" s="357"/>
      <c r="BA38" s="357"/>
      <c r="BB38" s="357"/>
      <c r="BC38" s="357"/>
      <c r="BD38" s="357"/>
      <c r="BE38" s="357"/>
      <c r="BF38" s="357"/>
      <c r="BG38" s="358"/>
      <c r="BH38" s="356"/>
      <c r="BI38" s="357"/>
      <c r="BJ38" s="357"/>
      <c r="BK38" s="357"/>
      <c r="BL38" s="357"/>
      <c r="BM38" s="357"/>
      <c r="BN38" s="357"/>
      <c r="BO38" s="357"/>
      <c r="BP38" s="357"/>
      <c r="BQ38" s="357"/>
      <c r="BR38" s="357"/>
      <c r="BS38" s="358"/>
      <c r="BT38" s="357"/>
      <c r="BU38" s="357"/>
      <c r="BV38" s="357"/>
      <c r="BW38" s="357"/>
      <c r="BX38" s="357"/>
      <c r="BY38" s="357"/>
      <c r="BZ38" s="357"/>
      <c r="CA38" s="357"/>
      <c r="CB38" s="357"/>
      <c r="CC38" s="357"/>
      <c r="CD38" s="357"/>
      <c r="CE38" s="365"/>
    </row>
    <row r="39" spans="1:83" ht="17" thickTop="1" x14ac:dyDescent="0.45">
      <c r="A39" s="355"/>
      <c r="B39" s="355"/>
      <c r="C39" s="352" t="s">
        <v>277</v>
      </c>
      <c r="D39" s="461" t="s">
        <v>268</v>
      </c>
      <c r="E39" s="3"/>
      <c r="F39" s="350" t="s">
        <v>195</v>
      </c>
      <c r="G39" s="352" t="s">
        <v>306</v>
      </c>
      <c r="H39" s="352" t="s">
        <v>46</v>
      </c>
      <c r="I39" s="399" t="s">
        <v>307</v>
      </c>
      <c r="J39" s="78" t="s">
        <v>22</v>
      </c>
      <c r="K39" s="202">
        <f t="shared" si="0"/>
        <v>0.20833333333333334</v>
      </c>
      <c r="L39" s="66">
        <v>0</v>
      </c>
      <c r="M39" s="67">
        <v>0</v>
      </c>
      <c r="N39" s="67">
        <v>0</v>
      </c>
      <c r="O39" s="67">
        <v>0</v>
      </c>
      <c r="P39" s="67">
        <v>0</v>
      </c>
      <c r="Q39" s="67">
        <v>0</v>
      </c>
      <c r="R39" s="67">
        <v>0</v>
      </c>
      <c r="S39" s="67">
        <v>0</v>
      </c>
      <c r="T39" s="67">
        <v>1</v>
      </c>
      <c r="U39" s="67">
        <v>0</v>
      </c>
      <c r="V39" s="67">
        <v>0</v>
      </c>
      <c r="W39" s="67">
        <v>0</v>
      </c>
      <c r="X39" s="119">
        <v>1</v>
      </c>
      <c r="Y39" s="70">
        <v>0</v>
      </c>
      <c r="Z39" s="70">
        <v>0</v>
      </c>
      <c r="AA39" s="70">
        <v>0</v>
      </c>
      <c r="AB39" s="70">
        <v>1</v>
      </c>
      <c r="AC39" s="70">
        <v>0</v>
      </c>
      <c r="AD39" s="70">
        <v>1</v>
      </c>
      <c r="AE39" s="70">
        <v>0</v>
      </c>
      <c r="AF39" s="70">
        <v>0</v>
      </c>
      <c r="AG39" s="70">
        <v>0</v>
      </c>
      <c r="AH39" s="70">
        <v>1</v>
      </c>
      <c r="AI39" s="120">
        <v>0</v>
      </c>
      <c r="AJ39" s="70">
        <v>0</v>
      </c>
      <c r="AK39" s="70">
        <v>0</v>
      </c>
      <c r="AL39" s="70">
        <v>2</v>
      </c>
      <c r="AM39" s="70">
        <v>0</v>
      </c>
      <c r="AN39" s="70">
        <v>0</v>
      </c>
      <c r="AO39" s="70">
        <v>0</v>
      </c>
      <c r="AP39" s="70">
        <v>0</v>
      </c>
      <c r="AQ39" s="70">
        <v>0</v>
      </c>
      <c r="AR39" s="70">
        <v>0</v>
      </c>
      <c r="AS39" s="70">
        <v>0</v>
      </c>
      <c r="AT39" s="70">
        <v>0</v>
      </c>
      <c r="AU39" s="70">
        <v>0</v>
      </c>
      <c r="AV39" s="119">
        <v>0</v>
      </c>
      <c r="AW39" s="70">
        <v>0</v>
      </c>
      <c r="AX39" s="70">
        <v>0</v>
      </c>
      <c r="AY39" s="70">
        <v>0</v>
      </c>
      <c r="AZ39" s="70">
        <v>0</v>
      </c>
      <c r="BA39" s="70">
        <v>0</v>
      </c>
      <c r="BB39" s="70">
        <v>0</v>
      </c>
      <c r="BC39" s="70">
        <v>0</v>
      </c>
      <c r="BD39" s="70">
        <v>1</v>
      </c>
      <c r="BE39" s="70">
        <v>0</v>
      </c>
      <c r="BF39" s="70">
        <v>0</v>
      </c>
      <c r="BG39" s="120">
        <v>1</v>
      </c>
      <c r="BH39" s="119">
        <v>1</v>
      </c>
      <c r="BI39" s="70">
        <v>0</v>
      </c>
      <c r="BJ39" s="70">
        <v>0</v>
      </c>
      <c r="BK39" s="70">
        <v>0</v>
      </c>
      <c r="BL39" s="70">
        <v>0</v>
      </c>
      <c r="BM39" s="70">
        <v>1</v>
      </c>
      <c r="BN39" s="70">
        <v>0</v>
      </c>
      <c r="BO39" s="70">
        <v>0</v>
      </c>
      <c r="BP39" s="70">
        <v>1</v>
      </c>
      <c r="BQ39" s="70">
        <v>0</v>
      </c>
      <c r="BR39" s="70">
        <v>0</v>
      </c>
      <c r="BS39" s="120">
        <v>0</v>
      </c>
      <c r="BT39" s="70">
        <v>0</v>
      </c>
      <c r="BU39" s="70">
        <v>0</v>
      </c>
      <c r="BV39" s="70">
        <v>0</v>
      </c>
      <c r="BW39" s="70">
        <v>0</v>
      </c>
      <c r="BX39" s="70">
        <v>1</v>
      </c>
      <c r="BY39" s="70">
        <v>0</v>
      </c>
      <c r="BZ39" s="70">
        <v>0</v>
      </c>
      <c r="CA39" s="70">
        <v>0</v>
      </c>
      <c r="CB39" s="70">
        <v>1</v>
      </c>
      <c r="CC39" s="70">
        <v>1</v>
      </c>
      <c r="CD39" s="70">
        <v>0</v>
      </c>
      <c r="CE39" s="71">
        <v>0</v>
      </c>
    </row>
    <row r="40" spans="1:83" ht="17" thickBot="1" x14ac:dyDescent="0.5">
      <c r="A40" s="355"/>
      <c r="B40" s="355"/>
      <c r="C40" s="355"/>
      <c r="D40" s="463"/>
      <c r="E40" s="3"/>
      <c r="F40" s="351"/>
      <c r="G40" s="353"/>
      <c r="H40" s="353"/>
      <c r="I40" s="400"/>
      <c r="J40" s="51" t="s">
        <v>165</v>
      </c>
      <c r="K40" s="203"/>
      <c r="L40" s="354"/>
      <c r="M40" s="363"/>
      <c r="N40" s="363"/>
      <c r="O40" s="363"/>
      <c r="P40" s="363"/>
      <c r="Q40" s="363"/>
      <c r="R40" s="363"/>
      <c r="S40" s="363"/>
      <c r="T40" s="363"/>
      <c r="U40" s="363"/>
      <c r="V40" s="363"/>
      <c r="W40" s="363"/>
      <c r="X40" s="393"/>
      <c r="Y40" s="386"/>
      <c r="Z40" s="386"/>
      <c r="AA40" s="386"/>
      <c r="AB40" s="386"/>
      <c r="AC40" s="386"/>
      <c r="AD40" s="386"/>
      <c r="AE40" s="386"/>
      <c r="AF40" s="386"/>
      <c r="AG40" s="386"/>
      <c r="AH40" s="386"/>
      <c r="AI40" s="394"/>
      <c r="AJ40" s="386"/>
      <c r="AK40" s="386"/>
      <c r="AL40" s="386"/>
      <c r="AM40" s="386"/>
      <c r="AN40" s="386"/>
      <c r="AO40" s="386"/>
      <c r="AP40" s="386"/>
      <c r="AQ40" s="386"/>
      <c r="AR40" s="386"/>
      <c r="AS40" s="386"/>
      <c r="AT40" s="386"/>
      <c r="AU40" s="386"/>
      <c r="AV40" s="393"/>
      <c r="AW40" s="386"/>
      <c r="AX40" s="386"/>
      <c r="AY40" s="386"/>
      <c r="AZ40" s="386"/>
      <c r="BA40" s="386"/>
      <c r="BB40" s="386"/>
      <c r="BC40" s="386"/>
      <c r="BD40" s="386"/>
      <c r="BE40" s="386"/>
      <c r="BF40" s="386"/>
      <c r="BG40" s="394"/>
      <c r="BH40" s="393"/>
      <c r="BI40" s="386"/>
      <c r="BJ40" s="386"/>
      <c r="BK40" s="386"/>
      <c r="BL40" s="386"/>
      <c r="BM40" s="386"/>
      <c r="BN40" s="386"/>
      <c r="BO40" s="386"/>
      <c r="BP40" s="386"/>
      <c r="BQ40" s="386"/>
      <c r="BR40" s="386"/>
      <c r="BS40" s="394"/>
      <c r="BT40" s="386"/>
      <c r="BU40" s="386"/>
      <c r="BV40" s="386"/>
      <c r="BW40" s="386"/>
      <c r="BX40" s="386"/>
      <c r="BY40" s="386"/>
      <c r="BZ40" s="386"/>
      <c r="CA40" s="386"/>
      <c r="CB40" s="386"/>
      <c r="CC40" s="386"/>
      <c r="CD40" s="386"/>
      <c r="CE40" s="387"/>
    </row>
    <row r="41" spans="1:83" ht="16.5" x14ac:dyDescent="0.45">
      <c r="A41" s="355"/>
      <c r="B41" s="355"/>
      <c r="C41" s="355"/>
      <c r="D41" s="461" t="s">
        <v>295</v>
      </c>
      <c r="E41" s="3"/>
      <c r="F41" s="350" t="s">
        <v>195</v>
      </c>
      <c r="G41" s="352" t="s">
        <v>201</v>
      </c>
      <c r="H41" s="352" t="s">
        <v>46</v>
      </c>
      <c r="I41" s="350" t="s">
        <v>202</v>
      </c>
      <c r="J41" s="80" t="s">
        <v>22</v>
      </c>
      <c r="K41" s="202">
        <f t="shared" si="0"/>
        <v>1.1666666666666667</v>
      </c>
      <c r="L41" s="66">
        <v>0</v>
      </c>
      <c r="M41" s="67">
        <v>2</v>
      </c>
      <c r="N41" s="67">
        <v>1</v>
      </c>
      <c r="O41" s="67">
        <v>2</v>
      </c>
      <c r="P41" s="67">
        <v>0</v>
      </c>
      <c r="Q41" s="67">
        <v>1</v>
      </c>
      <c r="R41" s="67">
        <v>1</v>
      </c>
      <c r="S41" s="67">
        <v>0</v>
      </c>
      <c r="T41" s="67">
        <v>1</v>
      </c>
      <c r="U41" s="67">
        <v>1</v>
      </c>
      <c r="V41" s="67">
        <v>2</v>
      </c>
      <c r="W41" s="67">
        <v>1</v>
      </c>
      <c r="X41" s="119">
        <v>0</v>
      </c>
      <c r="Y41" s="70">
        <v>1</v>
      </c>
      <c r="Z41" s="70">
        <v>0</v>
      </c>
      <c r="AA41" s="70">
        <v>1</v>
      </c>
      <c r="AB41" s="70">
        <v>0</v>
      </c>
      <c r="AC41" s="70">
        <v>1</v>
      </c>
      <c r="AD41" s="70">
        <v>1</v>
      </c>
      <c r="AE41" s="70">
        <v>0</v>
      </c>
      <c r="AF41" s="70">
        <v>2</v>
      </c>
      <c r="AG41" s="70">
        <v>2</v>
      </c>
      <c r="AH41" s="70">
        <v>2</v>
      </c>
      <c r="AI41" s="120">
        <v>4</v>
      </c>
      <c r="AJ41" s="70">
        <v>2</v>
      </c>
      <c r="AK41" s="70">
        <v>0</v>
      </c>
      <c r="AL41" s="70">
        <v>3</v>
      </c>
      <c r="AM41" s="70">
        <v>1</v>
      </c>
      <c r="AN41" s="70">
        <v>1</v>
      </c>
      <c r="AO41" s="70">
        <v>2</v>
      </c>
      <c r="AP41" s="70">
        <v>0</v>
      </c>
      <c r="AQ41" s="70">
        <v>1</v>
      </c>
      <c r="AR41" s="70">
        <v>0</v>
      </c>
      <c r="AS41" s="70">
        <v>1</v>
      </c>
      <c r="AT41" s="70">
        <v>1</v>
      </c>
      <c r="AU41" s="70">
        <v>0</v>
      </c>
      <c r="AV41" s="119">
        <v>1</v>
      </c>
      <c r="AW41" s="70">
        <v>2</v>
      </c>
      <c r="AX41" s="70">
        <v>1</v>
      </c>
      <c r="AY41" s="70">
        <v>0</v>
      </c>
      <c r="AZ41" s="70">
        <v>0</v>
      </c>
      <c r="BA41" s="70">
        <v>0</v>
      </c>
      <c r="BB41" s="70">
        <v>2</v>
      </c>
      <c r="BC41" s="70">
        <v>0</v>
      </c>
      <c r="BD41" s="70">
        <v>1</v>
      </c>
      <c r="BE41" s="70">
        <v>1</v>
      </c>
      <c r="BF41" s="70">
        <v>0</v>
      </c>
      <c r="BG41" s="120">
        <v>0</v>
      </c>
      <c r="BH41" s="119">
        <v>0</v>
      </c>
      <c r="BI41" s="70">
        <v>3</v>
      </c>
      <c r="BJ41" s="70">
        <v>2</v>
      </c>
      <c r="BK41" s="70">
        <v>2</v>
      </c>
      <c r="BL41" s="70">
        <v>5</v>
      </c>
      <c r="BM41" s="70">
        <v>2</v>
      </c>
      <c r="BN41" s="70">
        <v>2</v>
      </c>
      <c r="BO41" s="70">
        <v>0</v>
      </c>
      <c r="BP41" s="70">
        <v>0</v>
      </c>
      <c r="BQ41" s="70">
        <v>1</v>
      </c>
      <c r="BR41" s="70">
        <v>3</v>
      </c>
      <c r="BS41" s="120">
        <v>1</v>
      </c>
      <c r="BT41" s="70">
        <v>3</v>
      </c>
      <c r="BU41" s="70">
        <v>2</v>
      </c>
      <c r="BV41" s="70">
        <v>2</v>
      </c>
      <c r="BW41" s="70">
        <v>0</v>
      </c>
      <c r="BX41" s="70">
        <v>0</v>
      </c>
      <c r="BY41" s="70">
        <v>1</v>
      </c>
      <c r="BZ41" s="70">
        <v>1</v>
      </c>
      <c r="CA41" s="70">
        <v>0</v>
      </c>
      <c r="CB41" s="70">
        <v>2</v>
      </c>
      <c r="CC41" s="70">
        <v>4</v>
      </c>
      <c r="CD41" s="70">
        <v>0</v>
      </c>
      <c r="CE41" s="71">
        <v>2</v>
      </c>
    </row>
    <row r="42" spans="1:83" ht="17" thickBot="1" x14ac:dyDescent="0.5">
      <c r="A42" s="355"/>
      <c r="B42" s="355"/>
      <c r="C42" s="355"/>
      <c r="D42" s="463"/>
      <c r="E42" s="3"/>
      <c r="F42" s="351"/>
      <c r="G42" s="353"/>
      <c r="H42" s="353"/>
      <c r="I42" s="354"/>
      <c r="J42" s="51" t="s">
        <v>165</v>
      </c>
      <c r="K42" s="203"/>
      <c r="L42" s="354"/>
      <c r="M42" s="363"/>
      <c r="N42" s="363"/>
      <c r="O42" s="363"/>
      <c r="P42" s="363"/>
      <c r="Q42" s="363"/>
      <c r="R42" s="363"/>
      <c r="S42" s="363"/>
      <c r="T42" s="363"/>
      <c r="U42" s="363"/>
      <c r="V42" s="363"/>
      <c r="W42" s="363"/>
      <c r="X42" s="393"/>
      <c r="Y42" s="386"/>
      <c r="Z42" s="386"/>
      <c r="AA42" s="386"/>
      <c r="AB42" s="386"/>
      <c r="AC42" s="386"/>
      <c r="AD42" s="386"/>
      <c r="AE42" s="386"/>
      <c r="AF42" s="386"/>
      <c r="AG42" s="386"/>
      <c r="AH42" s="386"/>
      <c r="AI42" s="394"/>
      <c r="AJ42" s="386"/>
      <c r="AK42" s="386"/>
      <c r="AL42" s="386"/>
      <c r="AM42" s="386"/>
      <c r="AN42" s="386"/>
      <c r="AO42" s="386"/>
      <c r="AP42" s="386"/>
      <c r="AQ42" s="386"/>
      <c r="AR42" s="386"/>
      <c r="AS42" s="386"/>
      <c r="AT42" s="386"/>
      <c r="AU42" s="386"/>
      <c r="AV42" s="393"/>
      <c r="AW42" s="386"/>
      <c r="AX42" s="386"/>
      <c r="AY42" s="386"/>
      <c r="AZ42" s="386"/>
      <c r="BA42" s="386"/>
      <c r="BB42" s="386"/>
      <c r="BC42" s="386"/>
      <c r="BD42" s="386"/>
      <c r="BE42" s="386"/>
      <c r="BF42" s="386"/>
      <c r="BG42" s="394"/>
      <c r="BH42" s="393"/>
      <c r="BI42" s="386"/>
      <c r="BJ42" s="386"/>
      <c r="BK42" s="386"/>
      <c r="BL42" s="386"/>
      <c r="BM42" s="386"/>
      <c r="BN42" s="386"/>
      <c r="BO42" s="386"/>
      <c r="BP42" s="386"/>
      <c r="BQ42" s="386"/>
      <c r="BR42" s="386"/>
      <c r="BS42" s="394"/>
      <c r="BT42" s="386"/>
      <c r="BU42" s="386"/>
      <c r="BV42" s="386"/>
      <c r="BW42" s="386"/>
      <c r="BX42" s="386"/>
      <c r="BY42" s="386"/>
      <c r="BZ42" s="386"/>
      <c r="CA42" s="386"/>
      <c r="CB42" s="386"/>
      <c r="CC42" s="386"/>
      <c r="CD42" s="386"/>
      <c r="CE42" s="387"/>
    </row>
    <row r="43" spans="1:83" ht="17" thickTop="1" x14ac:dyDescent="0.45">
      <c r="A43" s="355"/>
      <c r="B43" s="355"/>
      <c r="C43" s="355"/>
      <c r="D43" s="461" t="s">
        <v>297</v>
      </c>
      <c r="E43" s="52"/>
      <c r="F43" s="350" t="s">
        <v>195</v>
      </c>
      <c r="G43" s="352" t="s">
        <v>183</v>
      </c>
      <c r="H43" s="352" t="s">
        <v>46</v>
      </c>
      <c r="I43" s="350" t="s">
        <v>184</v>
      </c>
      <c r="J43" s="78" t="s">
        <v>22</v>
      </c>
      <c r="K43" s="202">
        <f t="shared" si="0"/>
        <v>0.54166666666666663</v>
      </c>
      <c r="L43" s="66">
        <v>0</v>
      </c>
      <c r="M43" s="67">
        <v>0</v>
      </c>
      <c r="N43" s="67">
        <v>1</v>
      </c>
      <c r="O43" s="67">
        <v>0</v>
      </c>
      <c r="P43" s="67">
        <v>0</v>
      </c>
      <c r="Q43" s="67">
        <v>0</v>
      </c>
      <c r="R43" s="67">
        <v>1</v>
      </c>
      <c r="S43" s="67">
        <v>1</v>
      </c>
      <c r="T43" s="67">
        <v>0</v>
      </c>
      <c r="U43" s="67">
        <v>1</v>
      </c>
      <c r="V43" s="67">
        <v>0</v>
      </c>
      <c r="W43" s="67">
        <v>1</v>
      </c>
      <c r="X43" s="119">
        <v>1</v>
      </c>
      <c r="Y43" s="70">
        <v>0</v>
      </c>
      <c r="Z43" s="70">
        <v>0</v>
      </c>
      <c r="AA43" s="70">
        <v>0</v>
      </c>
      <c r="AB43" s="70">
        <v>1</v>
      </c>
      <c r="AC43" s="70">
        <v>0</v>
      </c>
      <c r="AD43" s="70">
        <v>0</v>
      </c>
      <c r="AE43" s="70">
        <v>0</v>
      </c>
      <c r="AF43" s="70">
        <v>1</v>
      </c>
      <c r="AG43" s="70">
        <v>0</v>
      </c>
      <c r="AH43" s="70">
        <v>0</v>
      </c>
      <c r="AI43" s="120">
        <v>1</v>
      </c>
      <c r="AJ43" s="70">
        <v>0</v>
      </c>
      <c r="AK43" s="70">
        <v>1</v>
      </c>
      <c r="AL43" s="70">
        <v>0</v>
      </c>
      <c r="AM43" s="70">
        <v>0</v>
      </c>
      <c r="AN43" s="70">
        <v>0</v>
      </c>
      <c r="AO43" s="70">
        <v>0</v>
      </c>
      <c r="AP43" s="70">
        <v>0</v>
      </c>
      <c r="AQ43" s="70">
        <v>1</v>
      </c>
      <c r="AR43" s="70">
        <v>0</v>
      </c>
      <c r="AS43" s="70">
        <v>0</v>
      </c>
      <c r="AT43" s="70">
        <v>0</v>
      </c>
      <c r="AU43" s="70">
        <v>1</v>
      </c>
      <c r="AV43" s="119">
        <v>2</v>
      </c>
      <c r="AW43" s="70">
        <v>0</v>
      </c>
      <c r="AX43" s="70">
        <v>1</v>
      </c>
      <c r="AY43" s="70">
        <v>1</v>
      </c>
      <c r="AZ43" s="70">
        <v>1</v>
      </c>
      <c r="BA43" s="70">
        <v>1</v>
      </c>
      <c r="BB43" s="70">
        <v>1</v>
      </c>
      <c r="BC43" s="70">
        <v>3</v>
      </c>
      <c r="BD43" s="70">
        <v>2</v>
      </c>
      <c r="BE43" s="70">
        <v>1</v>
      </c>
      <c r="BF43" s="70">
        <v>0</v>
      </c>
      <c r="BG43" s="120">
        <v>0</v>
      </c>
      <c r="BH43" s="119">
        <v>1</v>
      </c>
      <c r="BI43" s="70">
        <v>0</v>
      </c>
      <c r="BJ43" s="70">
        <v>0</v>
      </c>
      <c r="BK43" s="70">
        <v>0</v>
      </c>
      <c r="BL43" s="70">
        <v>0</v>
      </c>
      <c r="BM43" s="70">
        <v>0</v>
      </c>
      <c r="BN43" s="70">
        <v>1</v>
      </c>
      <c r="BO43" s="70">
        <v>1</v>
      </c>
      <c r="BP43" s="70">
        <v>1</v>
      </c>
      <c r="BQ43" s="70">
        <v>1</v>
      </c>
      <c r="BR43" s="70">
        <v>0</v>
      </c>
      <c r="BS43" s="120">
        <v>2</v>
      </c>
      <c r="BT43" s="70">
        <v>1</v>
      </c>
      <c r="BU43" s="70">
        <v>1</v>
      </c>
      <c r="BV43" s="70">
        <v>0</v>
      </c>
      <c r="BW43" s="70">
        <v>2</v>
      </c>
      <c r="BX43" s="70">
        <v>1</v>
      </c>
      <c r="BY43" s="70">
        <v>0</v>
      </c>
      <c r="BZ43" s="70">
        <v>0</v>
      </c>
      <c r="CA43" s="70">
        <v>0</v>
      </c>
      <c r="CB43" s="70">
        <v>0</v>
      </c>
      <c r="CC43" s="70">
        <v>2</v>
      </c>
      <c r="CD43" s="70">
        <v>0</v>
      </c>
      <c r="CE43" s="71">
        <v>0</v>
      </c>
    </row>
    <row r="44" spans="1:83" ht="17" thickBot="1" x14ac:dyDescent="0.5">
      <c r="A44" s="355"/>
      <c r="B44" s="355"/>
      <c r="C44" s="353"/>
      <c r="D44" s="463"/>
      <c r="E44" s="3"/>
      <c r="F44" s="351"/>
      <c r="G44" s="353"/>
      <c r="H44" s="353"/>
      <c r="I44" s="354"/>
      <c r="J44" s="51" t="s">
        <v>165</v>
      </c>
      <c r="K44" s="203"/>
      <c r="L44" s="356">
        <v>5</v>
      </c>
      <c r="M44" s="357"/>
      <c r="N44" s="357"/>
      <c r="O44" s="357"/>
      <c r="P44" s="357"/>
      <c r="Q44" s="357"/>
      <c r="R44" s="357"/>
      <c r="S44" s="357"/>
      <c r="T44" s="357"/>
      <c r="U44" s="357"/>
      <c r="V44" s="357"/>
      <c r="W44" s="358"/>
      <c r="X44" s="448">
        <v>4</v>
      </c>
      <c r="Y44" s="376"/>
      <c r="Z44" s="376"/>
      <c r="AA44" s="376"/>
      <c r="AB44" s="376"/>
      <c r="AC44" s="376"/>
      <c r="AD44" s="376"/>
      <c r="AE44" s="376"/>
      <c r="AF44" s="376"/>
      <c r="AG44" s="376"/>
      <c r="AH44" s="376"/>
      <c r="AI44" s="445"/>
      <c r="AJ44" s="448">
        <v>3</v>
      </c>
      <c r="AK44" s="376"/>
      <c r="AL44" s="376"/>
      <c r="AM44" s="376"/>
      <c r="AN44" s="376"/>
      <c r="AO44" s="376"/>
      <c r="AP44" s="376"/>
      <c r="AQ44" s="376"/>
      <c r="AR44" s="376"/>
      <c r="AS44" s="376"/>
      <c r="AT44" s="376"/>
      <c r="AU44" s="445"/>
      <c r="AV44" s="448">
        <v>13</v>
      </c>
      <c r="AW44" s="376"/>
      <c r="AX44" s="376"/>
      <c r="AY44" s="376"/>
      <c r="AZ44" s="376"/>
      <c r="BA44" s="376"/>
      <c r="BB44" s="376"/>
      <c r="BC44" s="376"/>
      <c r="BD44" s="376"/>
      <c r="BE44" s="376"/>
      <c r="BF44" s="376"/>
      <c r="BG44" s="445"/>
      <c r="BH44" s="448">
        <v>7</v>
      </c>
      <c r="BI44" s="376"/>
      <c r="BJ44" s="376"/>
      <c r="BK44" s="376"/>
      <c r="BL44" s="376"/>
      <c r="BM44" s="376"/>
      <c r="BN44" s="376"/>
      <c r="BO44" s="376"/>
      <c r="BP44" s="376"/>
      <c r="BQ44" s="376"/>
      <c r="BR44" s="376"/>
      <c r="BS44" s="445"/>
      <c r="BT44" s="376">
        <v>7</v>
      </c>
      <c r="BU44" s="376"/>
      <c r="BV44" s="376"/>
      <c r="BW44" s="376"/>
      <c r="BX44" s="376"/>
      <c r="BY44" s="376"/>
      <c r="BZ44" s="376"/>
      <c r="CA44" s="376"/>
      <c r="CB44" s="376"/>
      <c r="CC44" s="376"/>
      <c r="CD44" s="376"/>
      <c r="CE44" s="377"/>
    </row>
    <row r="45" spans="1:83" ht="16.5" x14ac:dyDescent="0.45">
      <c r="A45" s="355"/>
      <c r="B45" s="355"/>
      <c r="C45" s="352" t="s">
        <v>276</v>
      </c>
      <c r="D45" s="461" t="s">
        <v>196</v>
      </c>
      <c r="E45" s="52"/>
      <c r="F45" s="350" t="s">
        <v>195</v>
      </c>
      <c r="G45" s="352" t="s">
        <v>193</v>
      </c>
      <c r="H45" s="352" t="s">
        <v>46</v>
      </c>
      <c r="I45" s="350" t="s">
        <v>194</v>
      </c>
      <c r="J45" s="80" t="s">
        <v>22</v>
      </c>
      <c r="K45" s="202">
        <f t="shared" si="0"/>
        <v>0.25</v>
      </c>
      <c r="L45" s="66">
        <v>0</v>
      </c>
      <c r="M45" s="67">
        <v>0</v>
      </c>
      <c r="N45" s="67">
        <v>1</v>
      </c>
      <c r="O45" s="67">
        <v>0</v>
      </c>
      <c r="P45" s="67">
        <v>0</v>
      </c>
      <c r="Q45" s="67">
        <v>0</v>
      </c>
      <c r="R45" s="67">
        <v>2</v>
      </c>
      <c r="S45" s="67">
        <v>0</v>
      </c>
      <c r="T45" s="67">
        <v>1</v>
      </c>
      <c r="U45" s="67">
        <v>0</v>
      </c>
      <c r="V45" s="67">
        <v>0</v>
      </c>
      <c r="W45" s="67">
        <v>0</v>
      </c>
      <c r="X45" s="119">
        <v>0</v>
      </c>
      <c r="Y45" s="70">
        <v>0</v>
      </c>
      <c r="Z45" s="70">
        <v>0</v>
      </c>
      <c r="AA45" s="70">
        <v>1</v>
      </c>
      <c r="AB45" s="70">
        <v>0</v>
      </c>
      <c r="AC45" s="70">
        <v>0</v>
      </c>
      <c r="AD45" s="70">
        <v>1</v>
      </c>
      <c r="AE45" s="70">
        <v>0</v>
      </c>
      <c r="AF45" s="70">
        <v>0</v>
      </c>
      <c r="AG45" s="70">
        <v>0</v>
      </c>
      <c r="AH45" s="70">
        <v>2</v>
      </c>
      <c r="AI45" s="120">
        <v>1</v>
      </c>
      <c r="AJ45" s="70">
        <v>0</v>
      </c>
      <c r="AK45" s="70">
        <v>0</v>
      </c>
      <c r="AL45" s="70">
        <v>0</v>
      </c>
      <c r="AM45" s="70">
        <v>1</v>
      </c>
      <c r="AN45" s="70">
        <v>1</v>
      </c>
      <c r="AO45" s="70">
        <v>0</v>
      </c>
      <c r="AP45" s="70">
        <v>0</v>
      </c>
      <c r="AQ45" s="70">
        <v>0</v>
      </c>
      <c r="AR45" s="70">
        <v>0</v>
      </c>
      <c r="AS45" s="70">
        <v>0</v>
      </c>
      <c r="AT45" s="70">
        <v>0</v>
      </c>
      <c r="AU45" s="70">
        <v>0</v>
      </c>
      <c r="AV45" s="119">
        <v>0</v>
      </c>
      <c r="AW45" s="70">
        <v>0</v>
      </c>
      <c r="AX45" s="70">
        <v>0</v>
      </c>
      <c r="AY45" s="70">
        <v>0</v>
      </c>
      <c r="AZ45" s="70">
        <v>0</v>
      </c>
      <c r="BA45" s="70">
        <v>0</v>
      </c>
      <c r="BB45" s="70">
        <v>0</v>
      </c>
      <c r="BC45" s="70">
        <v>1</v>
      </c>
      <c r="BD45" s="70">
        <v>0</v>
      </c>
      <c r="BE45" s="70">
        <v>0</v>
      </c>
      <c r="BF45" s="70">
        <v>0</v>
      </c>
      <c r="BG45" s="120">
        <v>0</v>
      </c>
      <c r="BH45" s="119">
        <v>0</v>
      </c>
      <c r="BI45" s="70">
        <v>1</v>
      </c>
      <c r="BJ45" s="70">
        <v>0</v>
      </c>
      <c r="BK45" s="70">
        <v>2</v>
      </c>
      <c r="BL45" s="70">
        <v>0</v>
      </c>
      <c r="BM45" s="70">
        <v>0</v>
      </c>
      <c r="BN45" s="70">
        <v>0</v>
      </c>
      <c r="BO45" s="70">
        <v>0</v>
      </c>
      <c r="BP45" s="70">
        <v>0</v>
      </c>
      <c r="BQ45" s="70">
        <v>1</v>
      </c>
      <c r="BR45" s="70">
        <v>0</v>
      </c>
      <c r="BS45" s="120">
        <v>0</v>
      </c>
      <c r="BT45" s="70">
        <v>1</v>
      </c>
      <c r="BU45" s="70">
        <v>0</v>
      </c>
      <c r="BV45" s="70">
        <v>0</v>
      </c>
      <c r="BW45" s="70">
        <v>0</v>
      </c>
      <c r="BX45" s="70">
        <v>0</v>
      </c>
      <c r="BY45" s="70">
        <v>0</v>
      </c>
      <c r="BZ45" s="70">
        <v>0</v>
      </c>
      <c r="CA45" s="70">
        <v>0</v>
      </c>
      <c r="CB45" s="70">
        <v>0</v>
      </c>
      <c r="CC45" s="70">
        <v>0</v>
      </c>
      <c r="CD45" s="70">
        <v>0</v>
      </c>
      <c r="CE45" s="71">
        <v>1</v>
      </c>
    </row>
    <row r="46" spans="1:83" ht="17" thickBot="1" x14ac:dyDescent="0.5">
      <c r="A46" s="355"/>
      <c r="B46" s="355"/>
      <c r="C46" s="355"/>
      <c r="D46" s="463"/>
      <c r="E46" s="3"/>
      <c r="F46" s="351"/>
      <c r="G46" s="353"/>
      <c r="H46" s="353"/>
      <c r="I46" s="354"/>
      <c r="J46" s="51" t="s">
        <v>165</v>
      </c>
      <c r="K46" s="203"/>
      <c r="L46" s="354">
        <v>1</v>
      </c>
      <c r="M46" s="363"/>
      <c r="N46" s="363"/>
      <c r="O46" s="363"/>
      <c r="P46" s="363"/>
      <c r="Q46" s="363"/>
      <c r="R46" s="363">
        <v>3</v>
      </c>
      <c r="S46" s="363"/>
      <c r="T46" s="363"/>
      <c r="U46" s="363"/>
      <c r="V46" s="363"/>
      <c r="W46" s="363"/>
      <c r="X46" s="393">
        <v>1</v>
      </c>
      <c r="Y46" s="386"/>
      <c r="Z46" s="386"/>
      <c r="AA46" s="386"/>
      <c r="AB46" s="386"/>
      <c r="AC46" s="386"/>
      <c r="AD46" s="386">
        <v>4</v>
      </c>
      <c r="AE46" s="386"/>
      <c r="AF46" s="386"/>
      <c r="AG46" s="386"/>
      <c r="AH46" s="386"/>
      <c r="AI46" s="394"/>
      <c r="AJ46" s="386">
        <v>2</v>
      </c>
      <c r="AK46" s="386"/>
      <c r="AL46" s="386"/>
      <c r="AM46" s="386"/>
      <c r="AN46" s="386"/>
      <c r="AO46" s="386"/>
      <c r="AP46" s="386">
        <v>0</v>
      </c>
      <c r="AQ46" s="386"/>
      <c r="AR46" s="386"/>
      <c r="AS46" s="386"/>
      <c r="AT46" s="386"/>
      <c r="AU46" s="386"/>
      <c r="AV46" s="393">
        <v>0</v>
      </c>
      <c r="AW46" s="386"/>
      <c r="AX46" s="386"/>
      <c r="AY46" s="386"/>
      <c r="AZ46" s="386"/>
      <c r="BA46" s="386"/>
      <c r="BB46" s="386">
        <v>1</v>
      </c>
      <c r="BC46" s="386"/>
      <c r="BD46" s="386"/>
      <c r="BE46" s="386"/>
      <c r="BF46" s="386"/>
      <c r="BG46" s="394"/>
      <c r="BH46" s="393">
        <v>3</v>
      </c>
      <c r="BI46" s="386"/>
      <c r="BJ46" s="386"/>
      <c r="BK46" s="386"/>
      <c r="BL46" s="386"/>
      <c r="BM46" s="386"/>
      <c r="BN46" s="386">
        <v>1</v>
      </c>
      <c r="BO46" s="386"/>
      <c r="BP46" s="386"/>
      <c r="BQ46" s="386"/>
      <c r="BR46" s="386"/>
      <c r="BS46" s="394"/>
      <c r="BT46" s="386">
        <v>1</v>
      </c>
      <c r="BU46" s="386"/>
      <c r="BV46" s="386"/>
      <c r="BW46" s="386"/>
      <c r="BX46" s="386"/>
      <c r="BY46" s="386"/>
      <c r="BZ46" s="386">
        <v>1</v>
      </c>
      <c r="CA46" s="386"/>
      <c r="CB46" s="386"/>
      <c r="CC46" s="386"/>
      <c r="CD46" s="386"/>
      <c r="CE46" s="387"/>
    </row>
    <row r="47" spans="1:83" ht="16.5" x14ac:dyDescent="0.45">
      <c r="A47" s="355"/>
      <c r="B47" s="355"/>
      <c r="C47" s="355"/>
      <c r="D47" s="461" t="s">
        <v>197</v>
      </c>
      <c r="E47" s="52"/>
      <c r="F47" s="350" t="s">
        <v>195</v>
      </c>
      <c r="G47" s="352" t="s">
        <v>198</v>
      </c>
      <c r="H47" s="352" t="s">
        <v>46</v>
      </c>
      <c r="I47" s="350" t="s">
        <v>199</v>
      </c>
      <c r="J47" s="80" t="s">
        <v>22</v>
      </c>
      <c r="K47" s="202">
        <f t="shared" si="0"/>
        <v>0.77777777777777779</v>
      </c>
      <c r="L47" s="64">
        <v>1</v>
      </c>
      <c r="M47" s="65">
        <v>1</v>
      </c>
      <c r="N47" s="65">
        <v>0</v>
      </c>
      <c r="O47" s="65">
        <v>2</v>
      </c>
      <c r="P47" s="65">
        <v>0</v>
      </c>
      <c r="Q47" s="65">
        <v>1</v>
      </c>
      <c r="R47" s="65">
        <v>2</v>
      </c>
      <c r="S47" s="65">
        <v>2</v>
      </c>
      <c r="T47" s="65">
        <v>1</v>
      </c>
      <c r="U47" s="65">
        <v>0</v>
      </c>
      <c r="V47" s="65">
        <v>1</v>
      </c>
      <c r="W47" s="65">
        <v>0</v>
      </c>
      <c r="X47" s="116">
        <v>0</v>
      </c>
      <c r="Y47" s="4">
        <v>1</v>
      </c>
      <c r="Z47" s="4">
        <v>0</v>
      </c>
      <c r="AA47" s="4">
        <v>2</v>
      </c>
      <c r="AB47" s="4">
        <v>1</v>
      </c>
      <c r="AC47" s="4">
        <v>0</v>
      </c>
      <c r="AD47" s="4">
        <v>1</v>
      </c>
      <c r="AE47" s="4">
        <v>0</v>
      </c>
      <c r="AF47" s="4">
        <v>0</v>
      </c>
      <c r="AG47" s="4">
        <v>2</v>
      </c>
      <c r="AH47" s="4">
        <v>0</v>
      </c>
      <c r="AI47" s="117">
        <v>3</v>
      </c>
      <c r="AJ47" s="4">
        <v>2</v>
      </c>
      <c r="AK47" s="4">
        <v>0</v>
      </c>
      <c r="AL47" s="4">
        <v>0</v>
      </c>
      <c r="AM47" s="4">
        <v>1</v>
      </c>
      <c r="AN47" s="4">
        <v>3</v>
      </c>
      <c r="AO47" s="4">
        <v>1</v>
      </c>
      <c r="AP47" s="4">
        <v>0</v>
      </c>
      <c r="AQ47" s="4">
        <v>1</v>
      </c>
      <c r="AR47" s="4">
        <v>1</v>
      </c>
      <c r="AS47" s="4">
        <v>0</v>
      </c>
      <c r="AT47" s="4">
        <v>2</v>
      </c>
      <c r="AU47" s="4">
        <v>1</v>
      </c>
      <c r="AV47" s="116">
        <v>0</v>
      </c>
      <c r="AW47" s="4">
        <v>1</v>
      </c>
      <c r="AX47" s="4">
        <v>1</v>
      </c>
      <c r="AY47" s="4">
        <v>1</v>
      </c>
      <c r="AZ47" s="4">
        <v>0</v>
      </c>
      <c r="BA47" s="4">
        <v>0</v>
      </c>
      <c r="BB47" s="4">
        <v>1</v>
      </c>
      <c r="BC47" s="4">
        <v>0</v>
      </c>
      <c r="BD47" s="4">
        <v>0</v>
      </c>
      <c r="BE47" s="4">
        <v>0</v>
      </c>
      <c r="BF47" s="4">
        <v>0</v>
      </c>
      <c r="BG47" s="117">
        <v>0</v>
      </c>
      <c r="BH47" s="116">
        <v>1</v>
      </c>
      <c r="BI47" s="4">
        <v>0</v>
      </c>
      <c r="BJ47" s="4">
        <v>0</v>
      </c>
      <c r="BK47" s="4">
        <v>0</v>
      </c>
      <c r="BL47" s="4">
        <v>0</v>
      </c>
      <c r="BM47" s="4">
        <v>0</v>
      </c>
      <c r="BN47" s="4">
        <v>0</v>
      </c>
      <c r="BO47" s="4">
        <v>3</v>
      </c>
      <c r="BP47" s="4">
        <v>0</v>
      </c>
      <c r="BQ47" s="4">
        <v>0</v>
      </c>
      <c r="BR47" s="4">
        <v>1</v>
      </c>
      <c r="BS47" s="117">
        <v>0</v>
      </c>
      <c r="BT47" s="4">
        <v>1</v>
      </c>
      <c r="BU47" s="4">
        <v>0</v>
      </c>
      <c r="BV47" s="4">
        <v>2</v>
      </c>
      <c r="BW47" s="4">
        <v>2</v>
      </c>
      <c r="BX47" s="4">
        <v>2</v>
      </c>
      <c r="BY47" s="4">
        <v>0</v>
      </c>
      <c r="BZ47" s="4">
        <v>1</v>
      </c>
      <c r="CA47" s="4">
        <v>0</v>
      </c>
      <c r="CB47" s="4">
        <v>2</v>
      </c>
      <c r="CC47" s="4">
        <v>0</v>
      </c>
      <c r="CD47" s="4">
        <v>4</v>
      </c>
      <c r="CE47" s="63">
        <v>0</v>
      </c>
    </row>
    <row r="48" spans="1:83" ht="17" thickBot="1" x14ac:dyDescent="0.5">
      <c r="A48" s="355"/>
      <c r="B48" s="355"/>
      <c r="C48" s="355"/>
      <c r="D48" s="463"/>
      <c r="E48" s="3"/>
      <c r="F48" s="351"/>
      <c r="G48" s="353"/>
      <c r="H48" s="353"/>
      <c r="I48" s="354"/>
      <c r="J48" s="51" t="s">
        <v>165</v>
      </c>
      <c r="K48" s="203"/>
      <c r="L48" s="88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121"/>
      <c r="Y48" s="90"/>
      <c r="Z48" s="90"/>
      <c r="AA48" s="90"/>
      <c r="AB48" s="90"/>
      <c r="AC48" s="90"/>
      <c r="AD48" s="90"/>
      <c r="AE48" s="90"/>
      <c r="AF48" s="90"/>
      <c r="AG48" s="90"/>
      <c r="AH48" s="90"/>
      <c r="AI48" s="122"/>
      <c r="AJ48" s="90"/>
      <c r="AK48" s="90"/>
      <c r="AL48" s="90"/>
      <c r="AM48" s="90"/>
      <c r="AN48" s="90"/>
      <c r="AO48" s="90"/>
      <c r="AP48" s="90"/>
      <c r="AQ48" s="90"/>
      <c r="AR48" s="90"/>
      <c r="AS48" s="90"/>
      <c r="AT48" s="90"/>
      <c r="AU48" s="90"/>
      <c r="AV48" s="121"/>
      <c r="AW48" s="90"/>
      <c r="AX48" s="90"/>
      <c r="AY48" s="90"/>
      <c r="AZ48" s="90"/>
      <c r="BA48" s="90"/>
      <c r="BB48" s="90"/>
      <c r="BC48" s="90"/>
      <c r="BD48" s="90"/>
      <c r="BE48" s="90"/>
      <c r="BF48" s="90"/>
      <c r="BG48" s="122"/>
      <c r="BH48" s="121"/>
      <c r="BI48" s="90"/>
      <c r="BJ48" s="90"/>
      <c r="BK48" s="90"/>
      <c r="BL48" s="90"/>
      <c r="BM48" s="90"/>
      <c r="BN48" s="90"/>
      <c r="BO48" s="90"/>
      <c r="BP48" s="90"/>
      <c r="BQ48" s="90"/>
      <c r="BR48" s="90"/>
      <c r="BS48" s="122"/>
      <c r="BT48" s="90"/>
      <c r="BU48" s="90"/>
      <c r="BV48" s="90"/>
      <c r="BW48" s="90"/>
      <c r="BX48" s="90"/>
      <c r="BY48" s="90"/>
      <c r="BZ48" s="90"/>
      <c r="CA48" s="90"/>
      <c r="CB48" s="90"/>
      <c r="CC48" s="90"/>
      <c r="CD48" s="90"/>
      <c r="CE48" s="91"/>
    </row>
    <row r="49" spans="1:84" ht="16.5" x14ac:dyDescent="0.45">
      <c r="A49" s="355"/>
      <c r="B49" s="355"/>
      <c r="C49" s="355"/>
      <c r="D49" s="461" t="s">
        <v>200</v>
      </c>
      <c r="E49" s="52"/>
      <c r="F49" s="350" t="s">
        <v>195</v>
      </c>
      <c r="G49" s="352" t="s">
        <v>201</v>
      </c>
      <c r="H49" s="352" t="s">
        <v>46</v>
      </c>
      <c r="I49" s="350" t="s">
        <v>202</v>
      </c>
      <c r="J49" s="80" t="s">
        <v>22</v>
      </c>
      <c r="K49" s="202">
        <f t="shared" si="0"/>
        <v>0.93055555555555558</v>
      </c>
      <c r="L49" s="64">
        <v>1</v>
      </c>
      <c r="M49" s="65">
        <v>1</v>
      </c>
      <c r="N49" s="65">
        <v>0</v>
      </c>
      <c r="O49" s="65">
        <v>2</v>
      </c>
      <c r="P49" s="65">
        <v>0</v>
      </c>
      <c r="Q49" s="65">
        <v>2</v>
      </c>
      <c r="R49" s="65">
        <v>0</v>
      </c>
      <c r="S49" s="65">
        <v>0</v>
      </c>
      <c r="T49" s="65">
        <v>1</v>
      </c>
      <c r="U49" s="65">
        <v>1</v>
      </c>
      <c r="V49" s="65">
        <v>0</v>
      </c>
      <c r="W49" s="65">
        <v>2</v>
      </c>
      <c r="X49" s="116">
        <v>0</v>
      </c>
      <c r="Y49" s="4">
        <v>0</v>
      </c>
      <c r="Z49" s="4">
        <v>1</v>
      </c>
      <c r="AA49" s="4">
        <v>0</v>
      </c>
      <c r="AB49" s="4">
        <v>0</v>
      </c>
      <c r="AC49" s="4">
        <v>1</v>
      </c>
      <c r="AD49" s="4">
        <v>0</v>
      </c>
      <c r="AE49" s="4">
        <v>2</v>
      </c>
      <c r="AF49" s="4">
        <v>0</v>
      </c>
      <c r="AG49" s="4">
        <v>1</v>
      </c>
      <c r="AH49" s="4">
        <v>0</v>
      </c>
      <c r="AI49" s="117">
        <v>2</v>
      </c>
      <c r="AJ49" s="4">
        <v>1</v>
      </c>
      <c r="AK49" s="4">
        <v>1</v>
      </c>
      <c r="AL49" s="4">
        <v>0</v>
      </c>
      <c r="AM49" s="4">
        <v>1</v>
      </c>
      <c r="AN49" s="4">
        <v>1</v>
      </c>
      <c r="AO49" s="4">
        <v>1</v>
      </c>
      <c r="AP49" s="4">
        <v>0</v>
      </c>
      <c r="AQ49" s="4">
        <v>0</v>
      </c>
      <c r="AR49" s="4">
        <v>0</v>
      </c>
      <c r="AS49" s="4">
        <v>0</v>
      </c>
      <c r="AT49" s="4">
        <v>1</v>
      </c>
      <c r="AU49" s="4">
        <v>0</v>
      </c>
      <c r="AV49" s="116">
        <v>1</v>
      </c>
      <c r="AW49" s="4">
        <v>1</v>
      </c>
      <c r="AX49" s="4">
        <v>2</v>
      </c>
      <c r="AY49" s="4">
        <v>4</v>
      </c>
      <c r="AZ49" s="4">
        <v>1</v>
      </c>
      <c r="BA49" s="4">
        <v>2</v>
      </c>
      <c r="BB49" s="4">
        <v>1</v>
      </c>
      <c r="BC49" s="4">
        <v>0</v>
      </c>
      <c r="BD49" s="4">
        <v>1</v>
      </c>
      <c r="BE49" s="4">
        <v>2</v>
      </c>
      <c r="BF49" s="4">
        <v>0</v>
      </c>
      <c r="BG49" s="117">
        <v>4</v>
      </c>
      <c r="BH49" s="116">
        <v>1</v>
      </c>
      <c r="BI49" s="4">
        <v>1</v>
      </c>
      <c r="BJ49" s="4">
        <v>1</v>
      </c>
      <c r="BK49" s="4">
        <v>2</v>
      </c>
      <c r="BL49" s="4">
        <v>2</v>
      </c>
      <c r="BM49" s="4">
        <v>0</v>
      </c>
      <c r="BN49" s="4">
        <v>2</v>
      </c>
      <c r="BO49" s="4">
        <v>1</v>
      </c>
      <c r="BP49" s="4">
        <v>0</v>
      </c>
      <c r="BQ49" s="4">
        <v>0</v>
      </c>
      <c r="BR49" s="4">
        <v>2</v>
      </c>
      <c r="BS49" s="117">
        <v>2</v>
      </c>
      <c r="BT49" s="4">
        <v>1</v>
      </c>
      <c r="BU49" s="4">
        <v>0</v>
      </c>
      <c r="BV49" s="4">
        <v>0</v>
      </c>
      <c r="BW49" s="4">
        <v>3</v>
      </c>
      <c r="BX49" s="4">
        <v>0</v>
      </c>
      <c r="BY49" s="4">
        <v>1</v>
      </c>
      <c r="BZ49" s="4">
        <v>3</v>
      </c>
      <c r="CA49" s="4">
        <v>0</v>
      </c>
      <c r="CB49" s="4">
        <v>1</v>
      </c>
      <c r="CC49" s="4">
        <v>2</v>
      </c>
      <c r="CD49" s="4">
        <v>0</v>
      </c>
      <c r="CE49" s="63">
        <v>0</v>
      </c>
    </row>
    <row r="50" spans="1:84" ht="17" thickBot="1" x14ac:dyDescent="0.5">
      <c r="A50" s="355"/>
      <c r="B50" s="355"/>
      <c r="C50" s="353"/>
      <c r="D50" s="463"/>
      <c r="E50" s="3"/>
      <c r="F50" s="351"/>
      <c r="G50" s="353"/>
      <c r="H50" s="353"/>
      <c r="I50" s="354"/>
      <c r="J50" s="51" t="s">
        <v>165</v>
      </c>
      <c r="K50" s="203"/>
      <c r="L50" s="64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116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117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116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117"/>
      <c r="BH50" s="116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117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63"/>
    </row>
    <row r="51" spans="1:84" ht="16.5" x14ac:dyDescent="0.45">
      <c r="A51" s="355"/>
      <c r="B51" s="355"/>
      <c r="C51" s="352" t="s">
        <v>275</v>
      </c>
      <c r="D51" s="461" t="s">
        <v>269</v>
      </c>
      <c r="E51" s="52"/>
      <c r="F51" s="350" t="s">
        <v>195</v>
      </c>
      <c r="G51" s="352" t="s">
        <v>193</v>
      </c>
      <c r="H51" s="352" t="s">
        <v>46</v>
      </c>
      <c r="I51" s="350" t="s">
        <v>194</v>
      </c>
      <c r="J51" s="80" t="s">
        <v>22</v>
      </c>
      <c r="K51" s="202">
        <f t="shared" si="0"/>
        <v>0.34722222222222221</v>
      </c>
      <c r="L51" s="47">
        <v>1</v>
      </c>
      <c r="M51" s="48">
        <v>0</v>
      </c>
      <c r="N51" s="48">
        <v>0</v>
      </c>
      <c r="O51" s="48">
        <v>2</v>
      </c>
      <c r="P51" s="48">
        <v>0</v>
      </c>
      <c r="Q51" s="48">
        <v>0</v>
      </c>
      <c r="R51" s="48">
        <v>1</v>
      </c>
      <c r="S51" s="48">
        <v>0</v>
      </c>
      <c r="T51" s="48">
        <v>0</v>
      </c>
      <c r="U51" s="48">
        <v>0</v>
      </c>
      <c r="V51" s="48">
        <v>2</v>
      </c>
      <c r="W51" s="48">
        <v>0</v>
      </c>
      <c r="X51" s="123">
        <v>1</v>
      </c>
      <c r="Y51" s="49">
        <v>0</v>
      </c>
      <c r="Z51" s="49">
        <v>0</v>
      </c>
      <c r="AA51" s="49">
        <v>0</v>
      </c>
      <c r="AB51" s="49">
        <v>0</v>
      </c>
      <c r="AC51" s="49">
        <v>0</v>
      </c>
      <c r="AD51" s="49">
        <v>0</v>
      </c>
      <c r="AE51" s="49">
        <v>0</v>
      </c>
      <c r="AF51" s="49">
        <v>0</v>
      </c>
      <c r="AG51" s="49">
        <v>0</v>
      </c>
      <c r="AH51" s="49">
        <v>1</v>
      </c>
      <c r="AI51" s="124">
        <v>1</v>
      </c>
      <c r="AJ51" s="49">
        <v>0</v>
      </c>
      <c r="AK51" s="49">
        <v>0</v>
      </c>
      <c r="AL51" s="49">
        <v>2</v>
      </c>
      <c r="AM51" s="49">
        <v>0</v>
      </c>
      <c r="AN51" s="49">
        <v>0</v>
      </c>
      <c r="AO51" s="49">
        <v>0</v>
      </c>
      <c r="AP51" s="49">
        <v>1</v>
      </c>
      <c r="AQ51" s="49">
        <v>0</v>
      </c>
      <c r="AR51" s="49">
        <v>0</v>
      </c>
      <c r="AS51" s="49">
        <v>0</v>
      </c>
      <c r="AT51" s="49">
        <v>0</v>
      </c>
      <c r="AU51" s="49">
        <v>0</v>
      </c>
      <c r="AV51" s="123">
        <v>0</v>
      </c>
      <c r="AW51" s="49">
        <v>0</v>
      </c>
      <c r="AX51" s="49">
        <v>0</v>
      </c>
      <c r="AY51" s="49">
        <v>1</v>
      </c>
      <c r="AZ51" s="49">
        <v>0</v>
      </c>
      <c r="BA51" s="49">
        <v>1</v>
      </c>
      <c r="BB51" s="49">
        <v>0</v>
      </c>
      <c r="BC51" s="49">
        <v>1</v>
      </c>
      <c r="BD51" s="49">
        <v>0</v>
      </c>
      <c r="BE51" s="49">
        <v>0</v>
      </c>
      <c r="BF51" s="49">
        <v>1</v>
      </c>
      <c r="BG51" s="124">
        <v>0</v>
      </c>
      <c r="BH51" s="123">
        <v>0</v>
      </c>
      <c r="BI51" s="49">
        <v>0</v>
      </c>
      <c r="BJ51" s="49">
        <v>0</v>
      </c>
      <c r="BK51" s="49">
        <v>0</v>
      </c>
      <c r="BL51" s="49">
        <v>0</v>
      </c>
      <c r="BM51" s="49">
        <v>0</v>
      </c>
      <c r="BN51" s="49">
        <v>0</v>
      </c>
      <c r="BO51" s="49">
        <v>1</v>
      </c>
      <c r="BP51" s="49">
        <v>0</v>
      </c>
      <c r="BQ51" s="49">
        <v>0</v>
      </c>
      <c r="BR51" s="49">
        <v>1</v>
      </c>
      <c r="BS51" s="124">
        <v>1</v>
      </c>
      <c r="BT51" s="49">
        <v>0</v>
      </c>
      <c r="BU51" s="49">
        <v>0</v>
      </c>
      <c r="BV51" s="49">
        <v>0</v>
      </c>
      <c r="BW51" s="49">
        <v>1</v>
      </c>
      <c r="BX51" s="49">
        <v>0</v>
      </c>
      <c r="BY51" s="49">
        <v>0</v>
      </c>
      <c r="BZ51" s="49">
        <v>1</v>
      </c>
      <c r="CA51" s="49">
        <v>0</v>
      </c>
      <c r="CB51" s="49">
        <v>1</v>
      </c>
      <c r="CC51" s="49">
        <v>0</v>
      </c>
      <c r="CD51" s="49">
        <v>3</v>
      </c>
      <c r="CE51" s="92">
        <v>0</v>
      </c>
    </row>
    <row r="52" spans="1:84" ht="17" thickBot="1" x14ac:dyDescent="0.5">
      <c r="A52" s="355"/>
      <c r="B52" s="353"/>
      <c r="C52" s="353"/>
      <c r="D52" s="463"/>
      <c r="E52" s="3"/>
      <c r="F52" s="351"/>
      <c r="G52" s="353"/>
      <c r="H52" s="353"/>
      <c r="I52" s="354"/>
      <c r="J52" s="51" t="s">
        <v>312</v>
      </c>
      <c r="K52" s="203"/>
      <c r="L52" s="354">
        <v>6</v>
      </c>
      <c r="M52" s="363"/>
      <c r="N52" s="363"/>
      <c r="O52" s="363"/>
      <c r="P52" s="363"/>
      <c r="Q52" s="363"/>
      <c r="R52" s="363"/>
      <c r="S52" s="363"/>
      <c r="T52" s="363"/>
      <c r="U52" s="363"/>
      <c r="V52" s="363"/>
      <c r="W52" s="390"/>
      <c r="X52" s="393">
        <v>3</v>
      </c>
      <c r="Y52" s="386"/>
      <c r="Z52" s="386"/>
      <c r="AA52" s="386"/>
      <c r="AB52" s="386"/>
      <c r="AC52" s="386"/>
      <c r="AD52" s="386"/>
      <c r="AE52" s="386"/>
      <c r="AF52" s="386"/>
      <c r="AG52" s="386"/>
      <c r="AH52" s="386"/>
      <c r="AI52" s="394"/>
      <c r="AJ52" s="393">
        <v>3</v>
      </c>
      <c r="AK52" s="386"/>
      <c r="AL52" s="386"/>
      <c r="AM52" s="386"/>
      <c r="AN52" s="386"/>
      <c r="AO52" s="386"/>
      <c r="AP52" s="386"/>
      <c r="AQ52" s="386"/>
      <c r="AR52" s="386"/>
      <c r="AS52" s="386"/>
      <c r="AT52" s="386"/>
      <c r="AU52" s="394"/>
      <c r="AV52" s="393">
        <v>4</v>
      </c>
      <c r="AW52" s="386"/>
      <c r="AX52" s="386"/>
      <c r="AY52" s="386"/>
      <c r="AZ52" s="386"/>
      <c r="BA52" s="386"/>
      <c r="BB52" s="386"/>
      <c r="BC52" s="386"/>
      <c r="BD52" s="386"/>
      <c r="BE52" s="386"/>
      <c r="BF52" s="386"/>
      <c r="BG52" s="394"/>
      <c r="BH52" s="393">
        <v>3</v>
      </c>
      <c r="BI52" s="386"/>
      <c r="BJ52" s="386"/>
      <c r="BK52" s="386"/>
      <c r="BL52" s="386"/>
      <c r="BM52" s="386"/>
      <c r="BN52" s="386"/>
      <c r="BO52" s="386"/>
      <c r="BP52" s="386"/>
      <c r="BQ52" s="386"/>
      <c r="BR52" s="386"/>
      <c r="BS52" s="394"/>
      <c r="BT52" s="386">
        <v>6</v>
      </c>
      <c r="BU52" s="386"/>
      <c r="BV52" s="386"/>
      <c r="BW52" s="386"/>
      <c r="BX52" s="386"/>
      <c r="BY52" s="386"/>
      <c r="BZ52" s="386"/>
      <c r="CA52" s="386"/>
      <c r="CB52" s="386"/>
      <c r="CC52" s="386"/>
      <c r="CD52" s="386"/>
      <c r="CE52" s="387"/>
    </row>
    <row r="53" spans="1:84" s="233" customFormat="1" ht="16.5" x14ac:dyDescent="0.45">
      <c r="A53" s="355"/>
      <c r="B53" s="352" t="s">
        <v>369</v>
      </c>
      <c r="C53" s="352" t="s">
        <v>272</v>
      </c>
      <c r="D53" s="461" t="s">
        <v>203</v>
      </c>
      <c r="E53" s="3"/>
      <c r="F53" s="350" t="s">
        <v>195</v>
      </c>
      <c r="G53" s="352"/>
      <c r="H53" s="352"/>
      <c r="I53" s="350" t="s">
        <v>189</v>
      </c>
      <c r="J53" s="80" t="s">
        <v>22</v>
      </c>
      <c r="K53" s="202">
        <f t="shared" ref="K53" si="4">AVERAGE(L53:CE53)</f>
        <v>0.2361111111111111</v>
      </c>
      <c r="L53" s="64">
        <v>0</v>
      </c>
      <c r="M53" s="65">
        <v>0</v>
      </c>
      <c r="N53" s="65">
        <v>0</v>
      </c>
      <c r="O53" s="65">
        <v>1</v>
      </c>
      <c r="P53" s="65">
        <v>1</v>
      </c>
      <c r="Q53" s="65">
        <v>0</v>
      </c>
      <c r="R53" s="65">
        <v>0</v>
      </c>
      <c r="S53" s="65">
        <v>0</v>
      </c>
      <c r="T53" s="65">
        <v>0</v>
      </c>
      <c r="U53" s="65">
        <v>0</v>
      </c>
      <c r="V53" s="65">
        <v>0</v>
      </c>
      <c r="W53" s="65">
        <v>0</v>
      </c>
      <c r="X53" s="116">
        <v>0</v>
      </c>
      <c r="Y53" s="4">
        <v>0</v>
      </c>
      <c r="Z53" s="4">
        <v>0</v>
      </c>
      <c r="AA53" s="4">
        <v>1</v>
      </c>
      <c r="AB53" s="4">
        <v>0</v>
      </c>
      <c r="AC53" s="4">
        <v>0</v>
      </c>
      <c r="AD53" s="4">
        <v>0</v>
      </c>
      <c r="AE53" s="4">
        <v>0</v>
      </c>
      <c r="AF53" s="4">
        <v>0</v>
      </c>
      <c r="AG53" s="4">
        <v>0</v>
      </c>
      <c r="AH53" s="4">
        <v>0</v>
      </c>
      <c r="AI53" s="117">
        <v>0</v>
      </c>
      <c r="AJ53" s="4">
        <v>0</v>
      </c>
      <c r="AK53" s="4">
        <v>0</v>
      </c>
      <c r="AL53" s="4">
        <v>0</v>
      </c>
      <c r="AM53" s="4">
        <v>0</v>
      </c>
      <c r="AN53" s="4">
        <v>1</v>
      </c>
      <c r="AO53" s="4">
        <v>1</v>
      </c>
      <c r="AP53" s="4">
        <v>0</v>
      </c>
      <c r="AQ53" s="4">
        <v>0</v>
      </c>
      <c r="AR53" s="4">
        <v>0</v>
      </c>
      <c r="AS53" s="4">
        <v>1</v>
      </c>
      <c r="AT53" s="4">
        <v>0</v>
      </c>
      <c r="AU53" s="4">
        <v>1</v>
      </c>
      <c r="AV53" s="116">
        <v>0</v>
      </c>
      <c r="AW53" s="4">
        <v>1</v>
      </c>
      <c r="AX53" s="4">
        <v>0</v>
      </c>
      <c r="AY53" s="4">
        <v>0</v>
      </c>
      <c r="AZ53" s="4">
        <v>0</v>
      </c>
      <c r="BA53" s="4">
        <v>0</v>
      </c>
      <c r="BB53" s="4">
        <v>1</v>
      </c>
      <c r="BC53" s="4">
        <v>0</v>
      </c>
      <c r="BD53" s="4">
        <v>0</v>
      </c>
      <c r="BE53" s="4">
        <v>0</v>
      </c>
      <c r="BF53" s="4">
        <v>0</v>
      </c>
      <c r="BG53" s="117">
        <v>2</v>
      </c>
      <c r="BH53" s="116">
        <v>0</v>
      </c>
      <c r="BI53" s="4">
        <v>0</v>
      </c>
      <c r="BJ53" s="4">
        <v>1</v>
      </c>
      <c r="BK53" s="4">
        <v>0</v>
      </c>
      <c r="BL53" s="4">
        <v>0</v>
      </c>
      <c r="BM53" s="4">
        <v>1</v>
      </c>
      <c r="BN53" s="4">
        <v>0</v>
      </c>
      <c r="BO53" s="4">
        <v>1</v>
      </c>
      <c r="BP53" s="4">
        <v>0</v>
      </c>
      <c r="BQ53" s="4">
        <v>0</v>
      </c>
      <c r="BR53" s="4">
        <v>0</v>
      </c>
      <c r="BS53" s="117">
        <v>1</v>
      </c>
      <c r="BT53" s="4">
        <v>0</v>
      </c>
      <c r="BU53" s="4">
        <v>0</v>
      </c>
      <c r="BV53" s="4">
        <v>0</v>
      </c>
      <c r="BW53" s="4">
        <v>0</v>
      </c>
      <c r="BX53" s="4">
        <v>1</v>
      </c>
      <c r="BY53" s="4">
        <v>0</v>
      </c>
      <c r="BZ53" s="4">
        <v>0</v>
      </c>
      <c r="CA53" s="4">
        <v>1</v>
      </c>
      <c r="CB53" s="4">
        <v>0</v>
      </c>
      <c r="CC53" s="4">
        <v>0</v>
      </c>
      <c r="CD53" s="4">
        <v>0</v>
      </c>
      <c r="CE53" s="63">
        <v>0</v>
      </c>
    </row>
    <row r="54" spans="1:84" s="233" customFormat="1" ht="17" thickBot="1" x14ac:dyDescent="0.5">
      <c r="A54" s="355"/>
      <c r="B54" s="355"/>
      <c r="C54" s="355"/>
      <c r="D54" s="463"/>
      <c r="E54" s="3"/>
      <c r="F54" s="351"/>
      <c r="G54" s="353"/>
      <c r="H54" s="353"/>
      <c r="I54" s="354"/>
      <c r="J54" s="51" t="s">
        <v>165</v>
      </c>
      <c r="K54" s="203"/>
      <c r="L54" s="88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121"/>
      <c r="Y54" s="90"/>
      <c r="Z54" s="90"/>
      <c r="AA54" s="90"/>
      <c r="AB54" s="90"/>
      <c r="AC54" s="90"/>
      <c r="AD54" s="90"/>
      <c r="AE54" s="90"/>
      <c r="AF54" s="90"/>
      <c r="AG54" s="90"/>
      <c r="AH54" s="90"/>
      <c r="AI54" s="122"/>
      <c r="AJ54" s="90"/>
      <c r="AK54" s="90"/>
      <c r="AL54" s="90"/>
      <c r="AM54" s="90"/>
      <c r="AN54" s="90"/>
      <c r="AO54" s="90"/>
      <c r="AP54" s="90"/>
      <c r="AQ54" s="90"/>
      <c r="AR54" s="90"/>
      <c r="AS54" s="90"/>
      <c r="AT54" s="90"/>
      <c r="AU54" s="90"/>
      <c r="AV54" s="121"/>
      <c r="AW54" s="90"/>
      <c r="AX54" s="90"/>
      <c r="AY54" s="90"/>
      <c r="AZ54" s="90"/>
      <c r="BA54" s="90"/>
      <c r="BB54" s="90"/>
      <c r="BC54" s="90"/>
      <c r="BD54" s="90"/>
      <c r="BE54" s="90"/>
      <c r="BF54" s="90"/>
      <c r="BG54" s="122"/>
      <c r="BH54" s="121"/>
      <c r="BI54" s="90"/>
      <c r="BJ54" s="90"/>
      <c r="BK54" s="90"/>
      <c r="BL54" s="90"/>
      <c r="BM54" s="90"/>
      <c r="BN54" s="90"/>
      <c r="BO54" s="90"/>
      <c r="BP54" s="90"/>
      <c r="BQ54" s="90"/>
      <c r="BR54" s="90"/>
      <c r="BS54" s="122"/>
      <c r="BT54" s="90"/>
      <c r="BU54" s="90"/>
      <c r="BV54" s="90"/>
      <c r="BW54" s="90"/>
      <c r="BX54" s="90"/>
      <c r="BY54" s="90"/>
      <c r="BZ54" s="90"/>
      <c r="CA54" s="90"/>
      <c r="CB54" s="90"/>
      <c r="CC54" s="90"/>
      <c r="CD54" s="90"/>
      <c r="CE54" s="91"/>
    </row>
    <row r="55" spans="1:84" s="233" customFormat="1" ht="16.5" x14ac:dyDescent="0.45">
      <c r="A55" s="355"/>
      <c r="B55" s="355"/>
      <c r="C55" s="355"/>
      <c r="D55" s="323" t="s">
        <v>204</v>
      </c>
      <c r="E55" s="3"/>
      <c r="F55" s="350" t="s">
        <v>195</v>
      </c>
      <c r="G55" s="352"/>
      <c r="H55" s="352"/>
      <c r="I55" s="350" t="s">
        <v>189</v>
      </c>
      <c r="J55" s="80" t="s">
        <v>22</v>
      </c>
      <c r="K55" s="202">
        <f t="shared" ref="K55" si="5">AVERAGE(L55:CE55)</f>
        <v>0.15277777777777779</v>
      </c>
      <c r="L55" s="64">
        <v>0</v>
      </c>
      <c r="M55" s="65">
        <v>0</v>
      </c>
      <c r="N55" s="65">
        <v>1</v>
      </c>
      <c r="O55" s="65">
        <v>0</v>
      </c>
      <c r="P55" s="65">
        <v>0</v>
      </c>
      <c r="Q55" s="65">
        <v>0</v>
      </c>
      <c r="R55" s="65">
        <v>0</v>
      </c>
      <c r="S55" s="65">
        <v>0</v>
      </c>
      <c r="T55" s="65">
        <v>0</v>
      </c>
      <c r="U55" s="65">
        <v>0</v>
      </c>
      <c r="V55" s="65">
        <v>0</v>
      </c>
      <c r="W55" s="65">
        <v>1</v>
      </c>
      <c r="X55" s="116">
        <v>0</v>
      </c>
      <c r="Y55" s="4">
        <v>0</v>
      </c>
      <c r="Z55" s="4">
        <v>1</v>
      </c>
      <c r="AA55" s="4">
        <v>0</v>
      </c>
      <c r="AB55" s="4">
        <v>0</v>
      </c>
      <c r="AC55" s="4">
        <v>0</v>
      </c>
      <c r="AD55" s="4">
        <v>0</v>
      </c>
      <c r="AE55" s="4">
        <v>0</v>
      </c>
      <c r="AF55" s="4">
        <v>0</v>
      </c>
      <c r="AG55" s="4">
        <v>1</v>
      </c>
      <c r="AH55" s="4">
        <v>0</v>
      </c>
      <c r="AI55" s="117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 s="4">
        <v>0</v>
      </c>
      <c r="AP55" s="4">
        <v>0</v>
      </c>
      <c r="AQ55" s="4">
        <v>0</v>
      </c>
      <c r="AR55" s="4">
        <v>1</v>
      </c>
      <c r="AS55" s="4">
        <v>0</v>
      </c>
      <c r="AT55" s="4">
        <v>0</v>
      </c>
      <c r="AU55" s="4">
        <v>0</v>
      </c>
      <c r="AV55" s="116">
        <v>0</v>
      </c>
      <c r="AW55" s="4">
        <v>0</v>
      </c>
      <c r="AX55" s="4">
        <v>0</v>
      </c>
      <c r="AY55" s="4">
        <v>1</v>
      </c>
      <c r="AZ55" s="4">
        <v>0</v>
      </c>
      <c r="BA55" s="4">
        <v>0</v>
      </c>
      <c r="BB55" s="4">
        <v>0</v>
      </c>
      <c r="BC55" s="4">
        <v>1</v>
      </c>
      <c r="BD55" s="4">
        <v>0</v>
      </c>
      <c r="BE55" s="4">
        <v>0</v>
      </c>
      <c r="BF55" s="4">
        <v>0</v>
      </c>
      <c r="BG55" s="117">
        <v>1</v>
      </c>
      <c r="BH55" s="116">
        <v>0</v>
      </c>
      <c r="BI55" s="4">
        <v>0</v>
      </c>
      <c r="BJ55" s="4">
        <v>0</v>
      </c>
      <c r="BK55" s="4">
        <v>0</v>
      </c>
      <c r="BL55" s="4">
        <v>0</v>
      </c>
      <c r="BM55" s="4">
        <v>0</v>
      </c>
      <c r="BN55" s="4">
        <v>1</v>
      </c>
      <c r="BO55" s="4">
        <v>0</v>
      </c>
      <c r="BP55" s="4">
        <v>0</v>
      </c>
      <c r="BQ55" s="4">
        <v>0</v>
      </c>
      <c r="BR55" s="4">
        <v>0</v>
      </c>
      <c r="BS55" s="117">
        <v>0</v>
      </c>
      <c r="BT55" s="4">
        <v>0</v>
      </c>
      <c r="BU55" s="4">
        <v>0</v>
      </c>
      <c r="BV55" s="4">
        <v>0</v>
      </c>
      <c r="BW55" s="4">
        <v>0</v>
      </c>
      <c r="BX55" s="4">
        <v>0</v>
      </c>
      <c r="BY55" s="4">
        <v>0</v>
      </c>
      <c r="BZ55" s="4">
        <v>0</v>
      </c>
      <c r="CA55" s="4">
        <v>0</v>
      </c>
      <c r="CB55" s="4">
        <v>0</v>
      </c>
      <c r="CC55" s="4">
        <v>0</v>
      </c>
      <c r="CD55" s="4">
        <v>1</v>
      </c>
      <c r="CE55" s="63">
        <v>1</v>
      </c>
      <c r="CF55" s="87"/>
    </row>
    <row r="56" spans="1:84" s="233" customFormat="1" ht="17" thickBot="1" x14ac:dyDescent="0.5">
      <c r="A56" s="355"/>
      <c r="B56" s="355"/>
      <c r="C56" s="355"/>
      <c r="D56" s="324" t="s">
        <v>221</v>
      </c>
      <c r="E56" s="3"/>
      <c r="F56" s="351"/>
      <c r="G56" s="353"/>
      <c r="H56" s="353"/>
      <c r="I56" s="354"/>
      <c r="J56" s="51" t="s">
        <v>165</v>
      </c>
      <c r="K56" s="203"/>
      <c r="L56" s="88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121"/>
      <c r="Y56" s="90"/>
      <c r="Z56" s="90"/>
      <c r="AA56" s="90"/>
      <c r="AB56" s="90"/>
      <c r="AC56" s="90"/>
      <c r="AD56" s="90"/>
      <c r="AE56" s="90"/>
      <c r="AF56" s="90"/>
      <c r="AG56" s="90"/>
      <c r="AH56" s="90"/>
      <c r="AI56" s="122"/>
      <c r="AJ56" s="90"/>
      <c r="AK56" s="90"/>
      <c r="AL56" s="90"/>
      <c r="AM56" s="90"/>
      <c r="AN56" s="90"/>
      <c r="AO56" s="90"/>
      <c r="AP56" s="90"/>
      <c r="AQ56" s="90"/>
      <c r="AR56" s="90"/>
      <c r="AS56" s="90"/>
      <c r="AT56" s="90"/>
      <c r="AU56" s="90"/>
      <c r="AV56" s="121"/>
      <c r="AW56" s="90"/>
      <c r="AX56" s="90"/>
      <c r="AY56" s="90"/>
      <c r="AZ56" s="90"/>
      <c r="BA56" s="90"/>
      <c r="BB56" s="90"/>
      <c r="BC56" s="90"/>
      <c r="BD56" s="90"/>
      <c r="BE56" s="90"/>
      <c r="BF56" s="90"/>
      <c r="BG56" s="122"/>
      <c r="BH56" s="121"/>
      <c r="BI56" s="90"/>
      <c r="BJ56" s="90"/>
      <c r="BK56" s="90"/>
      <c r="BL56" s="90"/>
      <c r="BM56" s="90"/>
      <c r="BN56" s="90"/>
      <c r="BO56" s="90"/>
      <c r="BP56" s="90"/>
      <c r="BQ56" s="90"/>
      <c r="BR56" s="90"/>
      <c r="BS56" s="122"/>
      <c r="BT56" s="90"/>
      <c r="BU56" s="90"/>
      <c r="BV56" s="90"/>
      <c r="BW56" s="90"/>
      <c r="BX56" s="90"/>
      <c r="BY56" s="90"/>
      <c r="BZ56" s="90"/>
      <c r="CA56" s="90"/>
      <c r="CB56" s="90"/>
      <c r="CC56" s="90"/>
      <c r="CD56" s="90"/>
      <c r="CE56" s="91"/>
    </row>
    <row r="57" spans="1:84" s="233" customFormat="1" ht="16.5" x14ac:dyDescent="0.45">
      <c r="A57" s="355"/>
      <c r="B57" s="355"/>
      <c r="C57" s="355"/>
      <c r="D57" s="461" t="s">
        <v>208</v>
      </c>
      <c r="E57" s="3"/>
      <c r="F57" s="350" t="s">
        <v>195</v>
      </c>
      <c r="G57" s="352"/>
      <c r="H57" s="352"/>
      <c r="I57" s="350" t="s">
        <v>189</v>
      </c>
      <c r="J57" s="80" t="s">
        <v>22</v>
      </c>
      <c r="K57" s="202">
        <f t="shared" ref="K57" si="6">AVERAGE(L57:CE57)</f>
        <v>0.34722222222222221</v>
      </c>
      <c r="L57" s="64">
        <v>0</v>
      </c>
      <c r="M57" s="65">
        <v>0</v>
      </c>
      <c r="N57" s="65">
        <v>1</v>
      </c>
      <c r="O57" s="65">
        <v>0</v>
      </c>
      <c r="P57" s="65">
        <v>0</v>
      </c>
      <c r="Q57" s="65">
        <v>0</v>
      </c>
      <c r="R57" s="65">
        <v>0</v>
      </c>
      <c r="S57" s="65">
        <v>0</v>
      </c>
      <c r="T57" s="65">
        <v>0</v>
      </c>
      <c r="U57" s="65">
        <v>0</v>
      </c>
      <c r="V57" s="65">
        <v>0</v>
      </c>
      <c r="W57" s="65">
        <v>0</v>
      </c>
      <c r="X57" s="116">
        <v>0</v>
      </c>
      <c r="Y57" s="4">
        <v>0</v>
      </c>
      <c r="Z57" s="4">
        <v>0</v>
      </c>
      <c r="AA57" s="4">
        <v>0</v>
      </c>
      <c r="AB57" s="4">
        <v>1</v>
      </c>
      <c r="AC57" s="4">
        <v>1</v>
      </c>
      <c r="AD57" s="4">
        <v>0</v>
      </c>
      <c r="AE57" s="4">
        <v>1</v>
      </c>
      <c r="AF57" s="4">
        <v>0</v>
      </c>
      <c r="AG57" s="4">
        <v>0</v>
      </c>
      <c r="AH57" s="4">
        <v>1</v>
      </c>
      <c r="AI57" s="117">
        <v>0</v>
      </c>
      <c r="AJ57" s="4">
        <v>2</v>
      </c>
      <c r="AK57" s="4">
        <v>0</v>
      </c>
      <c r="AL57" s="4">
        <v>1</v>
      </c>
      <c r="AM57" s="4">
        <v>0</v>
      </c>
      <c r="AN57" s="4">
        <v>0</v>
      </c>
      <c r="AO57" s="4">
        <v>0</v>
      </c>
      <c r="AP57" s="4">
        <v>0</v>
      </c>
      <c r="AQ57" s="4">
        <v>1</v>
      </c>
      <c r="AR57" s="4">
        <v>0</v>
      </c>
      <c r="AS57" s="4">
        <v>0</v>
      </c>
      <c r="AT57" s="4">
        <v>1</v>
      </c>
      <c r="AU57" s="4">
        <v>0</v>
      </c>
      <c r="AV57" s="116">
        <v>0</v>
      </c>
      <c r="AW57" s="4">
        <v>2</v>
      </c>
      <c r="AX57" s="4">
        <v>0</v>
      </c>
      <c r="AY57" s="4">
        <v>2</v>
      </c>
      <c r="AZ57" s="4">
        <v>1</v>
      </c>
      <c r="BA57" s="4">
        <v>0</v>
      </c>
      <c r="BB57" s="4">
        <v>1</v>
      </c>
      <c r="BC57" s="4">
        <v>0</v>
      </c>
      <c r="BD57" s="4">
        <v>0</v>
      </c>
      <c r="BE57" s="4">
        <v>1</v>
      </c>
      <c r="BF57" s="4">
        <v>1</v>
      </c>
      <c r="BG57" s="117">
        <v>0</v>
      </c>
      <c r="BH57" s="116">
        <v>1</v>
      </c>
      <c r="BI57" s="4">
        <v>0</v>
      </c>
      <c r="BJ57" s="4">
        <v>0</v>
      </c>
      <c r="BK57" s="4">
        <v>0</v>
      </c>
      <c r="BL57" s="4">
        <v>0</v>
      </c>
      <c r="BM57" s="4">
        <v>1</v>
      </c>
      <c r="BN57" s="4">
        <v>1</v>
      </c>
      <c r="BO57" s="4">
        <v>1</v>
      </c>
      <c r="BP57" s="4">
        <v>0</v>
      </c>
      <c r="BQ57" s="4">
        <v>0</v>
      </c>
      <c r="BR57" s="4">
        <v>1</v>
      </c>
      <c r="BS57" s="117">
        <v>0</v>
      </c>
      <c r="BT57" s="4">
        <v>0</v>
      </c>
      <c r="BU57" s="4">
        <v>0</v>
      </c>
      <c r="BV57" s="4">
        <v>0</v>
      </c>
      <c r="BW57" s="4">
        <v>1</v>
      </c>
      <c r="BX57" s="4">
        <v>0</v>
      </c>
      <c r="BY57" s="4">
        <v>0</v>
      </c>
      <c r="BZ57" s="4">
        <v>0</v>
      </c>
      <c r="CA57" s="4">
        <v>0</v>
      </c>
      <c r="CB57" s="4">
        <v>0</v>
      </c>
      <c r="CC57" s="4">
        <v>0</v>
      </c>
      <c r="CD57" s="4">
        <v>1</v>
      </c>
      <c r="CE57" s="63">
        <v>0</v>
      </c>
      <c r="CF57" s="87"/>
    </row>
    <row r="58" spans="1:84" s="233" customFormat="1" ht="17" thickBot="1" x14ac:dyDescent="0.5">
      <c r="A58" s="355"/>
      <c r="B58" s="355"/>
      <c r="C58" s="355"/>
      <c r="D58" s="463"/>
      <c r="E58" s="3"/>
      <c r="F58" s="351"/>
      <c r="G58" s="353"/>
      <c r="H58" s="353"/>
      <c r="I58" s="354"/>
      <c r="J58" s="51" t="s">
        <v>165</v>
      </c>
      <c r="K58" s="203"/>
      <c r="L58" s="88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121"/>
      <c r="Y58" s="90"/>
      <c r="Z58" s="90"/>
      <c r="AA58" s="90"/>
      <c r="AB58" s="90"/>
      <c r="AC58" s="90"/>
      <c r="AD58" s="90"/>
      <c r="AE58" s="90"/>
      <c r="AF58" s="90"/>
      <c r="AG58" s="90"/>
      <c r="AH58" s="90"/>
      <c r="AI58" s="122"/>
      <c r="AJ58" s="90"/>
      <c r="AK58" s="90"/>
      <c r="AL58" s="90"/>
      <c r="AM58" s="90"/>
      <c r="AN58" s="90"/>
      <c r="AO58" s="90"/>
      <c r="AP58" s="90"/>
      <c r="AQ58" s="90"/>
      <c r="AR58" s="90"/>
      <c r="AS58" s="90"/>
      <c r="AT58" s="90"/>
      <c r="AU58" s="90"/>
      <c r="AV58" s="121"/>
      <c r="AW58" s="90"/>
      <c r="AX58" s="90"/>
      <c r="AY58" s="90"/>
      <c r="AZ58" s="90"/>
      <c r="BA58" s="90"/>
      <c r="BB58" s="90"/>
      <c r="BC58" s="90"/>
      <c r="BD58" s="90"/>
      <c r="BE58" s="90"/>
      <c r="BF58" s="90"/>
      <c r="BG58" s="122"/>
      <c r="BH58" s="121"/>
      <c r="BI58" s="90"/>
      <c r="BJ58" s="90"/>
      <c r="BK58" s="90"/>
      <c r="BL58" s="90"/>
      <c r="BM58" s="90"/>
      <c r="BN58" s="90"/>
      <c r="BO58" s="90"/>
      <c r="BP58" s="90"/>
      <c r="BQ58" s="90"/>
      <c r="BR58" s="90"/>
      <c r="BS58" s="122"/>
      <c r="BT58" s="90"/>
      <c r="BU58" s="90"/>
      <c r="BV58" s="90"/>
      <c r="BW58" s="90"/>
      <c r="BX58" s="90"/>
      <c r="BY58" s="90"/>
      <c r="BZ58" s="90"/>
      <c r="CA58" s="90"/>
      <c r="CB58" s="90"/>
      <c r="CC58" s="90"/>
      <c r="CD58" s="90"/>
      <c r="CE58" s="91"/>
    </row>
    <row r="59" spans="1:84" s="233" customFormat="1" ht="16.5" x14ac:dyDescent="0.45">
      <c r="A59" s="355"/>
      <c r="B59" s="355"/>
      <c r="C59" s="355"/>
      <c r="D59" s="461" t="s">
        <v>209</v>
      </c>
      <c r="E59" s="3"/>
      <c r="F59" s="350" t="s">
        <v>195</v>
      </c>
      <c r="G59" s="352"/>
      <c r="H59" s="352"/>
      <c r="I59" s="350" t="s">
        <v>189</v>
      </c>
      <c r="J59" s="80" t="s">
        <v>22</v>
      </c>
      <c r="K59" s="202">
        <f t="shared" ref="K59" si="7">AVERAGE(L59:CE59)</f>
        <v>0.33333333333333331</v>
      </c>
      <c r="L59" s="64">
        <v>0</v>
      </c>
      <c r="M59" s="65">
        <v>1</v>
      </c>
      <c r="N59" s="65">
        <v>2</v>
      </c>
      <c r="O59" s="65">
        <v>0</v>
      </c>
      <c r="P59" s="65">
        <v>0</v>
      </c>
      <c r="Q59" s="65">
        <v>0</v>
      </c>
      <c r="R59" s="65">
        <v>0</v>
      </c>
      <c r="S59" s="65">
        <v>0</v>
      </c>
      <c r="T59" s="65">
        <v>0</v>
      </c>
      <c r="U59" s="65">
        <v>0</v>
      </c>
      <c r="V59" s="65">
        <v>0</v>
      </c>
      <c r="W59" s="65">
        <v>0</v>
      </c>
      <c r="X59" s="116">
        <v>0</v>
      </c>
      <c r="Y59" s="4">
        <v>0</v>
      </c>
      <c r="Z59" s="4">
        <v>1</v>
      </c>
      <c r="AA59" s="4">
        <v>0</v>
      </c>
      <c r="AB59" s="4">
        <v>0</v>
      </c>
      <c r="AC59" s="4">
        <v>0</v>
      </c>
      <c r="AD59" s="4">
        <v>0</v>
      </c>
      <c r="AE59" s="4">
        <v>1</v>
      </c>
      <c r="AF59" s="4">
        <v>0</v>
      </c>
      <c r="AG59" s="4">
        <v>0</v>
      </c>
      <c r="AH59" s="4">
        <v>0</v>
      </c>
      <c r="AI59" s="117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 s="4">
        <v>0</v>
      </c>
      <c r="AP59" s="4">
        <v>0</v>
      </c>
      <c r="AQ59" s="4">
        <v>0</v>
      </c>
      <c r="AR59" s="4">
        <v>0</v>
      </c>
      <c r="AS59" s="4">
        <v>0</v>
      </c>
      <c r="AT59" s="4">
        <v>0</v>
      </c>
      <c r="AU59" s="4">
        <v>0</v>
      </c>
      <c r="AV59" s="116">
        <v>1</v>
      </c>
      <c r="AW59" s="4">
        <v>1</v>
      </c>
      <c r="AX59" s="4">
        <v>0</v>
      </c>
      <c r="AY59" s="4">
        <v>0</v>
      </c>
      <c r="AZ59" s="4">
        <v>0</v>
      </c>
      <c r="BA59" s="4">
        <v>0</v>
      </c>
      <c r="BB59" s="4">
        <v>3</v>
      </c>
      <c r="BC59" s="4">
        <v>2</v>
      </c>
      <c r="BD59" s="4">
        <v>0</v>
      </c>
      <c r="BE59" s="4">
        <v>0</v>
      </c>
      <c r="BF59" s="4">
        <v>0</v>
      </c>
      <c r="BG59" s="117">
        <v>0</v>
      </c>
      <c r="BH59" s="116">
        <v>2</v>
      </c>
      <c r="BI59" s="4">
        <v>1</v>
      </c>
      <c r="BJ59" s="4">
        <v>0</v>
      </c>
      <c r="BK59" s="4">
        <v>0</v>
      </c>
      <c r="BL59" s="4">
        <v>0</v>
      </c>
      <c r="BM59" s="4">
        <v>0</v>
      </c>
      <c r="BN59" s="4">
        <v>0</v>
      </c>
      <c r="BO59" s="4">
        <v>1</v>
      </c>
      <c r="BP59" s="4">
        <v>0</v>
      </c>
      <c r="BQ59" s="4">
        <v>0</v>
      </c>
      <c r="BR59" s="4">
        <v>2</v>
      </c>
      <c r="BS59" s="117">
        <v>0</v>
      </c>
      <c r="BT59" s="4">
        <v>0</v>
      </c>
      <c r="BU59" s="4">
        <v>0</v>
      </c>
      <c r="BV59" s="4">
        <v>0</v>
      </c>
      <c r="BW59" s="4">
        <v>1</v>
      </c>
      <c r="BX59" s="4">
        <v>0</v>
      </c>
      <c r="BY59" s="4">
        <v>0</v>
      </c>
      <c r="BZ59" s="4">
        <v>0</v>
      </c>
      <c r="CA59" s="4">
        <v>0</v>
      </c>
      <c r="CB59" s="4">
        <v>2</v>
      </c>
      <c r="CC59" s="4">
        <v>1</v>
      </c>
      <c r="CD59" s="4">
        <v>2</v>
      </c>
      <c r="CE59" s="63">
        <v>0</v>
      </c>
    </row>
    <row r="60" spans="1:84" s="233" customFormat="1" ht="17" thickBot="1" x14ac:dyDescent="0.5">
      <c r="A60" s="355"/>
      <c r="B60" s="355"/>
      <c r="C60" s="355"/>
      <c r="D60" s="463"/>
      <c r="E60" s="3"/>
      <c r="F60" s="351"/>
      <c r="G60" s="353"/>
      <c r="H60" s="353"/>
      <c r="I60" s="354"/>
      <c r="J60" s="51" t="s">
        <v>165</v>
      </c>
      <c r="K60" s="203"/>
      <c r="L60" s="88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121"/>
      <c r="Y60" s="90"/>
      <c r="Z60" s="90"/>
      <c r="AA60" s="90"/>
      <c r="AB60" s="90"/>
      <c r="AC60" s="90"/>
      <c r="AD60" s="90"/>
      <c r="AE60" s="90"/>
      <c r="AF60" s="90"/>
      <c r="AG60" s="90"/>
      <c r="AH60" s="90"/>
      <c r="AI60" s="122"/>
      <c r="AJ60" s="90"/>
      <c r="AK60" s="90"/>
      <c r="AL60" s="90"/>
      <c r="AM60" s="90"/>
      <c r="AN60" s="90"/>
      <c r="AO60" s="90"/>
      <c r="AP60" s="90"/>
      <c r="AQ60" s="90"/>
      <c r="AR60" s="90"/>
      <c r="AS60" s="90"/>
      <c r="AT60" s="90"/>
      <c r="AU60" s="90"/>
      <c r="AV60" s="121"/>
      <c r="AW60" s="90"/>
      <c r="AX60" s="90"/>
      <c r="AY60" s="90"/>
      <c r="AZ60" s="90"/>
      <c r="BA60" s="90"/>
      <c r="BB60" s="90"/>
      <c r="BC60" s="90"/>
      <c r="BD60" s="90"/>
      <c r="BE60" s="90"/>
      <c r="BF60" s="90"/>
      <c r="BG60" s="122"/>
      <c r="BH60" s="121"/>
      <c r="BI60" s="90"/>
      <c r="BJ60" s="90"/>
      <c r="BK60" s="90"/>
      <c r="BL60" s="90"/>
      <c r="BM60" s="90"/>
      <c r="BN60" s="90"/>
      <c r="BO60" s="90"/>
      <c r="BP60" s="90"/>
      <c r="BQ60" s="90"/>
      <c r="BR60" s="90"/>
      <c r="BS60" s="122"/>
      <c r="BT60" s="90"/>
      <c r="BU60" s="90"/>
      <c r="BV60" s="90"/>
      <c r="BW60" s="90"/>
      <c r="BX60" s="90"/>
      <c r="BY60" s="90"/>
      <c r="BZ60" s="90"/>
      <c r="CA60" s="90"/>
      <c r="CB60" s="90"/>
      <c r="CC60" s="90"/>
      <c r="CD60" s="90"/>
      <c r="CE60" s="91"/>
    </row>
    <row r="61" spans="1:84" s="233" customFormat="1" ht="16.5" x14ac:dyDescent="0.45">
      <c r="A61" s="355"/>
      <c r="B61" s="355"/>
      <c r="C61" s="355"/>
      <c r="D61" s="323" t="s">
        <v>210</v>
      </c>
      <c r="E61" s="3"/>
      <c r="F61" s="350" t="s">
        <v>195</v>
      </c>
      <c r="G61" s="352"/>
      <c r="H61" s="352"/>
      <c r="I61" s="350" t="s">
        <v>189</v>
      </c>
      <c r="J61" s="80" t="s">
        <v>22</v>
      </c>
      <c r="K61" s="202">
        <f t="shared" ref="K61" si="8">AVERAGE(L61:CE61)</f>
        <v>0.125</v>
      </c>
      <c r="L61" s="64">
        <v>0</v>
      </c>
      <c r="M61" s="65">
        <v>0</v>
      </c>
      <c r="N61" s="65">
        <v>0</v>
      </c>
      <c r="O61" s="65">
        <v>0</v>
      </c>
      <c r="P61" s="65">
        <v>0</v>
      </c>
      <c r="Q61" s="65">
        <v>1</v>
      </c>
      <c r="R61" s="65">
        <v>0</v>
      </c>
      <c r="S61" s="65">
        <v>0</v>
      </c>
      <c r="T61" s="65">
        <v>1</v>
      </c>
      <c r="U61" s="65">
        <v>0</v>
      </c>
      <c r="V61" s="65">
        <v>1</v>
      </c>
      <c r="W61" s="65">
        <v>0</v>
      </c>
      <c r="X61" s="116">
        <v>0</v>
      </c>
      <c r="Y61" s="4">
        <v>0</v>
      </c>
      <c r="Z61" s="4">
        <v>1</v>
      </c>
      <c r="AA61" s="4">
        <v>0</v>
      </c>
      <c r="AB61" s="4">
        <v>0</v>
      </c>
      <c r="AC61" s="4">
        <v>0</v>
      </c>
      <c r="AD61" s="4">
        <v>0</v>
      </c>
      <c r="AE61" s="4">
        <v>0</v>
      </c>
      <c r="AF61" s="4">
        <v>0</v>
      </c>
      <c r="AG61" s="4">
        <v>0</v>
      </c>
      <c r="AH61" s="4">
        <v>0</v>
      </c>
      <c r="AI61" s="117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4">
        <v>0</v>
      </c>
      <c r="AP61" s="4">
        <v>0</v>
      </c>
      <c r="AQ61" s="4">
        <v>0</v>
      </c>
      <c r="AR61" s="4">
        <v>0</v>
      </c>
      <c r="AS61" s="4">
        <v>0</v>
      </c>
      <c r="AT61" s="4">
        <v>0</v>
      </c>
      <c r="AU61" s="4">
        <v>0</v>
      </c>
      <c r="AV61" s="116">
        <v>0</v>
      </c>
      <c r="AW61" s="4">
        <v>0</v>
      </c>
      <c r="AX61" s="4">
        <v>0</v>
      </c>
      <c r="AY61" s="4">
        <v>0</v>
      </c>
      <c r="AZ61" s="4">
        <v>0</v>
      </c>
      <c r="BA61" s="4">
        <v>0</v>
      </c>
      <c r="BB61" s="4">
        <v>1</v>
      </c>
      <c r="BC61" s="4">
        <v>0</v>
      </c>
      <c r="BD61" s="4">
        <v>0</v>
      </c>
      <c r="BE61" s="4">
        <v>0</v>
      </c>
      <c r="BF61" s="4">
        <v>0</v>
      </c>
      <c r="BG61" s="117">
        <v>0</v>
      </c>
      <c r="BH61" s="116">
        <v>0</v>
      </c>
      <c r="BI61" s="4">
        <v>0</v>
      </c>
      <c r="BJ61" s="4">
        <v>0</v>
      </c>
      <c r="BK61" s="4">
        <v>0</v>
      </c>
      <c r="BL61" s="4">
        <v>0</v>
      </c>
      <c r="BM61" s="4">
        <v>0</v>
      </c>
      <c r="BN61" s="4">
        <v>0</v>
      </c>
      <c r="BO61" s="4">
        <v>0</v>
      </c>
      <c r="BP61" s="4">
        <v>0</v>
      </c>
      <c r="BQ61" s="4">
        <v>0</v>
      </c>
      <c r="BR61" s="4">
        <v>1</v>
      </c>
      <c r="BS61" s="117">
        <v>1</v>
      </c>
      <c r="BT61" s="4">
        <v>0</v>
      </c>
      <c r="BU61" s="4">
        <v>0</v>
      </c>
      <c r="BV61" s="4">
        <v>0</v>
      </c>
      <c r="BW61" s="4">
        <v>0</v>
      </c>
      <c r="BX61" s="4">
        <v>0</v>
      </c>
      <c r="BY61" s="4">
        <v>0</v>
      </c>
      <c r="BZ61" s="4">
        <v>0</v>
      </c>
      <c r="CA61" s="4">
        <v>0</v>
      </c>
      <c r="CB61" s="4">
        <v>0</v>
      </c>
      <c r="CC61" s="4">
        <v>0</v>
      </c>
      <c r="CD61" s="4">
        <v>1</v>
      </c>
      <c r="CE61" s="63">
        <v>1</v>
      </c>
      <c r="CF61" s="87"/>
    </row>
    <row r="62" spans="1:84" s="233" customFormat="1" ht="17" thickBot="1" x14ac:dyDescent="0.5">
      <c r="A62" s="355"/>
      <c r="B62" s="355"/>
      <c r="C62" s="355"/>
      <c r="D62" s="324" t="s">
        <v>218</v>
      </c>
      <c r="E62" s="3"/>
      <c r="F62" s="351"/>
      <c r="G62" s="353"/>
      <c r="H62" s="353"/>
      <c r="I62" s="354"/>
      <c r="J62" s="51" t="s">
        <v>165</v>
      </c>
      <c r="K62" s="203"/>
      <c r="L62" s="88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121"/>
      <c r="Y62" s="90"/>
      <c r="Z62" s="90"/>
      <c r="AA62" s="90"/>
      <c r="AB62" s="90"/>
      <c r="AC62" s="90"/>
      <c r="AD62" s="90"/>
      <c r="AE62" s="90"/>
      <c r="AF62" s="90"/>
      <c r="AG62" s="90"/>
      <c r="AH62" s="90"/>
      <c r="AI62" s="122"/>
      <c r="AJ62" s="90"/>
      <c r="AK62" s="90"/>
      <c r="AL62" s="90"/>
      <c r="AM62" s="90"/>
      <c r="AN62" s="90"/>
      <c r="AO62" s="90"/>
      <c r="AP62" s="90"/>
      <c r="AQ62" s="90"/>
      <c r="AR62" s="90"/>
      <c r="AS62" s="90"/>
      <c r="AT62" s="90"/>
      <c r="AU62" s="90"/>
      <c r="AV62" s="121"/>
      <c r="AW62" s="90"/>
      <c r="AX62" s="90"/>
      <c r="AY62" s="90"/>
      <c r="AZ62" s="90"/>
      <c r="BA62" s="90"/>
      <c r="BB62" s="90"/>
      <c r="BC62" s="90"/>
      <c r="BD62" s="90"/>
      <c r="BE62" s="90"/>
      <c r="BF62" s="90"/>
      <c r="BG62" s="122"/>
      <c r="BH62" s="121"/>
      <c r="BI62" s="90"/>
      <c r="BJ62" s="90"/>
      <c r="BK62" s="90"/>
      <c r="BL62" s="90"/>
      <c r="BM62" s="90"/>
      <c r="BN62" s="90"/>
      <c r="BO62" s="90"/>
      <c r="BP62" s="90"/>
      <c r="BQ62" s="90"/>
      <c r="BR62" s="90"/>
      <c r="BS62" s="122"/>
      <c r="BT62" s="90"/>
      <c r="BU62" s="90"/>
      <c r="BV62" s="90"/>
      <c r="BW62" s="90"/>
      <c r="BX62" s="90"/>
      <c r="BY62" s="90"/>
      <c r="BZ62" s="90"/>
      <c r="CA62" s="90"/>
      <c r="CB62" s="90"/>
      <c r="CC62" s="90"/>
      <c r="CD62" s="90"/>
      <c r="CE62" s="91"/>
    </row>
    <row r="63" spans="1:84" s="233" customFormat="1" ht="16.5" x14ac:dyDescent="0.45">
      <c r="A63" s="355"/>
      <c r="B63" s="355"/>
      <c r="C63" s="355"/>
      <c r="D63" s="323" t="s">
        <v>211</v>
      </c>
      <c r="E63" s="3"/>
      <c r="F63" s="350" t="s">
        <v>195</v>
      </c>
      <c r="G63" s="352"/>
      <c r="H63" s="352"/>
      <c r="I63" s="350" t="s">
        <v>189</v>
      </c>
      <c r="J63" s="80" t="s">
        <v>22</v>
      </c>
      <c r="K63" s="202">
        <f t="shared" ref="K63" si="9">AVERAGE(L63:CE63)</f>
        <v>0.125</v>
      </c>
      <c r="L63" s="64">
        <v>0</v>
      </c>
      <c r="M63" s="65">
        <v>0</v>
      </c>
      <c r="N63" s="65">
        <v>0</v>
      </c>
      <c r="O63" s="65">
        <v>0</v>
      </c>
      <c r="P63" s="65">
        <v>0</v>
      </c>
      <c r="Q63" s="65">
        <v>0</v>
      </c>
      <c r="R63" s="65">
        <v>0</v>
      </c>
      <c r="S63" s="65">
        <v>0</v>
      </c>
      <c r="T63" s="65">
        <v>0</v>
      </c>
      <c r="U63" s="65">
        <v>1</v>
      </c>
      <c r="V63" s="65">
        <v>0</v>
      </c>
      <c r="W63" s="65">
        <v>0</v>
      </c>
      <c r="X63" s="116">
        <v>0</v>
      </c>
      <c r="Y63" s="4">
        <v>0</v>
      </c>
      <c r="Z63" s="4">
        <v>0</v>
      </c>
      <c r="AA63" s="4">
        <v>0</v>
      </c>
      <c r="AB63" s="4">
        <v>0</v>
      </c>
      <c r="AC63" s="4">
        <v>0</v>
      </c>
      <c r="AD63" s="4">
        <v>0</v>
      </c>
      <c r="AE63" s="4">
        <v>1</v>
      </c>
      <c r="AF63" s="4">
        <v>0</v>
      </c>
      <c r="AG63" s="4">
        <v>1</v>
      </c>
      <c r="AH63" s="4">
        <v>1</v>
      </c>
      <c r="AI63" s="117">
        <v>1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4">
        <v>1</v>
      </c>
      <c r="AQ63" s="4">
        <v>0</v>
      </c>
      <c r="AR63" s="4">
        <v>0</v>
      </c>
      <c r="AS63" s="4">
        <v>0</v>
      </c>
      <c r="AT63" s="4">
        <v>0</v>
      </c>
      <c r="AU63" s="4">
        <v>1</v>
      </c>
      <c r="AV63" s="116">
        <v>0</v>
      </c>
      <c r="AW63" s="4">
        <v>0</v>
      </c>
      <c r="AX63" s="4">
        <v>0</v>
      </c>
      <c r="AY63" s="4">
        <v>0</v>
      </c>
      <c r="AZ63" s="4">
        <v>0</v>
      </c>
      <c r="BA63" s="4">
        <v>0</v>
      </c>
      <c r="BB63" s="4">
        <v>0</v>
      </c>
      <c r="BC63" s="4">
        <v>0</v>
      </c>
      <c r="BD63" s="4">
        <v>0</v>
      </c>
      <c r="BE63" s="4">
        <v>0</v>
      </c>
      <c r="BF63" s="4">
        <v>0</v>
      </c>
      <c r="BG63" s="117">
        <v>0</v>
      </c>
      <c r="BH63" s="116">
        <v>0</v>
      </c>
      <c r="BI63" s="4">
        <v>0</v>
      </c>
      <c r="BJ63" s="4">
        <v>0</v>
      </c>
      <c r="BK63" s="4">
        <v>0</v>
      </c>
      <c r="BL63" s="4">
        <v>0</v>
      </c>
      <c r="BM63" s="4">
        <v>0</v>
      </c>
      <c r="BN63" s="4">
        <v>0</v>
      </c>
      <c r="BO63" s="4">
        <v>0</v>
      </c>
      <c r="BP63" s="4">
        <v>0</v>
      </c>
      <c r="BQ63" s="4">
        <v>0</v>
      </c>
      <c r="BR63" s="4">
        <v>1</v>
      </c>
      <c r="BS63" s="117">
        <v>0</v>
      </c>
      <c r="BT63" s="4">
        <v>0</v>
      </c>
      <c r="BU63" s="4">
        <v>0</v>
      </c>
      <c r="BV63" s="4">
        <v>0</v>
      </c>
      <c r="BW63" s="4">
        <v>0</v>
      </c>
      <c r="BX63" s="4">
        <v>0</v>
      </c>
      <c r="BY63" s="4">
        <v>0</v>
      </c>
      <c r="BZ63" s="4">
        <v>0</v>
      </c>
      <c r="CA63" s="4">
        <v>0</v>
      </c>
      <c r="CB63" s="4">
        <v>0</v>
      </c>
      <c r="CC63" s="4">
        <v>0</v>
      </c>
      <c r="CD63" s="4">
        <v>1</v>
      </c>
      <c r="CE63" s="63">
        <v>0</v>
      </c>
      <c r="CF63" s="87"/>
    </row>
    <row r="64" spans="1:84" s="233" customFormat="1" ht="17" thickBot="1" x14ac:dyDescent="0.5">
      <c r="A64" s="355"/>
      <c r="B64" s="355"/>
      <c r="C64" s="355"/>
      <c r="D64" s="324" t="s">
        <v>220</v>
      </c>
      <c r="E64" s="3"/>
      <c r="F64" s="351"/>
      <c r="G64" s="353"/>
      <c r="H64" s="353"/>
      <c r="I64" s="354"/>
      <c r="J64" s="51" t="s">
        <v>165</v>
      </c>
      <c r="K64" s="203"/>
      <c r="L64" s="88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121"/>
      <c r="Y64" s="90"/>
      <c r="Z64" s="90"/>
      <c r="AA64" s="90"/>
      <c r="AB64" s="90"/>
      <c r="AC64" s="90"/>
      <c r="AD64" s="90"/>
      <c r="AE64" s="90"/>
      <c r="AF64" s="90"/>
      <c r="AG64" s="90"/>
      <c r="AH64" s="90"/>
      <c r="AI64" s="122"/>
      <c r="AJ64" s="90"/>
      <c r="AK64" s="90"/>
      <c r="AL64" s="90"/>
      <c r="AM64" s="90"/>
      <c r="AN64" s="90"/>
      <c r="AO64" s="90"/>
      <c r="AP64" s="90"/>
      <c r="AQ64" s="90"/>
      <c r="AR64" s="90"/>
      <c r="AS64" s="90"/>
      <c r="AT64" s="90"/>
      <c r="AU64" s="90"/>
      <c r="AV64" s="121"/>
      <c r="AW64" s="90"/>
      <c r="AX64" s="90"/>
      <c r="AY64" s="90"/>
      <c r="AZ64" s="90"/>
      <c r="BA64" s="90"/>
      <c r="BB64" s="90"/>
      <c r="BC64" s="90"/>
      <c r="BD64" s="90"/>
      <c r="BE64" s="90"/>
      <c r="BF64" s="90"/>
      <c r="BG64" s="122"/>
      <c r="BH64" s="90"/>
      <c r="BI64" s="90"/>
      <c r="BJ64" s="90"/>
      <c r="BK64" s="90"/>
      <c r="BL64" s="90"/>
      <c r="BM64" s="90"/>
      <c r="BN64" s="90"/>
      <c r="BO64" s="90"/>
      <c r="BP64" s="90"/>
      <c r="BQ64" s="90"/>
      <c r="BR64" s="90"/>
      <c r="BS64" s="90"/>
      <c r="BT64" s="121"/>
      <c r="BU64" s="90"/>
      <c r="BV64" s="90"/>
      <c r="BW64" s="90"/>
      <c r="BX64" s="90"/>
      <c r="BY64" s="90"/>
      <c r="BZ64" s="90"/>
      <c r="CA64" s="90"/>
      <c r="CB64" s="90"/>
      <c r="CC64" s="90"/>
      <c r="CD64" s="90"/>
      <c r="CE64" s="91"/>
    </row>
    <row r="65" spans="1:84" s="233" customFormat="1" ht="16.5" x14ac:dyDescent="0.45">
      <c r="A65" s="355"/>
      <c r="B65" s="355"/>
      <c r="C65" s="355"/>
      <c r="D65" s="461" t="s">
        <v>212</v>
      </c>
      <c r="E65" s="3"/>
      <c r="F65" s="350" t="s">
        <v>195</v>
      </c>
      <c r="G65" s="352"/>
      <c r="H65" s="352"/>
      <c r="I65" s="350" t="s">
        <v>189</v>
      </c>
      <c r="J65" s="80" t="s">
        <v>22</v>
      </c>
      <c r="K65" s="202">
        <f t="shared" ref="K65" si="10">AVERAGE(L65:CE65)</f>
        <v>0.18055555555555555</v>
      </c>
      <c r="L65" s="64">
        <v>0</v>
      </c>
      <c r="M65" s="65">
        <v>0</v>
      </c>
      <c r="N65" s="65">
        <v>0</v>
      </c>
      <c r="O65" s="65">
        <v>0</v>
      </c>
      <c r="P65" s="65">
        <v>1</v>
      </c>
      <c r="Q65" s="65">
        <v>0</v>
      </c>
      <c r="R65" s="65">
        <v>0</v>
      </c>
      <c r="S65" s="65">
        <v>0</v>
      </c>
      <c r="T65" s="65">
        <v>0</v>
      </c>
      <c r="U65" s="65">
        <v>0</v>
      </c>
      <c r="V65" s="65">
        <v>0</v>
      </c>
      <c r="W65" s="65">
        <v>0</v>
      </c>
      <c r="X65" s="116">
        <v>1</v>
      </c>
      <c r="Y65" s="4">
        <v>0</v>
      </c>
      <c r="Z65" s="4">
        <v>0</v>
      </c>
      <c r="AA65" s="4">
        <v>0</v>
      </c>
      <c r="AB65" s="4">
        <v>0</v>
      </c>
      <c r="AC65" s="4">
        <v>0</v>
      </c>
      <c r="AD65" s="4">
        <v>0</v>
      </c>
      <c r="AE65" s="4">
        <v>2</v>
      </c>
      <c r="AF65" s="4">
        <v>1</v>
      </c>
      <c r="AG65" s="4">
        <v>0</v>
      </c>
      <c r="AH65" s="4">
        <v>0</v>
      </c>
      <c r="AI65" s="117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4">
        <v>0</v>
      </c>
      <c r="AQ65" s="4">
        <v>0</v>
      </c>
      <c r="AR65" s="4">
        <v>0</v>
      </c>
      <c r="AS65" s="4">
        <v>0</v>
      </c>
      <c r="AT65" s="4">
        <v>0</v>
      </c>
      <c r="AU65" s="4">
        <v>0</v>
      </c>
      <c r="AV65" s="116">
        <v>0</v>
      </c>
      <c r="AW65" s="4">
        <v>0</v>
      </c>
      <c r="AX65" s="4">
        <v>1</v>
      </c>
      <c r="AY65" s="4">
        <v>0</v>
      </c>
      <c r="AZ65" s="4">
        <v>0</v>
      </c>
      <c r="BA65" s="4">
        <v>1</v>
      </c>
      <c r="BB65" s="4">
        <v>0</v>
      </c>
      <c r="BC65" s="4">
        <v>0</v>
      </c>
      <c r="BD65" s="4">
        <v>1</v>
      </c>
      <c r="BE65" s="4">
        <v>0</v>
      </c>
      <c r="BF65" s="4">
        <v>0</v>
      </c>
      <c r="BG65" s="117">
        <v>0</v>
      </c>
      <c r="BH65" s="4">
        <v>0</v>
      </c>
      <c r="BI65" s="4">
        <v>0</v>
      </c>
      <c r="BJ65" s="4">
        <v>1</v>
      </c>
      <c r="BK65" s="4">
        <v>0</v>
      </c>
      <c r="BL65" s="4">
        <v>0</v>
      </c>
      <c r="BM65" s="4">
        <v>1</v>
      </c>
      <c r="BN65" s="4">
        <v>2</v>
      </c>
      <c r="BO65" s="4">
        <v>0</v>
      </c>
      <c r="BP65" s="4">
        <v>1</v>
      </c>
      <c r="BQ65" s="4">
        <v>0</v>
      </c>
      <c r="BR65" s="4">
        <v>0</v>
      </c>
      <c r="BS65" s="4">
        <v>0</v>
      </c>
      <c r="BT65" s="116">
        <v>0</v>
      </c>
      <c r="BU65" s="4">
        <v>0</v>
      </c>
      <c r="BV65" s="4">
        <v>0</v>
      </c>
      <c r="BW65" s="4">
        <v>0</v>
      </c>
      <c r="BX65" s="4">
        <v>0</v>
      </c>
      <c r="BY65" s="4">
        <v>0</v>
      </c>
      <c r="BZ65" s="4">
        <v>0</v>
      </c>
      <c r="CA65" s="4">
        <v>0</v>
      </c>
      <c r="CB65" s="4">
        <v>0</v>
      </c>
      <c r="CC65" s="4">
        <v>0</v>
      </c>
      <c r="CD65" s="4">
        <v>0</v>
      </c>
      <c r="CE65" s="63">
        <v>0</v>
      </c>
    </row>
    <row r="66" spans="1:84" s="233" customFormat="1" ht="17" thickBot="1" x14ac:dyDescent="0.5">
      <c r="A66" s="355"/>
      <c r="B66" s="355"/>
      <c r="C66" s="355"/>
      <c r="D66" s="463"/>
      <c r="E66" s="3"/>
      <c r="F66" s="351"/>
      <c r="G66" s="353"/>
      <c r="H66" s="353"/>
      <c r="I66" s="354"/>
      <c r="J66" s="51" t="s">
        <v>165</v>
      </c>
      <c r="K66" s="203"/>
      <c r="L66" s="88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121"/>
      <c r="Y66" s="90"/>
      <c r="Z66" s="90"/>
      <c r="AA66" s="90"/>
      <c r="AB66" s="90"/>
      <c r="AC66" s="90"/>
      <c r="AD66" s="90"/>
      <c r="AE66" s="90"/>
      <c r="AF66" s="90"/>
      <c r="AG66" s="90"/>
      <c r="AH66" s="90"/>
      <c r="AI66" s="122"/>
      <c r="AJ66" s="90"/>
      <c r="AK66" s="90"/>
      <c r="AL66" s="90"/>
      <c r="AM66" s="90"/>
      <c r="AN66" s="90"/>
      <c r="AO66" s="90"/>
      <c r="AP66" s="90"/>
      <c r="AQ66" s="90"/>
      <c r="AR66" s="90"/>
      <c r="AS66" s="90"/>
      <c r="AT66" s="90"/>
      <c r="AU66" s="90"/>
      <c r="AV66" s="121"/>
      <c r="AW66" s="90"/>
      <c r="AX66" s="90"/>
      <c r="AY66" s="90"/>
      <c r="AZ66" s="90"/>
      <c r="BA66" s="90"/>
      <c r="BB66" s="90"/>
      <c r="BC66" s="90"/>
      <c r="BD66" s="90"/>
      <c r="BE66" s="90"/>
      <c r="BF66" s="90"/>
      <c r="BG66" s="122"/>
      <c r="BH66" s="90"/>
      <c r="BI66" s="90"/>
      <c r="BJ66" s="90"/>
      <c r="BK66" s="90"/>
      <c r="BL66" s="90"/>
      <c r="BM66" s="90"/>
      <c r="BN66" s="90"/>
      <c r="BO66" s="90"/>
      <c r="BP66" s="90"/>
      <c r="BQ66" s="90"/>
      <c r="BR66" s="90"/>
      <c r="BS66" s="90"/>
      <c r="BT66" s="121"/>
      <c r="BU66" s="90"/>
      <c r="BV66" s="90"/>
      <c r="BW66" s="90"/>
      <c r="BX66" s="90"/>
      <c r="BY66" s="90"/>
      <c r="BZ66" s="90"/>
      <c r="CA66" s="90"/>
      <c r="CB66" s="90"/>
      <c r="CC66" s="90"/>
      <c r="CD66" s="90"/>
      <c r="CE66" s="91"/>
    </row>
    <row r="67" spans="1:84" s="233" customFormat="1" ht="16.5" x14ac:dyDescent="0.45">
      <c r="A67" s="355"/>
      <c r="B67" s="355"/>
      <c r="C67" s="355"/>
      <c r="D67" s="323" t="s">
        <v>213</v>
      </c>
      <c r="E67" s="3"/>
      <c r="F67" s="350" t="s">
        <v>195</v>
      </c>
      <c r="G67" s="352"/>
      <c r="H67" s="352"/>
      <c r="I67" s="350" t="s">
        <v>189</v>
      </c>
      <c r="J67" s="80" t="s">
        <v>22</v>
      </c>
      <c r="K67" s="202">
        <f t="shared" ref="K67" si="11">AVERAGE(L67:CE67)</f>
        <v>9.7222222222222224E-2</v>
      </c>
      <c r="L67" s="64">
        <v>0</v>
      </c>
      <c r="M67" s="65">
        <v>0</v>
      </c>
      <c r="N67" s="65">
        <v>0</v>
      </c>
      <c r="O67" s="65">
        <v>0</v>
      </c>
      <c r="P67" s="65">
        <v>0</v>
      </c>
      <c r="Q67" s="65">
        <v>0</v>
      </c>
      <c r="R67" s="65">
        <v>0</v>
      </c>
      <c r="S67" s="65">
        <v>1</v>
      </c>
      <c r="T67" s="65">
        <v>0</v>
      </c>
      <c r="U67" s="65">
        <v>0</v>
      </c>
      <c r="V67" s="65">
        <v>0</v>
      </c>
      <c r="W67" s="65">
        <v>0</v>
      </c>
      <c r="X67" s="116">
        <v>0</v>
      </c>
      <c r="Y67" s="4">
        <v>1</v>
      </c>
      <c r="Z67" s="4">
        <v>0</v>
      </c>
      <c r="AA67" s="4">
        <v>0</v>
      </c>
      <c r="AB67" s="4">
        <v>0</v>
      </c>
      <c r="AC67" s="4">
        <v>0</v>
      </c>
      <c r="AD67" s="4">
        <v>0</v>
      </c>
      <c r="AE67" s="4">
        <v>0</v>
      </c>
      <c r="AF67" s="4">
        <v>0</v>
      </c>
      <c r="AG67" s="4">
        <v>1</v>
      </c>
      <c r="AH67" s="4">
        <v>0</v>
      </c>
      <c r="AI67" s="117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 s="4">
        <v>0</v>
      </c>
      <c r="AP67" s="4">
        <v>0</v>
      </c>
      <c r="AQ67" s="4">
        <v>0</v>
      </c>
      <c r="AR67" s="4">
        <v>0</v>
      </c>
      <c r="AS67" s="4">
        <v>0</v>
      </c>
      <c r="AT67" s="4">
        <v>0</v>
      </c>
      <c r="AU67" s="4">
        <v>1</v>
      </c>
      <c r="AV67" s="116">
        <v>1</v>
      </c>
      <c r="AW67" s="4">
        <v>0</v>
      </c>
      <c r="AX67" s="4">
        <v>0</v>
      </c>
      <c r="AY67" s="4">
        <v>0</v>
      </c>
      <c r="AZ67" s="4">
        <v>0</v>
      </c>
      <c r="BA67" s="4">
        <v>0</v>
      </c>
      <c r="BB67" s="4">
        <v>0</v>
      </c>
      <c r="BC67" s="4">
        <v>1</v>
      </c>
      <c r="BD67" s="4">
        <v>0</v>
      </c>
      <c r="BE67" s="4">
        <v>0</v>
      </c>
      <c r="BF67" s="4">
        <v>0</v>
      </c>
      <c r="BG67" s="117">
        <v>0</v>
      </c>
      <c r="BH67" s="4">
        <v>0</v>
      </c>
      <c r="BI67" s="4">
        <v>0</v>
      </c>
      <c r="BJ67" s="4">
        <v>0</v>
      </c>
      <c r="BK67" s="4">
        <v>0</v>
      </c>
      <c r="BL67" s="4">
        <v>0</v>
      </c>
      <c r="BM67" s="4">
        <v>0</v>
      </c>
      <c r="BN67" s="4">
        <v>0</v>
      </c>
      <c r="BO67" s="4">
        <v>0</v>
      </c>
      <c r="BP67" s="4">
        <v>0</v>
      </c>
      <c r="BQ67" s="4">
        <v>0</v>
      </c>
      <c r="BR67" s="4">
        <v>1</v>
      </c>
      <c r="BS67" s="4">
        <v>0</v>
      </c>
      <c r="BT67" s="116">
        <v>0</v>
      </c>
      <c r="BU67" s="4">
        <v>0</v>
      </c>
      <c r="BV67" s="4">
        <v>0</v>
      </c>
      <c r="BW67" s="4">
        <v>0</v>
      </c>
      <c r="BX67" s="4">
        <v>0</v>
      </c>
      <c r="BY67" s="4">
        <v>0</v>
      </c>
      <c r="BZ67" s="4">
        <v>0</v>
      </c>
      <c r="CA67" s="4">
        <v>0</v>
      </c>
      <c r="CB67" s="4">
        <v>0</v>
      </c>
      <c r="CC67" s="4">
        <v>0</v>
      </c>
      <c r="CD67" s="4">
        <v>0</v>
      </c>
      <c r="CE67" s="63">
        <v>0</v>
      </c>
      <c r="CF67" s="87"/>
    </row>
    <row r="68" spans="1:84" s="233" customFormat="1" ht="17" thickBot="1" x14ac:dyDescent="0.5">
      <c r="A68" s="355"/>
      <c r="B68" s="355"/>
      <c r="C68" s="355"/>
      <c r="D68" s="324" t="s">
        <v>219</v>
      </c>
      <c r="E68" s="3"/>
      <c r="F68" s="351"/>
      <c r="G68" s="353"/>
      <c r="H68" s="353"/>
      <c r="I68" s="354"/>
      <c r="J68" s="51" t="s">
        <v>165</v>
      </c>
      <c r="K68" s="203"/>
      <c r="L68" s="88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121"/>
      <c r="Y68" s="90"/>
      <c r="Z68" s="90"/>
      <c r="AA68" s="90"/>
      <c r="AB68" s="90"/>
      <c r="AC68" s="90"/>
      <c r="AD68" s="90"/>
      <c r="AE68" s="90"/>
      <c r="AF68" s="90"/>
      <c r="AG68" s="90"/>
      <c r="AH68" s="90"/>
      <c r="AI68" s="122"/>
      <c r="AJ68" s="90"/>
      <c r="AK68" s="90"/>
      <c r="AL68" s="90"/>
      <c r="AM68" s="90"/>
      <c r="AN68" s="90"/>
      <c r="AO68" s="90"/>
      <c r="AP68" s="90"/>
      <c r="AQ68" s="90"/>
      <c r="AR68" s="90"/>
      <c r="AS68" s="90"/>
      <c r="AT68" s="90"/>
      <c r="AU68" s="90"/>
      <c r="AV68" s="121"/>
      <c r="AW68" s="90"/>
      <c r="AX68" s="90"/>
      <c r="AY68" s="90"/>
      <c r="AZ68" s="90"/>
      <c r="BA68" s="90"/>
      <c r="BB68" s="90"/>
      <c r="BC68" s="90"/>
      <c r="BD68" s="90"/>
      <c r="BE68" s="90"/>
      <c r="BF68" s="90"/>
      <c r="BG68" s="122"/>
      <c r="BH68" s="90"/>
      <c r="BI68" s="90"/>
      <c r="BJ68" s="90"/>
      <c r="BK68" s="90"/>
      <c r="BL68" s="90"/>
      <c r="BM68" s="90"/>
      <c r="BN68" s="90"/>
      <c r="BO68" s="90"/>
      <c r="BP68" s="90"/>
      <c r="BQ68" s="90"/>
      <c r="BR68" s="90"/>
      <c r="BS68" s="90"/>
      <c r="BT68" s="121"/>
      <c r="BU68" s="90"/>
      <c r="BV68" s="90"/>
      <c r="BW68" s="90"/>
      <c r="BX68" s="90"/>
      <c r="BY68" s="90"/>
      <c r="BZ68" s="90"/>
      <c r="CA68" s="90"/>
      <c r="CB68" s="90"/>
      <c r="CC68" s="90"/>
      <c r="CD68" s="90"/>
      <c r="CE68" s="91"/>
    </row>
    <row r="69" spans="1:84" s="233" customFormat="1" ht="16.5" x14ac:dyDescent="0.45">
      <c r="A69" s="355"/>
      <c r="B69" s="355"/>
      <c r="C69" s="355"/>
      <c r="D69" s="323" t="s">
        <v>214</v>
      </c>
      <c r="E69" s="3"/>
      <c r="F69" s="350" t="s">
        <v>195</v>
      </c>
      <c r="G69" s="352"/>
      <c r="H69" s="352"/>
      <c r="I69" s="350" t="s">
        <v>189</v>
      </c>
      <c r="J69" s="80" t="s">
        <v>22</v>
      </c>
      <c r="K69" s="202">
        <f t="shared" ref="K69" si="12">AVERAGE(L69:CE69)</f>
        <v>0.40277777777777779</v>
      </c>
      <c r="L69" s="64">
        <v>0</v>
      </c>
      <c r="M69" s="65">
        <v>0</v>
      </c>
      <c r="N69" s="65">
        <v>0</v>
      </c>
      <c r="O69" s="65">
        <v>1</v>
      </c>
      <c r="P69" s="65">
        <v>2</v>
      </c>
      <c r="Q69" s="65">
        <v>1</v>
      </c>
      <c r="R69" s="65">
        <v>1</v>
      </c>
      <c r="S69" s="65">
        <v>0</v>
      </c>
      <c r="T69" s="65">
        <v>0</v>
      </c>
      <c r="U69" s="65">
        <v>1</v>
      </c>
      <c r="V69" s="65">
        <v>0</v>
      </c>
      <c r="W69" s="65">
        <v>0</v>
      </c>
      <c r="X69" s="116">
        <v>1</v>
      </c>
      <c r="Y69" s="4">
        <v>0</v>
      </c>
      <c r="Z69" s="4">
        <v>0</v>
      </c>
      <c r="AA69" s="4">
        <v>1</v>
      </c>
      <c r="AB69" s="4">
        <v>0</v>
      </c>
      <c r="AC69" s="4">
        <v>1</v>
      </c>
      <c r="AD69" s="4">
        <v>0</v>
      </c>
      <c r="AE69" s="4">
        <v>0</v>
      </c>
      <c r="AF69" s="4">
        <v>0</v>
      </c>
      <c r="AG69" s="4">
        <v>1</v>
      </c>
      <c r="AH69" s="4">
        <v>1</v>
      </c>
      <c r="AI69" s="117">
        <v>0</v>
      </c>
      <c r="AJ69" s="4">
        <v>1</v>
      </c>
      <c r="AK69" s="4">
        <v>0</v>
      </c>
      <c r="AL69" s="4">
        <v>0</v>
      </c>
      <c r="AM69" s="4">
        <v>1</v>
      </c>
      <c r="AN69" s="4">
        <v>0</v>
      </c>
      <c r="AO69" s="4">
        <v>0</v>
      </c>
      <c r="AP69" s="4">
        <v>0</v>
      </c>
      <c r="AQ69" s="4">
        <v>0</v>
      </c>
      <c r="AR69" s="4">
        <v>1</v>
      </c>
      <c r="AS69" s="4">
        <v>0</v>
      </c>
      <c r="AT69" s="4">
        <v>1</v>
      </c>
      <c r="AU69" s="4">
        <v>0</v>
      </c>
      <c r="AV69" s="116">
        <v>0</v>
      </c>
      <c r="AW69" s="4">
        <v>0</v>
      </c>
      <c r="AX69" s="4">
        <v>0</v>
      </c>
      <c r="AY69" s="4">
        <v>0</v>
      </c>
      <c r="AZ69" s="4">
        <v>1</v>
      </c>
      <c r="BA69" s="4">
        <v>0</v>
      </c>
      <c r="BB69" s="4">
        <v>1</v>
      </c>
      <c r="BC69" s="4">
        <v>1</v>
      </c>
      <c r="BD69" s="4">
        <v>0</v>
      </c>
      <c r="BE69" s="4">
        <v>1</v>
      </c>
      <c r="BF69" s="4">
        <v>1</v>
      </c>
      <c r="BG69" s="117">
        <v>1</v>
      </c>
      <c r="BH69" s="4">
        <v>0</v>
      </c>
      <c r="BI69" s="4">
        <v>1</v>
      </c>
      <c r="BJ69" s="4">
        <v>0</v>
      </c>
      <c r="BK69" s="4">
        <v>1</v>
      </c>
      <c r="BL69" s="4">
        <v>0</v>
      </c>
      <c r="BM69" s="4">
        <v>1</v>
      </c>
      <c r="BN69" s="4">
        <v>1</v>
      </c>
      <c r="BO69" s="4">
        <v>1</v>
      </c>
      <c r="BP69" s="4">
        <v>0</v>
      </c>
      <c r="BQ69" s="4">
        <v>0</v>
      </c>
      <c r="BR69" s="4">
        <v>0</v>
      </c>
      <c r="BS69" s="4">
        <v>0</v>
      </c>
      <c r="BT69" s="116">
        <v>0</v>
      </c>
      <c r="BU69" s="4">
        <v>0</v>
      </c>
      <c r="BV69" s="4">
        <v>0</v>
      </c>
      <c r="BW69" s="4">
        <v>0</v>
      </c>
      <c r="BX69" s="4">
        <v>0</v>
      </c>
      <c r="BY69" s="4">
        <v>1</v>
      </c>
      <c r="BZ69" s="4">
        <v>1</v>
      </c>
      <c r="CA69" s="4">
        <v>0</v>
      </c>
      <c r="CB69" s="4">
        <v>0</v>
      </c>
      <c r="CC69" s="4">
        <v>1</v>
      </c>
      <c r="CD69" s="4">
        <v>0</v>
      </c>
      <c r="CE69" s="63">
        <v>0</v>
      </c>
      <c r="CF69" s="87"/>
    </row>
    <row r="70" spans="1:84" s="233" customFormat="1" ht="17" thickBot="1" x14ac:dyDescent="0.5">
      <c r="A70" s="355"/>
      <c r="B70" s="355"/>
      <c r="C70" s="355"/>
      <c r="D70" s="324" t="s">
        <v>217</v>
      </c>
      <c r="E70" s="3"/>
      <c r="F70" s="351"/>
      <c r="G70" s="353"/>
      <c r="H70" s="353"/>
      <c r="I70" s="354"/>
      <c r="J70" s="51" t="s">
        <v>165</v>
      </c>
      <c r="K70" s="203"/>
      <c r="L70" s="88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121"/>
      <c r="Y70" s="90"/>
      <c r="Z70" s="90"/>
      <c r="AA70" s="90"/>
      <c r="AB70" s="90"/>
      <c r="AC70" s="90"/>
      <c r="AD70" s="90"/>
      <c r="AE70" s="90"/>
      <c r="AF70" s="90"/>
      <c r="AG70" s="90"/>
      <c r="AH70" s="90"/>
      <c r="AI70" s="122"/>
      <c r="AJ70" s="90"/>
      <c r="AK70" s="90"/>
      <c r="AL70" s="90"/>
      <c r="AM70" s="90"/>
      <c r="AN70" s="90"/>
      <c r="AO70" s="90"/>
      <c r="AP70" s="90"/>
      <c r="AQ70" s="90"/>
      <c r="AR70" s="90"/>
      <c r="AS70" s="90"/>
      <c r="AT70" s="90"/>
      <c r="AU70" s="90"/>
      <c r="AV70" s="121"/>
      <c r="AW70" s="90"/>
      <c r="AX70" s="90"/>
      <c r="AY70" s="90"/>
      <c r="AZ70" s="90"/>
      <c r="BA70" s="90"/>
      <c r="BB70" s="90"/>
      <c r="BC70" s="90"/>
      <c r="BD70" s="90"/>
      <c r="BE70" s="90"/>
      <c r="BF70" s="90"/>
      <c r="BG70" s="122"/>
      <c r="BH70" s="90"/>
      <c r="BI70" s="90"/>
      <c r="BJ70" s="90"/>
      <c r="BK70" s="90"/>
      <c r="BL70" s="90"/>
      <c r="BM70" s="90"/>
      <c r="BN70" s="90"/>
      <c r="BO70" s="90"/>
      <c r="BP70" s="90"/>
      <c r="BQ70" s="90"/>
      <c r="BR70" s="90"/>
      <c r="BS70" s="90"/>
      <c r="BT70" s="121"/>
      <c r="BU70" s="90"/>
      <c r="BV70" s="90"/>
      <c r="BW70" s="90"/>
      <c r="BX70" s="90"/>
      <c r="BY70" s="90"/>
      <c r="BZ70" s="90"/>
      <c r="CA70" s="90"/>
      <c r="CB70" s="90"/>
      <c r="CC70" s="90"/>
      <c r="CD70" s="90"/>
      <c r="CE70" s="91"/>
    </row>
    <row r="71" spans="1:84" s="233" customFormat="1" ht="16.5" x14ac:dyDescent="0.45">
      <c r="A71" s="355"/>
      <c r="B71" s="355"/>
      <c r="C71" s="355"/>
      <c r="D71" s="461" t="s">
        <v>215</v>
      </c>
      <c r="E71" s="3"/>
      <c r="F71" s="350" t="s">
        <v>195</v>
      </c>
      <c r="G71" s="352"/>
      <c r="H71" s="352"/>
      <c r="I71" s="350" t="s">
        <v>189</v>
      </c>
      <c r="J71" s="80" t="s">
        <v>22</v>
      </c>
      <c r="K71" s="202">
        <f t="shared" ref="K71" si="13">AVERAGE(L71:CE71)</f>
        <v>0.20833333333333334</v>
      </c>
      <c r="L71" s="64">
        <v>0</v>
      </c>
      <c r="M71" s="65">
        <v>0</v>
      </c>
      <c r="N71" s="65">
        <v>1</v>
      </c>
      <c r="O71" s="65">
        <v>0</v>
      </c>
      <c r="P71" s="65">
        <v>0</v>
      </c>
      <c r="Q71" s="65">
        <v>0</v>
      </c>
      <c r="R71" s="65">
        <v>0</v>
      </c>
      <c r="S71" s="65">
        <v>0</v>
      </c>
      <c r="T71" s="65">
        <v>1</v>
      </c>
      <c r="U71" s="65">
        <v>0</v>
      </c>
      <c r="V71" s="65">
        <v>1</v>
      </c>
      <c r="W71" s="65">
        <v>0</v>
      </c>
      <c r="X71" s="116">
        <v>0</v>
      </c>
      <c r="Y71" s="4">
        <v>0</v>
      </c>
      <c r="Z71" s="4">
        <v>1</v>
      </c>
      <c r="AA71" s="4">
        <v>0</v>
      </c>
      <c r="AB71" s="4">
        <v>0</v>
      </c>
      <c r="AC71" s="4">
        <v>0</v>
      </c>
      <c r="AD71" s="4">
        <v>0</v>
      </c>
      <c r="AE71" s="4">
        <v>0</v>
      </c>
      <c r="AF71" s="4">
        <v>0</v>
      </c>
      <c r="AG71" s="4">
        <v>0</v>
      </c>
      <c r="AH71" s="4">
        <v>0</v>
      </c>
      <c r="AI71" s="117">
        <v>0</v>
      </c>
      <c r="AJ71" s="4">
        <v>0</v>
      </c>
      <c r="AK71" s="4">
        <v>1</v>
      </c>
      <c r="AL71" s="4">
        <v>0</v>
      </c>
      <c r="AM71" s="4">
        <v>0</v>
      </c>
      <c r="AN71" s="4">
        <v>0</v>
      </c>
      <c r="AO71" s="4">
        <v>0</v>
      </c>
      <c r="AP71" s="4">
        <v>0</v>
      </c>
      <c r="AQ71" s="4">
        <v>0</v>
      </c>
      <c r="AR71" s="4">
        <v>1</v>
      </c>
      <c r="AS71" s="4">
        <v>0</v>
      </c>
      <c r="AT71" s="4">
        <v>0</v>
      </c>
      <c r="AU71" s="4">
        <v>0</v>
      </c>
      <c r="AV71" s="116">
        <v>0</v>
      </c>
      <c r="AW71" s="4">
        <v>1</v>
      </c>
      <c r="AX71" s="4">
        <v>1</v>
      </c>
      <c r="AY71" s="4">
        <v>0</v>
      </c>
      <c r="AZ71" s="4">
        <v>1</v>
      </c>
      <c r="BA71" s="4">
        <v>0</v>
      </c>
      <c r="BB71" s="4">
        <v>1</v>
      </c>
      <c r="BC71" s="4">
        <v>0</v>
      </c>
      <c r="BD71" s="4">
        <v>0</v>
      </c>
      <c r="BE71" s="4">
        <v>0</v>
      </c>
      <c r="BF71" s="4">
        <v>1</v>
      </c>
      <c r="BG71" s="117">
        <v>0</v>
      </c>
      <c r="BH71" s="4">
        <v>0</v>
      </c>
      <c r="BI71" s="4">
        <v>0</v>
      </c>
      <c r="BJ71" s="4">
        <v>1</v>
      </c>
      <c r="BK71" s="4">
        <v>0</v>
      </c>
      <c r="BL71" s="4">
        <v>0</v>
      </c>
      <c r="BM71" s="4">
        <v>0</v>
      </c>
      <c r="BN71" s="4">
        <v>0</v>
      </c>
      <c r="BO71" s="4">
        <v>1</v>
      </c>
      <c r="BP71" s="4">
        <v>1</v>
      </c>
      <c r="BQ71" s="4">
        <v>0</v>
      </c>
      <c r="BR71" s="4">
        <v>0</v>
      </c>
      <c r="BS71" s="4">
        <v>1</v>
      </c>
      <c r="BT71" s="116">
        <v>0</v>
      </c>
      <c r="BU71" s="4">
        <v>0</v>
      </c>
      <c r="BV71" s="4">
        <v>0</v>
      </c>
      <c r="BW71" s="4">
        <v>0</v>
      </c>
      <c r="BX71" s="4">
        <v>0</v>
      </c>
      <c r="BY71" s="4">
        <v>0</v>
      </c>
      <c r="BZ71" s="4">
        <v>0</v>
      </c>
      <c r="CA71" s="4">
        <v>0</v>
      </c>
      <c r="CB71" s="4">
        <v>0</v>
      </c>
      <c r="CC71" s="4">
        <v>0</v>
      </c>
      <c r="CD71" s="4">
        <v>0</v>
      </c>
      <c r="CE71" s="63">
        <v>0</v>
      </c>
      <c r="CF71" s="87"/>
    </row>
    <row r="72" spans="1:84" s="233" customFormat="1" ht="17" thickBot="1" x14ac:dyDescent="0.5">
      <c r="A72" s="355"/>
      <c r="B72" s="355"/>
      <c r="C72" s="355"/>
      <c r="D72" s="463"/>
      <c r="E72" s="3"/>
      <c r="F72" s="351"/>
      <c r="G72" s="353"/>
      <c r="H72" s="353"/>
      <c r="I72" s="354"/>
      <c r="J72" s="51" t="s">
        <v>165</v>
      </c>
      <c r="K72" s="203"/>
      <c r="L72" s="88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121"/>
      <c r="Y72" s="90"/>
      <c r="Z72" s="90"/>
      <c r="AA72" s="90"/>
      <c r="AB72" s="90"/>
      <c r="AC72" s="90"/>
      <c r="AD72" s="90"/>
      <c r="AE72" s="90"/>
      <c r="AF72" s="90"/>
      <c r="AG72" s="90"/>
      <c r="AH72" s="90"/>
      <c r="AI72" s="122"/>
      <c r="AJ72" s="90"/>
      <c r="AK72" s="90"/>
      <c r="AL72" s="90"/>
      <c r="AM72" s="90"/>
      <c r="AN72" s="90"/>
      <c r="AO72" s="90"/>
      <c r="AP72" s="90"/>
      <c r="AQ72" s="90"/>
      <c r="AR72" s="90"/>
      <c r="AS72" s="90"/>
      <c r="AT72" s="90"/>
      <c r="AU72" s="90"/>
      <c r="AV72" s="121"/>
      <c r="AW72" s="90"/>
      <c r="AX72" s="90"/>
      <c r="AY72" s="90"/>
      <c r="AZ72" s="90"/>
      <c r="BA72" s="90"/>
      <c r="BB72" s="90"/>
      <c r="BC72" s="90"/>
      <c r="BD72" s="90"/>
      <c r="BE72" s="90"/>
      <c r="BF72" s="90"/>
      <c r="BG72" s="122"/>
      <c r="BH72" s="90"/>
      <c r="BI72" s="90"/>
      <c r="BJ72" s="90"/>
      <c r="BK72" s="90"/>
      <c r="BL72" s="90"/>
      <c r="BM72" s="90"/>
      <c r="BN72" s="90"/>
      <c r="BO72" s="90"/>
      <c r="BP72" s="90"/>
      <c r="BQ72" s="90"/>
      <c r="BR72" s="90"/>
      <c r="BS72" s="90"/>
      <c r="BT72" s="121"/>
      <c r="BU72" s="90"/>
      <c r="BV72" s="90"/>
      <c r="BW72" s="90"/>
      <c r="BX72" s="90"/>
      <c r="BY72" s="90"/>
      <c r="BZ72" s="90"/>
      <c r="CA72" s="90"/>
      <c r="CB72" s="90"/>
      <c r="CC72" s="90"/>
      <c r="CD72" s="90"/>
      <c r="CE72" s="91"/>
    </row>
    <row r="73" spans="1:84" s="233" customFormat="1" ht="17" thickBot="1" x14ac:dyDescent="0.5">
      <c r="A73" s="355"/>
      <c r="B73" s="355"/>
      <c r="C73" s="355"/>
      <c r="D73" s="461" t="s">
        <v>216</v>
      </c>
      <c r="E73" s="3"/>
      <c r="F73" s="350" t="s">
        <v>195</v>
      </c>
      <c r="G73" s="352"/>
      <c r="H73" s="352"/>
      <c r="I73" s="350" t="s">
        <v>189</v>
      </c>
      <c r="J73" s="80" t="s">
        <v>22</v>
      </c>
      <c r="K73" s="202">
        <f t="shared" ref="K73:K95" si="14">AVERAGE(L73:CE73)</f>
        <v>0.1111111111111111</v>
      </c>
      <c r="L73" s="64">
        <v>0</v>
      </c>
      <c r="M73" s="65">
        <v>0</v>
      </c>
      <c r="N73" s="65">
        <v>0</v>
      </c>
      <c r="O73" s="65">
        <v>0</v>
      </c>
      <c r="P73" s="65">
        <v>0</v>
      </c>
      <c r="Q73" s="65">
        <v>0</v>
      </c>
      <c r="R73" s="65">
        <v>0</v>
      </c>
      <c r="S73" s="65">
        <v>0</v>
      </c>
      <c r="T73" s="65">
        <v>0</v>
      </c>
      <c r="U73" s="65">
        <v>0</v>
      </c>
      <c r="V73" s="65">
        <v>0</v>
      </c>
      <c r="W73" s="65">
        <v>0</v>
      </c>
      <c r="X73" s="116">
        <v>0</v>
      </c>
      <c r="Y73" s="4">
        <v>0</v>
      </c>
      <c r="Z73" s="4">
        <v>0</v>
      </c>
      <c r="AA73" s="4">
        <v>0</v>
      </c>
      <c r="AB73" s="4">
        <v>0</v>
      </c>
      <c r="AC73" s="4">
        <v>0</v>
      </c>
      <c r="AD73" s="4">
        <v>0</v>
      </c>
      <c r="AE73" s="4">
        <v>0</v>
      </c>
      <c r="AF73" s="4">
        <v>0</v>
      </c>
      <c r="AG73" s="4">
        <v>0</v>
      </c>
      <c r="AH73" s="4">
        <v>1</v>
      </c>
      <c r="AI73" s="117">
        <v>1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4">
        <v>1</v>
      </c>
      <c r="AQ73" s="4">
        <v>0</v>
      </c>
      <c r="AR73" s="4">
        <v>0</v>
      </c>
      <c r="AS73" s="4">
        <v>0</v>
      </c>
      <c r="AT73" s="4">
        <v>0</v>
      </c>
      <c r="AU73" s="4">
        <v>1</v>
      </c>
      <c r="AV73" s="116">
        <v>0</v>
      </c>
      <c r="AW73" s="4">
        <v>0</v>
      </c>
      <c r="AX73" s="4">
        <v>0</v>
      </c>
      <c r="AY73" s="4">
        <v>0</v>
      </c>
      <c r="AZ73" s="4">
        <v>1</v>
      </c>
      <c r="BA73" s="4">
        <v>0</v>
      </c>
      <c r="BB73" s="4">
        <v>0</v>
      </c>
      <c r="BC73" s="4">
        <v>0</v>
      </c>
      <c r="BD73" s="4">
        <v>0</v>
      </c>
      <c r="BE73" s="4">
        <v>2</v>
      </c>
      <c r="BF73" s="4">
        <v>0</v>
      </c>
      <c r="BG73" s="117">
        <v>0</v>
      </c>
      <c r="BH73" s="4">
        <v>0</v>
      </c>
      <c r="BI73" s="4">
        <v>0</v>
      </c>
      <c r="BJ73" s="4">
        <v>1</v>
      </c>
      <c r="BK73" s="4">
        <v>0</v>
      </c>
      <c r="BL73" s="4">
        <v>0</v>
      </c>
      <c r="BM73" s="4">
        <v>0</v>
      </c>
      <c r="BN73" s="4">
        <v>0</v>
      </c>
      <c r="BO73" s="4">
        <v>0</v>
      </c>
      <c r="BP73" s="4">
        <v>0</v>
      </c>
      <c r="BQ73" s="4">
        <v>0</v>
      </c>
      <c r="BR73" s="4">
        <v>0</v>
      </c>
      <c r="BS73" s="4">
        <v>0</v>
      </c>
      <c r="BT73" s="116">
        <v>0</v>
      </c>
      <c r="BU73" s="4">
        <v>0</v>
      </c>
      <c r="BV73" s="4">
        <v>0</v>
      </c>
      <c r="BW73" s="4">
        <v>0</v>
      </c>
      <c r="BX73" s="4">
        <v>0</v>
      </c>
      <c r="BY73" s="4">
        <v>0</v>
      </c>
      <c r="BZ73" s="4">
        <v>0</v>
      </c>
      <c r="CA73" s="4">
        <v>0</v>
      </c>
      <c r="CB73" s="4">
        <v>0</v>
      </c>
      <c r="CC73" s="4">
        <v>0</v>
      </c>
      <c r="CD73" s="4">
        <v>0</v>
      </c>
      <c r="CE73" s="63">
        <v>0</v>
      </c>
      <c r="CF73" s="87"/>
    </row>
    <row r="74" spans="1:84" s="233" customFormat="1" ht="17" thickBot="1" x14ac:dyDescent="0.5">
      <c r="A74" s="355"/>
      <c r="B74" s="355"/>
      <c r="C74" s="355"/>
      <c r="D74" s="463"/>
      <c r="E74" s="3"/>
      <c r="F74" s="351"/>
      <c r="G74" s="353"/>
      <c r="H74" s="353"/>
      <c r="I74" s="354"/>
      <c r="J74" s="51" t="s">
        <v>165</v>
      </c>
      <c r="K74" s="202"/>
      <c r="L74" s="64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116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117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116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117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116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63"/>
    </row>
    <row r="75" spans="1:84" ht="17" thickBot="1" x14ac:dyDescent="0.5">
      <c r="A75" s="355"/>
      <c r="B75" s="355"/>
      <c r="C75" s="355"/>
      <c r="D75" s="461" t="s">
        <v>410</v>
      </c>
      <c r="E75" s="3"/>
      <c r="F75" s="350" t="s">
        <v>195</v>
      </c>
      <c r="G75" s="352"/>
      <c r="H75" s="352"/>
      <c r="I75" s="350" t="s">
        <v>189</v>
      </c>
      <c r="J75" s="80" t="s">
        <v>22</v>
      </c>
      <c r="K75" s="202">
        <f t="shared" si="14"/>
        <v>0.18055555555555555</v>
      </c>
      <c r="L75" s="47">
        <v>0</v>
      </c>
      <c r="M75" s="48">
        <v>0</v>
      </c>
      <c r="N75" s="48">
        <v>0</v>
      </c>
      <c r="O75" s="48">
        <v>0</v>
      </c>
      <c r="P75" s="48">
        <v>0</v>
      </c>
      <c r="Q75" s="48">
        <v>1</v>
      </c>
      <c r="R75" s="48">
        <v>0</v>
      </c>
      <c r="S75" s="48">
        <v>0</v>
      </c>
      <c r="T75" s="48">
        <v>0</v>
      </c>
      <c r="U75" s="48">
        <v>0</v>
      </c>
      <c r="V75" s="48">
        <v>1</v>
      </c>
      <c r="W75" s="48">
        <v>0</v>
      </c>
      <c r="X75" s="123">
        <v>0</v>
      </c>
      <c r="Y75" s="49">
        <v>0</v>
      </c>
      <c r="Z75" s="49">
        <v>0</v>
      </c>
      <c r="AA75" s="49">
        <v>0</v>
      </c>
      <c r="AB75" s="49">
        <v>0</v>
      </c>
      <c r="AC75" s="49">
        <v>1</v>
      </c>
      <c r="AD75" s="49">
        <v>0</v>
      </c>
      <c r="AE75" s="49">
        <v>0</v>
      </c>
      <c r="AF75" s="49">
        <v>0</v>
      </c>
      <c r="AG75" s="49">
        <v>1</v>
      </c>
      <c r="AH75" s="49">
        <v>0</v>
      </c>
      <c r="AI75" s="124">
        <v>0</v>
      </c>
      <c r="AJ75" s="49">
        <v>0</v>
      </c>
      <c r="AK75" s="49">
        <v>0</v>
      </c>
      <c r="AL75" s="49">
        <v>0</v>
      </c>
      <c r="AM75" s="49">
        <v>0</v>
      </c>
      <c r="AN75" s="49">
        <v>0</v>
      </c>
      <c r="AO75" s="49">
        <v>0</v>
      </c>
      <c r="AP75" s="49">
        <v>0</v>
      </c>
      <c r="AQ75" s="49">
        <v>0</v>
      </c>
      <c r="AR75" s="49">
        <v>0</v>
      </c>
      <c r="AS75" s="49">
        <v>0</v>
      </c>
      <c r="AT75" s="49">
        <v>0</v>
      </c>
      <c r="AU75" s="49">
        <v>1</v>
      </c>
      <c r="AV75" s="123">
        <v>0</v>
      </c>
      <c r="AW75" s="49">
        <v>0</v>
      </c>
      <c r="AX75" s="49">
        <v>1</v>
      </c>
      <c r="AY75" s="49">
        <v>1</v>
      </c>
      <c r="AZ75" s="49">
        <v>1</v>
      </c>
      <c r="BA75" s="49">
        <v>0</v>
      </c>
      <c r="BB75" s="49">
        <v>0</v>
      </c>
      <c r="BC75" s="49">
        <v>0</v>
      </c>
      <c r="BD75" s="49">
        <v>0</v>
      </c>
      <c r="BE75" s="49">
        <v>0</v>
      </c>
      <c r="BF75" s="49">
        <v>1</v>
      </c>
      <c r="BG75" s="124">
        <v>0</v>
      </c>
      <c r="BH75" s="123">
        <v>0</v>
      </c>
      <c r="BI75" s="49">
        <v>0</v>
      </c>
      <c r="BJ75" s="49">
        <v>0</v>
      </c>
      <c r="BK75" s="49">
        <v>0</v>
      </c>
      <c r="BL75" s="49">
        <v>0</v>
      </c>
      <c r="BM75" s="49">
        <v>0</v>
      </c>
      <c r="BN75" s="49">
        <v>1</v>
      </c>
      <c r="BO75" s="49">
        <v>0</v>
      </c>
      <c r="BP75" s="49">
        <v>0</v>
      </c>
      <c r="BQ75" s="49">
        <v>0</v>
      </c>
      <c r="BR75" s="49">
        <v>0</v>
      </c>
      <c r="BS75" s="124">
        <v>0</v>
      </c>
      <c r="BT75" s="49">
        <v>0</v>
      </c>
      <c r="BU75" s="49">
        <v>0</v>
      </c>
      <c r="BV75" s="49">
        <v>0</v>
      </c>
      <c r="BW75" s="49">
        <v>0</v>
      </c>
      <c r="BX75" s="49">
        <v>1</v>
      </c>
      <c r="BY75" s="49">
        <v>0</v>
      </c>
      <c r="BZ75" s="49">
        <v>1</v>
      </c>
      <c r="CA75" s="49">
        <v>0</v>
      </c>
      <c r="CB75" s="49">
        <v>0</v>
      </c>
      <c r="CC75" s="49">
        <v>0</v>
      </c>
      <c r="CD75" s="49">
        <v>0</v>
      </c>
      <c r="CE75" s="124">
        <v>1</v>
      </c>
    </row>
    <row r="76" spans="1:84" ht="17" thickBot="1" x14ac:dyDescent="0.5">
      <c r="A76" s="355"/>
      <c r="B76" s="355"/>
      <c r="C76" s="355"/>
      <c r="D76" s="463"/>
      <c r="E76" s="3"/>
      <c r="F76" s="351"/>
      <c r="G76" s="353"/>
      <c r="H76" s="353"/>
      <c r="I76" s="354"/>
      <c r="J76" s="51" t="s">
        <v>165</v>
      </c>
      <c r="K76" s="202"/>
      <c r="L76" s="88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121"/>
      <c r="Y76" s="90"/>
      <c r="Z76" s="90"/>
      <c r="AA76" s="90"/>
      <c r="AB76" s="90"/>
      <c r="AC76" s="90"/>
      <c r="AD76" s="90"/>
      <c r="AE76" s="90"/>
      <c r="AF76" s="90"/>
      <c r="AG76" s="90"/>
      <c r="AH76" s="90"/>
      <c r="AI76" s="122"/>
      <c r="AJ76" s="90"/>
      <c r="AK76" s="90"/>
      <c r="AL76" s="90"/>
      <c r="AM76" s="90"/>
      <c r="AN76" s="90"/>
      <c r="AO76" s="90"/>
      <c r="AP76" s="90"/>
      <c r="AQ76" s="90"/>
      <c r="AR76" s="90"/>
      <c r="AS76" s="90"/>
      <c r="AT76" s="90"/>
      <c r="AU76" s="90"/>
      <c r="AV76" s="121"/>
      <c r="AW76" s="90"/>
      <c r="AX76" s="90"/>
      <c r="AY76" s="90"/>
      <c r="AZ76" s="90"/>
      <c r="BA76" s="90"/>
      <c r="BB76" s="90"/>
      <c r="BC76" s="90"/>
      <c r="BD76" s="90"/>
      <c r="BE76" s="90"/>
      <c r="BF76" s="90"/>
      <c r="BG76" s="122"/>
      <c r="BH76" s="121"/>
      <c r="BI76" s="90"/>
      <c r="BJ76" s="90"/>
      <c r="BK76" s="90"/>
      <c r="BL76" s="90"/>
      <c r="BM76" s="90"/>
      <c r="BN76" s="90"/>
      <c r="BO76" s="90"/>
      <c r="BP76" s="90"/>
      <c r="BQ76" s="90"/>
      <c r="BR76" s="90"/>
      <c r="BS76" s="122"/>
      <c r="BT76" s="90"/>
      <c r="BU76" s="90"/>
      <c r="BV76" s="90"/>
      <c r="BW76" s="90"/>
      <c r="BX76" s="90"/>
      <c r="BY76" s="90"/>
      <c r="BZ76" s="90"/>
      <c r="CA76" s="90"/>
      <c r="CB76" s="90"/>
      <c r="CC76" s="90"/>
      <c r="CD76" s="90"/>
      <c r="CE76" s="122"/>
    </row>
    <row r="77" spans="1:84" ht="17" thickBot="1" x14ac:dyDescent="0.5">
      <c r="A77" s="355"/>
      <c r="B77" s="355"/>
      <c r="C77" s="352" t="s">
        <v>411</v>
      </c>
      <c r="D77" s="461" t="s">
        <v>413</v>
      </c>
      <c r="E77" s="3"/>
      <c r="F77" s="350" t="s">
        <v>195</v>
      </c>
      <c r="G77" s="352"/>
      <c r="H77" s="352"/>
      <c r="I77" s="350" t="s">
        <v>189</v>
      </c>
      <c r="J77" s="80" t="s">
        <v>22</v>
      </c>
      <c r="K77" s="202">
        <f t="shared" si="14"/>
        <v>0.18055555555555555</v>
      </c>
      <c r="L77" s="64">
        <v>0</v>
      </c>
      <c r="M77" s="65">
        <v>0</v>
      </c>
      <c r="N77" s="65">
        <v>0</v>
      </c>
      <c r="O77" s="65">
        <v>0</v>
      </c>
      <c r="P77" s="65">
        <v>0</v>
      </c>
      <c r="Q77" s="65">
        <v>0</v>
      </c>
      <c r="R77" s="65">
        <v>0</v>
      </c>
      <c r="S77" s="65">
        <v>0</v>
      </c>
      <c r="T77" s="65">
        <v>0</v>
      </c>
      <c r="U77" s="65">
        <v>1</v>
      </c>
      <c r="V77" s="65">
        <v>0</v>
      </c>
      <c r="W77" s="65">
        <v>1</v>
      </c>
      <c r="X77" s="116">
        <v>0</v>
      </c>
      <c r="Y77" s="4">
        <v>1</v>
      </c>
      <c r="Z77" s="4">
        <v>0</v>
      </c>
      <c r="AA77" s="4">
        <v>1</v>
      </c>
      <c r="AB77" s="4">
        <v>0</v>
      </c>
      <c r="AC77" s="4">
        <v>0</v>
      </c>
      <c r="AD77" s="4">
        <v>1</v>
      </c>
      <c r="AE77" s="4">
        <v>1</v>
      </c>
      <c r="AF77" s="4">
        <v>0</v>
      </c>
      <c r="AG77" s="4">
        <v>0</v>
      </c>
      <c r="AH77" s="4">
        <v>0</v>
      </c>
      <c r="AI77" s="117">
        <v>0</v>
      </c>
      <c r="AJ77" s="4">
        <v>2</v>
      </c>
      <c r="AK77" s="4">
        <v>0</v>
      </c>
      <c r="AL77" s="4">
        <v>2</v>
      </c>
      <c r="AM77" s="4">
        <v>0</v>
      </c>
      <c r="AN77" s="4">
        <v>0</v>
      </c>
      <c r="AO77" s="4">
        <v>0</v>
      </c>
      <c r="AP77" s="4">
        <v>0</v>
      </c>
      <c r="AQ77" s="4">
        <v>1</v>
      </c>
      <c r="AR77" s="4">
        <v>0</v>
      </c>
      <c r="AS77" s="4">
        <v>0</v>
      </c>
      <c r="AT77" s="4">
        <v>0</v>
      </c>
      <c r="AU77" s="4">
        <v>0</v>
      </c>
      <c r="AV77" s="116">
        <v>0</v>
      </c>
      <c r="AW77" s="4">
        <v>0</v>
      </c>
      <c r="AX77" s="4">
        <v>1</v>
      </c>
      <c r="AY77" s="4">
        <v>0</v>
      </c>
      <c r="AZ77" s="4">
        <v>0</v>
      </c>
      <c r="BA77" s="4">
        <v>0</v>
      </c>
      <c r="BB77" s="4">
        <v>0</v>
      </c>
      <c r="BC77" s="4">
        <v>0</v>
      </c>
      <c r="BD77" s="4">
        <v>0</v>
      </c>
      <c r="BE77" s="4">
        <v>0</v>
      </c>
      <c r="BF77" s="4">
        <v>0</v>
      </c>
      <c r="BG77" s="117">
        <v>0</v>
      </c>
      <c r="BH77" s="116">
        <v>0</v>
      </c>
      <c r="BI77" s="4">
        <v>0</v>
      </c>
      <c r="BJ77" s="4">
        <v>0</v>
      </c>
      <c r="BK77" s="4">
        <v>0</v>
      </c>
      <c r="BL77" s="4">
        <v>0</v>
      </c>
      <c r="BM77" s="4">
        <v>0</v>
      </c>
      <c r="BN77" s="4">
        <v>0</v>
      </c>
      <c r="BO77" s="4">
        <v>0</v>
      </c>
      <c r="BP77" s="4">
        <v>0</v>
      </c>
      <c r="BQ77" s="4">
        <v>0</v>
      </c>
      <c r="BR77" s="4">
        <v>0</v>
      </c>
      <c r="BS77" s="117">
        <v>0</v>
      </c>
      <c r="BT77" s="4">
        <v>0</v>
      </c>
      <c r="BU77" s="4">
        <v>0</v>
      </c>
      <c r="BV77" s="4">
        <v>0</v>
      </c>
      <c r="BW77" s="4">
        <v>0</v>
      </c>
      <c r="BX77" s="4">
        <v>0</v>
      </c>
      <c r="BY77" s="4">
        <v>0</v>
      </c>
      <c r="BZ77" s="4">
        <v>1</v>
      </c>
      <c r="CA77" s="4">
        <v>0</v>
      </c>
      <c r="CB77" s="4">
        <v>0</v>
      </c>
      <c r="CC77" s="4">
        <v>0</v>
      </c>
      <c r="CD77" s="4">
        <v>0</v>
      </c>
      <c r="CE77" s="63">
        <v>0</v>
      </c>
      <c r="CF77" s="87"/>
    </row>
    <row r="78" spans="1:84" ht="17" thickBot="1" x14ac:dyDescent="0.5">
      <c r="A78" s="355"/>
      <c r="B78" s="355"/>
      <c r="C78" s="355"/>
      <c r="D78" s="463"/>
      <c r="E78" s="3"/>
      <c r="F78" s="351"/>
      <c r="G78" s="353"/>
      <c r="H78" s="353"/>
      <c r="I78" s="354"/>
      <c r="J78" s="51" t="s">
        <v>165</v>
      </c>
      <c r="K78" s="202"/>
      <c r="L78" s="88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121"/>
      <c r="Y78" s="90"/>
      <c r="Z78" s="90"/>
      <c r="AA78" s="90"/>
      <c r="AB78" s="90"/>
      <c r="AC78" s="90"/>
      <c r="AD78" s="90"/>
      <c r="AE78" s="90"/>
      <c r="AF78" s="90"/>
      <c r="AG78" s="90"/>
      <c r="AH78" s="90"/>
      <c r="AI78" s="122"/>
      <c r="AJ78" s="90"/>
      <c r="AK78" s="90"/>
      <c r="AL78" s="90"/>
      <c r="AM78" s="90"/>
      <c r="AN78" s="90"/>
      <c r="AO78" s="90"/>
      <c r="AP78" s="90"/>
      <c r="AQ78" s="90"/>
      <c r="AR78" s="90"/>
      <c r="AS78" s="90"/>
      <c r="AT78" s="90"/>
      <c r="AU78" s="90"/>
      <c r="AV78" s="121"/>
      <c r="AW78" s="90"/>
      <c r="AX78" s="90"/>
      <c r="AY78" s="90"/>
      <c r="AZ78" s="90"/>
      <c r="BA78" s="90"/>
      <c r="BB78" s="90"/>
      <c r="BC78" s="90"/>
      <c r="BD78" s="90"/>
      <c r="BE78" s="90"/>
      <c r="BF78" s="90"/>
      <c r="BG78" s="122"/>
      <c r="BH78" s="121"/>
      <c r="BI78" s="90"/>
      <c r="BJ78" s="90"/>
      <c r="BK78" s="90"/>
      <c r="BL78" s="90"/>
      <c r="BM78" s="90"/>
      <c r="BN78" s="90"/>
      <c r="BO78" s="90"/>
      <c r="BP78" s="90"/>
      <c r="BQ78" s="90"/>
      <c r="BR78" s="90"/>
      <c r="BS78" s="122"/>
      <c r="BT78" s="90"/>
      <c r="BU78" s="90"/>
      <c r="BV78" s="90"/>
      <c r="BW78" s="90"/>
      <c r="BX78" s="90"/>
      <c r="BY78" s="90"/>
      <c r="BZ78" s="90"/>
      <c r="CA78" s="90"/>
      <c r="CB78" s="90"/>
      <c r="CC78" s="90"/>
      <c r="CD78" s="90"/>
      <c r="CE78" s="91"/>
    </row>
    <row r="79" spans="1:84" ht="17" thickBot="1" x14ac:dyDescent="0.5">
      <c r="A79" s="355"/>
      <c r="B79" s="355"/>
      <c r="C79" s="355"/>
      <c r="D79" s="461" t="s">
        <v>415</v>
      </c>
      <c r="E79" s="3"/>
      <c r="F79" s="350" t="s">
        <v>195</v>
      </c>
      <c r="G79" s="352"/>
      <c r="H79" s="352"/>
      <c r="I79" s="350" t="s">
        <v>189</v>
      </c>
      <c r="J79" s="80" t="s">
        <v>22</v>
      </c>
      <c r="K79" s="202">
        <f t="shared" si="14"/>
        <v>0.16666666666666666</v>
      </c>
      <c r="L79" s="64">
        <v>0</v>
      </c>
      <c r="M79" s="65">
        <v>0</v>
      </c>
      <c r="N79" s="65">
        <v>0</v>
      </c>
      <c r="O79" s="65">
        <v>0</v>
      </c>
      <c r="P79" s="65">
        <v>0</v>
      </c>
      <c r="Q79" s="65">
        <v>0</v>
      </c>
      <c r="R79" s="65">
        <v>0</v>
      </c>
      <c r="S79" s="65">
        <v>0</v>
      </c>
      <c r="T79" s="65">
        <v>0</v>
      </c>
      <c r="U79" s="65">
        <v>0</v>
      </c>
      <c r="V79" s="65">
        <v>0</v>
      </c>
      <c r="W79" s="65">
        <v>0</v>
      </c>
      <c r="X79" s="116">
        <v>0</v>
      </c>
      <c r="Y79" s="4">
        <v>0</v>
      </c>
      <c r="Z79" s="4">
        <v>0</v>
      </c>
      <c r="AA79" s="4">
        <v>0</v>
      </c>
      <c r="AB79" s="4">
        <v>0</v>
      </c>
      <c r="AC79" s="4">
        <v>0</v>
      </c>
      <c r="AD79" s="4">
        <v>0</v>
      </c>
      <c r="AE79" s="4">
        <v>1</v>
      </c>
      <c r="AF79" s="4">
        <v>0</v>
      </c>
      <c r="AG79" s="4">
        <v>0</v>
      </c>
      <c r="AH79" s="4">
        <v>0</v>
      </c>
      <c r="AI79" s="117">
        <v>0</v>
      </c>
      <c r="AJ79" s="4">
        <v>1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4">
        <v>0</v>
      </c>
      <c r="AQ79" s="4">
        <v>0</v>
      </c>
      <c r="AR79" s="4">
        <v>0</v>
      </c>
      <c r="AS79" s="4">
        <v>0</v>
      </c>
      <c r="AT79" s="4">
        <v>1</v>
      </c>
      <c r="AU79" s="4">
        <v>0</v>
      </c>
      <c r="AV79" s="116">
        <v>0</v>
      </c>
      <c r="AW79" s="4">
        <v>0</v>
      </c>
      <c r="AX79" s="4">
        <v>0</v>
      </c>
      <c r="AY79" s="4">
        <v>0</v>
      </c>
      <c r="AZ79" s="4">
        <v>0</v>
      </c>
      <c r="BA79" s="4">
        <v>0</v>
      </c>
      <c r="BB79" s="4">
        <v>0</v>
      </c>
      <c r="BC79" s="4">
        <v>0</v>
      </c>
      <c r="BD79" s="4">
        <v>0</v>
      </c>
      <c r="BE79" s="4">
        <v>0</v>
      </c>
      <c r="BF79" s="4">
        <v>0</v>
      </c>
      <c r="BG79" s="117">
        <v>0</v>
      </c>
      <c r="BH79" s="116">
        <v>0</v>
      </c>
      <c r="BI79" s="4">
        <v>1</v>
      </c>
      <c r="BJ79" s="4">
        <v>1</v>
      </c>
      <c r="BK79" s="4">
        <v>0</v>
      </c>
      <c r="BL79" s="4">
        <v>0</v>
      </c>
      <c r="BM79" s="4">
        <v>0</v>
      </c>
      <c r="BN79" s="4">
        <v>1</v>
      </c>
      <c r="BO79" s="4">
        <v>0</v>
      </c>
      <c r="BP79" s="4">
        <v>1</v>
      </c>
      <c r="BQ79" s="4">
        <v>0</v>
      </c>
      <c r="BR79" s="4">
        <v>0</v>
      </c>
      <c r="BS79" s="117">
        <v>0</v>
      </c>
      <c r="BT79" s="4">
        <v>1</v>
      </c>
      <c r="BU79" s="4">
        <v>0</v>
      </c>
      <c r="BV79" s="4">
        <v>0</v>
      </c>
      <c r="BW79" s="4">
        <v>1</v>
      </c>
      <c r="BX79" s="4">
        <v>0</v>
      </c>
      <c r="BY79" s="4">
        <v>0</v>
      </c>
      <c r="BZ79" s="4">
        <v>0</v>
      </c>
      <c r="CA79" s="4">
        <v>1</v>
      </c>
      <c r="CB79" s="4">
        <v>1</v>
      </c>
      <c r="CC79" s="4">
        <v>1</v>
      </c>
      <c r="CD79" s="4">
        <v>0</v>
      </c>
      <c r="CE79" s="63">
        <v>0</v>
      </c>
      <c r="CF79" s="87"/>
    </row>
    <row r="80" spans="1:84" ht="17" thickBot="1" x14ac:dyDescent="0.5">
      <c r="A80" s="355"/>
      <c r="B80" s="355"/>
      <c r="C80" s="355"/>
      <c r="D80" s="463"/>
      <c r="E80" s="3"/>
      <c r="F80" s="351"/>
      <c r="G80" s="353"/>
      <c r="H80" s="353"/>
      <c r="I80" s="354"/>
      <c r="J80" s="51" t="s">
        <v>165</v>
      </c>
      <c r="K80" s="202"/>
      <c r="L80" s="88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121"/>
      <c r="Y80" s="90"/>
      <c r="Z80" s="90"/>
      <c r="AA80" s="90"/>
      <c r="AB80" s="90"/>
      <c r="AC80" s="90"/>
      <c r="AD80" s="90"/>
      <c r="AE80" s="90"/>
      <c r="AF80" s="90"/>
      <c r="AG80" s="90"/>
      <c r="AH80" s="90"/>
      <c r="AI80" s="122"/>
      <c r="AJ80" s="90"/>
      <c r="AK80" s="90"/>
      <c r="AL80" s="90"/>
      <c r="AM80" s="90"/>
      <c r="AN80" s="90"/>
      <c r="AO80" s="90"/>
      <c r="AP80" s="90"/>
      <c r="AQ80" s="90"/>
      <c r="AR80" s="90"/>
      <c r="AS80" s="90"/>
      <c r="AT80" s="90"/>
      <c r="AU80" s="90"/>
      <c r="AV80" s="121"/>
      <c r="AW80" s="90"/>
      <c r="AX80" s="90"/>
      <c r="AY80" s="90"/>
      <c r="AZ80" s="90"/>
      <c r="BA80" s="90"/>
      <c r="BB80" s="90"/>
      <c r="BC80" s="90"/>
      <c r="BD80" s="90"/>
      <c r="BE80" s="90"/>
      <c r="BF80" s="90"/>
      <c r="BG80" s="122"/>
      <c r="BH80" s="121"/>
      <c r="BI80" s="90"/>
      <c r="BJ80" s="90"/>
      <c r="BK80" s="90"/>
      <c r="BL80" s="90"/>
      <c r="BM80" s="90"/>
      <c r="BN80" s="90"/>
      <c r="BO80" s="90"/>
      <c r="BP80" s="90"/>
      <c r="BQ80" s="90"/>
      <c r="BR80" s="90"/>
      <c r="BS80" s="122"/>
      <c r="BT80" s="90"/>
      <c r="BU80" s="90"/>
      <c r="BV80" s="90"/>
      <c r="BW80" s="90"/>
      <c r="BX80" s="90"/>
      <c r="BY80" s="90"/>
      <c r="BZ80" s="90"/>
      <c r="CA80" s="90"/>
      <c r="CB80" s="90"/>
      <c r="CC80" s="90"/>
      <c r="CD80" s="90"/>
      <c r="CE80" s="91"/>
    </row>
    <row r="81" spans="1:84" ht="17" thickBot="1" x14ac:dyDescent="0.5">
      <c r="A81" s="355"/>
      <c r="B81" s="355"/>
      <c r="C81" s="355"/>
      <c r="D81" s="461" t="s">
        <v>417</v>
      </c>
      <c r="E81" s="3"/>
      <c r="F81" s="350" t="s">
        <v>195</v>
      </c>
      <c r="G81" s="352"/>
      <c r="H81" s="352"/>
      <c r="I81" s="350" t="s">
        <v>189</v>
      </c>
      <c r="J81" s="80" t="s">
        <v>22</v>
      </c>
      <c r="K81" s="202">
        <f t="shared" si="14"/>
        <v>0.63888888888888884</v>
      </c>
      <c r="L81" s="64">
        <v>0</v>
      </c>
      <c r="M81" s="65">
        <v>2</v>
      </c>
      <c r="N81" s="65">
        <v>1</v>
      </c>
      <c r="O81" s="65">
        <v>0</v>
      </c>
      <c r="P81" s="65">
        <v>0</v>
      </c>
      <c r="Q81" s="65">
        <v>0</v>
      </c>
      <c r="R81" s="65">
        <v>0</v>
      </c>
      <c r="S81" s="65">
        <v>0</v>
      </c>
      <c r="T81" s="65">
        <v>2</v>
      </c>
      <c r="U81" s="65">
        <v>0</v>
      </c>
      <c r="V81" s="65">
        <v>3</v>
      </c>
      <c r="W81" s="65">
        <v>0</v>
      </c>
      <c r="X81" s="116">
        <v>3</v>
      </c>
      <c r="Y81" s="4">
        <v>0</v>
      </c>
      <c r="Z81" s="4">
        <v>0</v>
      </c>
      <c r="AA81" s="4">
        <v>0</v>
      </c>
      <c r="AB81" s="4">
        <v>0</v>
      </c>
      <c r="AC81" s="4">
        <v>1</v>
      </c>
      <c r="AD81" s="4">
        <v>0</v>
      </c>
      <c r="AE81" s="4">
        <v>1</v>
      </c>
      <c r="AF81" s="4">
        <v>2</v>
      </c>
      <c r="AG81" s="4">
        <v>0</v>
      </c>
      <c r="AH81" s="4">
        <v>0</v>
      </c>
      <c r="AI81" s="117">
        <v>1</v>
      </c>
      <c r="AJ81" s="4">
        <v>1</v>
      </c>
      <c r="AK81" s="4">
        <v>1</v>
      </c>
      <c r="AL81" s="4">
        <v>1</v>
      </c>
      <c r="AM81" s="4">
        <v>1</v>
      </c>
      <c r="AN81" s="4">
        <v>0</v>
      </c>
      <c r="AO81" s="4">
        <v>0</v>
      </c>
      <c r="AP81" s="4">
        <v>1</v>
      </c>
      <c r="AQ81" s="4">
        <v>1</v>
      </c>
      <c r="AR81" s="4">
        <v>0</v>
      </c>
      <c r="AS81" s="4">
        <v>1</v>
      </c>
      <c r="AT81" s="4">
        <v>1</v>
      </c>
      <c r="AU81" s="4">
        <v>1</v>
      </c>
      <c r="AV81" s="116">
        <v>0</v>
      </c>
      <c r="AW81" s="4">
        <v>0</v>
      </c>
      <c r="AX81" s="4">
        <v>0</v>
      </c>
      <c r="AY81" s="4">
        <v>0</v>
      </c>
      <c r="AZ81" s="4">
        <v>2</v>
      </c>
      <c r="BA81" s="4">
        <v>0</v>
      </c>
      <c r="BB81" s="4">
        <v>0</v>
      </c>
      <c r="BC81" s="4">
        <v>1</v>
      </c>
      <c r="BD81" s="4">
        <v>0</v>
      </c>
      <c r="BE81" s="4">
        <v>1</v>
      </c>
      <c r="BF81" s="4">
        <v>0</v>
      </c>
      <c r="BG81" s="117">
        <v>0</v>
      </c>
      <c r="BH81" s="116">
        <v>1</v>
      </c>
      <c r="BI81" s="4">
        <v>0</v>
      </c>
      <c r="BJ81" s="4">
        <v>0</v>
      </c>
      <c r="BK81" s="4">
        <v>0</v>
      </c>
      <c r="BL81" s="4">
        <v>2</v>
      </c>
      <c r="BM81" s="4">
        <v>1</v>
      </c>
      <c r="BN81" s="4">
        <v>1</v>
      </c>
      <c r="BO81" s="4">
        <v>0</v>
      </c>
      <c r="BP81" s="4">
        <v>2</v>
      </c>
      <c r="BQ81" s="4">
        <v>1</v>
      </c>
      <c r="BR81" s="4">
        <v>2</v>
      </c>
      <c r="BS81" s="117">
        <v>2</v>
      </c>
      <c r="BT81" s="4">
        <v>1</v>
      </c>
      <c r="BU81" s="4">
        <v>0</v>
      </c>
      <c r="BV81" s="4">
        <v>0</v>
      </c>
      <c r="BW81" s="4">
        <v>1</v>
      </c>
      <c r="BX81" s="4">
        <v>0</v>
      </c>
      <c r="BY81" s="4">
        <v>0</v>
      </c>
      <c r="BZ81" s="4">
        <v>0</v>
      </c>
      <c r="CA81" s="4">
        <v>0</v>
      </c>
      <c r="CB81" s="4">
        <v>1</v>
      </c>
      <c r="CC81" s="4">
        <v>1</v>
      </c>
      <c r="CD81" s="4">
        <v>0</v>
      </c>
      <c r="CE81" s="63">
        <v>1</v>
      </c>
    </row>
    <row r="82" spans="1:84" ht="17" thickBot="1" x14ac:dyDescent="0.5">
      <c r="A82" s="355"/>
      <c r="B82" s="355"/>
      <c r="C82" s="355"/>
      <c r="D82" s="463"/>
      <c r="E82" s="3"/>
      <c r="F82" s="351"/>
      <c r="G82" s="353"/>
      <c r="H82" s="353"/>
      <c r="I82" s="354"/>
      <c r="J82" s="51" t="s">
        <v>165</v>
      </c>
      <c r="K82" s="202"/>
      <c r="L82" s="88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121"/>
      <c r="Y82" s="90"/>
      <c r="Z82" s="90"/>
      <c r="AA82" s="90"/>
      <c r="AB82" s="90"/>
      <c r="AC82" s="90"/>
      <c r="AD82" s="90"/>
      <c r="AE82" s="90"/>
      <c r="AF82" s="90"/>
      <c r="AG82" s="90"/>
      <c r="AH82" s="90"/>
      <c r="AI82" s="122"/>
      <c r="AJ82" s="90"/>
      <c r="AK82" s="90"/>
      <c r="AL82" s="90"/>
      <c r="AM82" s="90"/>
      <c r="AN82" s="90"/>
      <c r="AO82" s="90"/>
      <c r="AP82" s="90"/>
      <c r="AQ82" s="90"/>
      <c r="AR82" s="90"/>
      <c r="AS82" s="90"/>
      <c r="AT82" s="90"/>
      <c r="AU82" s="90"/>
      <c r="AV82" s="121"/>
      <c r="AW82" s="90"/>
      <c r="AX82" s="90"/>
      <c r="AY82" s="90"/>
      <c r="AZ82" s="90"/>
      <c r="BA82" s="90"/>
      <c r="BB82" s="90"/>
      <c r="BC82" s="90"/>
      <c r="BD82" s="90"/>
      <c r="BE82" s="90"/>
      <c r="BF82" s="90"/>
      <c r="BG82" s="122"/>
      <c r="BH82" s="121"/>
      <c r="BI82" s="90"/>
      <c r="BJ82" s="90"/>
      <c r="BK82" s="90"/>
      <c r="BL82" s="90"/>
      <c r="BM82" s="90"/>
      <c r="BN82" s="90"/>
      <c r="BO82" s="90"/>
      <c r="BP82" s="90"/>
      <c r="BQ82" s="90"/>
      <c r="BR82" s="90"/>
      <c r="BS82" s="122"/>
      <c r="BT82" s="90"/>
      <c r="BU82" s="90"/>
      <c r="BV82" s="90"/>
      <c r="BW82" s="90"/>
      <c r="BX82" s="90"/>
      <c r="BY82" s="90"/>
      <c r="BZ82" s="90"/>
      <c r="CA82" s="90"/>
      <c r="CB82" s="90"/>
      <c r="CC82" s="90"/>
      <c r="CD82" s="90"/>
      <c r="CE82" s="91"/>
    </row>
    <row r="83" spans="1:84" ht="17" thickBot="1" x14ac:dyDescent="0.5">
      <c r="A83" s="355"/>
      <c r="B83" s="355"/>
      <c r="C83" s="355"/>
      <c r="D83" s="461" t="s">
        <v>419</v>
      </c>
      <c r="E83" s="3"/>
      <c r="F83" s="350" t="s">
        <v>195</v>
      </c>
      <c r="G83" s="352"/>
      <c r="H83" s="352"/>
      <c r="I83" s="350" t="s">
        <v>189</v>
      </c>
      <c r="J83" s="80" t="s">
        <v>22</v>
      </c>
      <c r="K83" s="202">
        <f t="shared" si="14"/>
        <v>0.1388888888888889</v>
      </c>
      <c r="L83" s="64">
        <v>0</v>
      </c>
      <c r="M83" s="65">
        <v>0</v>
      </c>
      <c r="N83" s="65">
        <v>0</v>
      </c>
      <c r="O83" s="65">
        <v>0</v>
      </c>
      <c r="P83" s="65">
        <v>0</v>
      </c>
      <c r="Q83" s="65">
        <v>1</v>
      </c>
      <c r="R83" s="65">
        <v>0</v>
      </c>
      <c r="S83" s="65">
        <v>0</v>
      </c>
      <c r="T83" s="65">
        <v>0</v>
      </c>
      <c r="U83" s="65">
        <v>0</v>
      </c>
      <c r="V83" s="65">
        <v>0</v>
      </c>
      <c r="W83" s="65">
        <v>0</v>
      </c>
      <c r="X83" s="116">
        <v>1</v>
      </c>
      <c r="Y83" s="4">
        <v>0</v>
      </c>
      <c r="Z83" s="4">
        <v>0</v>
      </c>
      <c r="AA83" s="4">
        <v>0</v>
      </c>
      <c r="AB83" s="4">
        <v>0</v>
      </c>
      <c r="AC83" s="4">
        <v>0</v>
      </c>
      <c r="AD83" s="4">
        <v>1</v>
      </c>
      <c r="AE83" s="4">
        <v>0</v>
      </c>
      <c r="AF83" s="4">
        <v>0</v>
      </c>
      <c r="AG83" s="4">
        <v>0</v>
      </c>
      <c r="AH83" s="4">
        <v>0</v>
      </c>
      <c r="AI83" s="117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0</v>
      </c>
      <c r="AP83" s="4">
        <v>0</v>
      </c>
      <c r="AQ83" s="4">
        <v>1</v>
      </c>
      <c r="AR83" s="4">
        <v>0</v>
      </c>
      <c r="AS83" s="4">
        <v>0</v>
      </c>
      <c r="AT83" s="4">
        <v>0</v>
      </c>
      <c r="AU83" s="4">
        <v>0</v>
      </c>
      <c r="AV83" s="116">
        <v>0</v>
      </c>
      <c r="AW83" s="4">
        <v>1</v>
      </c>
      <c r="AX83" s="4">
        <v>0</v>
      </c>
      <c r="AY83" s="4">
        <v>0</v>
      </c>
      <c r="AZ83" s="4">
        <v>0</v>
      </c>
      <c r="BA83" s="4">
        <v>0</v>
      </c>
      <c r="BB83" s="4">
        <v>0</v>
      </c>
      <c r="BC83" s="4">
        <v>1</v>
      </c>
      <c r="BD83" s="4">
        <v>0</v>
      </c>
      <c r="BE83" s="4">
        <v>0</v>
      </c>
      <c r="BF83" s="4">
        <v>1</v>
      </c>
      <c r="BG83" s="117">
        <v>0</v>
      </c>
      <c r="BH83" s="116">
        <v>1</v>
      </c>
      <c r="BI83" s="4">
        <v>0</v>
      </c>
      <c r="BJ83" s="4">
        <v>0</v>
      </c>
      <c r="BK83" s="4">
        <v>0</v>
      </c>
      <c r="BL83" s="4">
        <v>0</v>
      </c>
      <c r="BM83" s="4">
        <v>0</v>
      </c>
      <c r="BN83" s="4">
        <v>0</v>
      </c>
      <c r="BO83" s="4">
        <v>0</v>
      </c>
      <c r="BP83" s="4">
        <v>1</v>
      </c>
      <c r="BQ83" s="4">
        <v>0</v>
      </c>
      <c r="BR83" s="4">
        <v>0</v>
      </c>
      <c r="BS83" s="117">
        <v>0</v>
      </c>
      <c r="BT83" s="4">
        <v>0</v>
      </c>
      <c r="BU83" s="4">
        <v>0</v>
      </c>
      <c r="BV83" s="4">
        <v>0</v>
      </c>
      <c r="BW83" s="4">
        <v>0</v>
      </c>
      <c r="BX83" s="4">
        <v>0</v>
      </c>
      <c r="BY83" s="4">
        <v>1</v>
      </c>
      <c r="BZ83" s="4">
        <v>0</v>
      </c>
      <c r="CA83" s="4">
        <v>0</v>
      </c>
      <c r="CB83" s="4">
        <v>0</v>
      </c>
      <c r="CC83" s="4">
        <v>0</v>
      </c>
      <c r="CD83" s="4">
        <v>0</v>
      </c>
      <c r="CE83" s="63">
        <v>0</v>
      </c>
      <c r="CF83" s="87"/>
    </row>
    <row r="84" spans="1:84" ht="17" thickBot="1" x14ac:dyDescent="0.5">
      <c r="A84" s="355"/>
      <c r="B84" s="355"/>
      <c r="C84" s="355"/>
      <c r="D84" s="463"/>
      <c r="E84" s="3"/>
      <c r="F84" s="351"/>
      <c r="G84" s="353"/>
      <c r="H84" s="353"/>
      <c r="I84" s="354"/>
      <c r="J84" s="51" t="s">
        <v>165</v>
      </c>
      <c r="K84" s="202"/>
      <c r="L84" s="88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121"/>
      <c r="Y84" s="90"/>
      <c r="Z84" s="90"/>
      <c r="AA84" s="90"/>
      <c r="AB84" s="90"/>
      <c r="AC84" s="90"/>
      <c r="AD84" s="90"/>
      <c r="AE84" s="90"/>
      <c r="AF84" s="90"/>
      <c r="AG84" s="90"/>
      <c r="AH84" s="90"/>
      <c r="AI84" s="122"/>
      <c r="AJ84" s="90"/>
      <c r="AK84" s="90"/>
      <c r="AL84" s="90"/>
      <c r="AM84" s="90"/>
      <c r="AN84" s="90"/>
      <c r="AO84" s="90"/>
      <c r="AP84" s="90"/>
      <c r="AQ84" s="90"/>
      <c r="AR84" s="90"/>
      <c r="AS84" s="90"/>
      <c r="AT84" s="90"/>
      <c r="AU84" s="90"/>
      <c r="AV84" s="121"/>
      <c r="AW84" s="90"/>
      <c r="AX84" s="90"/>
      <c r="AY84" s="90"/>
      <c r="AZ84" s="90"/>
      <c r="BA84" s="90"/>
      <c r="BB84" s="90"/>
      <c r="BC84" s="90"/>
      <c r="BD84" s="90"/>
      <c r="BE84" s="90"/>
      <c r="BF84" s="90"/>
      <c r="BG84" s="122"/>
      <c r="BH84" s="121"/>
      <c r="BI84" s="90"/>
      <c r="BJ84" s="90"/>
      <c r="BK84" s="90"/>
      <c r="BL84" s="90"/>
      <c r="BM84" s="90"/>
      <c r="BN84" s="90"/>
      <c r="BO84" s="90"/>
      <c r="BP84" s="90"/>
      <c r="BQ84" s="90"/>
      <c r="BR84" s="90"/>
      <c r="BS84" s="122"/>
      <c r="BT84" s="90"/>
      <c r="BU84" s="90"/>
      <c r="BV84" s="90"/>
      <c r="BW84" s="90"/>
      <c r="BX84" s="90"/>
      <c r="BY84" s="90"/>
      <c r="BZ84" s="90"/>
      <c r="CA84" s="90"/>
      <c r="CB84" s="90"/>
      <c r="CC84" s="90"/>
      <c r="CD84" s="90"/>
      <c r="CE84" s="91"/>
    </row>
    <row r="85" spans="1:84" ht="17" thickBot="1" x14ac:dyDescent="0.5">
      <c r="A85" s="355"/>
      <c r="B85" s="355"/>
      <c r="C85" s="355"/>
      <c r="D85" s="461" t="s">
        <v>421</v>
      </c>
      <c r="E85" s="3"/>
      <c r="F85" s="350" t="s">
        <v>195</v>
      </c>
      <c r="G85" s="352"/>
      <c r="H85" s="352"/>
      <c r="I85" s="350" t="s">
        <v>189</v>
      </c>
      <c r="J85" s="80" t="s">
        <v>22</v>
      </c>
      <c r="K85" s="202">
        <f t="shared" si="14"/>
        <v>0.40277777777777779</v>
      </c>
      <c r="L85" s="64">
        <v>0</v>
      </c>
      <c r="M85" s="65">
        <v>0</v>
      </c>
      <c r="N85" s="65">
        <v>0</v>
      </c>
      <c r="O85" s="65">
        <v>0</v>
      </c>
      <c r="P85" s="65">
        <v>0</v>
      </c>
      <c r="Q85" s="65">
        <v>1</v>
      </c>
      <c r="R85" s="65">
        <v>1</v>
      </c>
      <c r="S85" s="65">
        <v>0</v>
      </c>
      <c r="T85" s="65">
        <v>0</v>
      </c>
      <c r="U85" s="65">
        <v>0</v>
      </c>
      <c r="V85" s="65">
        <v>2</v>
      </c>
      <c r="W85" s="65">
        <v>0</v>
      </c>
      <c r="X85" s="116">
        <v>0</v>
      </c>
      <c r="Y85" s="4">
        <v>0</v>
      </c>
      <c r="Z85" s="4">
        <v>0</v>
      </c>
      <c r="AA85" s="4">
        <v>0</v>
      </c>
      <c r="AB85" s="4">
        <v>0</v>
      </c>
      <c r="AC85" s="4">
        <v>3</v>
      </c>
      <c r="AD85" s="4">
        <v>0</v>
      </c>
      <c r="AE85" s="4">
        <v>1</v>
      </c>
      <c r="AF85" s="4">
        <v>2</v>
      </c>
      <c r="AG85" s="4">
        <v>1</v>
      </c>
      <c r="AH85" s="4">
        <v>0</v>
      </c>
      <c r="AI85" s="117">
        <v>0</v>
      </c>
      <c r="AJ85" s="4">
        <v>0</v>
      </c>
      <c r="AK85" s="4">
        <v>0</v>
      </c>
      <c r="AL85" s="4">
        <v>1</v>
      </c>
      <c r="AM85" s="4">
        <v>0</v>
      </c>
      <c r="AN85" s="4">
        <v>0</v>
      </c>
      <c r="AO85" s="4">
        <v>0</v>
      </c>
      <c r="AP85" s="4">
        <v>1</v>
      </c>
      <c r="AQ85" s="4">
        <v>0</v>
      </c>
      <c r="AR85" s="4">
        <v>0</v>
      </c>
      <c r="AS85" s="4">
        <v>0</v>
      </c>
      <c r="AT85" s="4">
        <v>0</v>
      </c>
      <c r="AU85" s="4">
        <v>0</v>
      </c>
      <c r="AV85" s="116">
        <v>0</v>
      </c>
      <c r="AW85" s="4">
        <v>2</v>
      </c>
      <c r="AX85" s="4">
        <v>0</v>
      </c>
      <c r="AY85" s="4">
        <v>0</v>
      </c>
      <c r="AZ85" s="4">
        <v>0</v>
      </c>
      <c r="BA85" s="4">
        <v>0</v>
      </c>
      <c r="BB85" s="4">
        <v>0</v>
      </c>
      <c r="BC85" s="4">
        <v>0</v>
      </c>
      <c r="BD85" s="4">
        <v>0</v>
      </c>
      <c r="BE85" s="4">
        <v>1</v>
      </c>
      <c r="BF85" s="4">
        <v>0</v>
      </c>
      <c r="BG85" s="117">
        <v>1</v>
      </c>
      <c r="BH85" s="116">
        <v>1</v>
      </c>
      <c r="BI85" s="4">
        <v>1</v>
      </c>
      <c r="BJ85" s="4">
        <v>1</v>
      </c>
      <c r="BK85" s="4">
        <v>0</v>
      </c>
      <c r="BL85" s="4">
        <v>0</v>
      </c>
      <c r="BM85" s="4">
        <v>1</v>
      </c>
      <c r="BN85" s="4">
        <v>0</v>
      </c>
      <c r="BO85" s="4">
        <v>1</v>
      </c>
      <c r="BP85" s="4">
        <v>0</v>
      </c>
      <c r="BQ85" s="4">
        <v>1</v>
      </c>
      <c r="BR85" s="4">
        <v>0</v>
      </c>
      <c r="BS85" s="117">
        <v>1</v>
      </c>
      <c r="BT85" s="4">
        <v>1</v>
      </c>
      <c r="BU85" s="4">
        <v>1</v>
      </c>
      <c r="BV85" s="4">
        <v>1</v>
      </c>
      <c r="BW85" s="4">
        <v>0</v>
      </c>
      <c r="BX85" s="4">
        <v>0</v>
      </c>
      <c r="BY85" s="4">
        <v>0</v>
      </c>
      <c r="BZ85" s="4">
        <v>0</v>
      </c>
      <c r="CA85" s="4">
        <v>0</v>
      </c>
      <c r="CB85" s="4">
        <v>0</v>
      </c>
      <c r="CC85" s="4">
        <v>0</v>
      </c>
      <c r="CD85" s="4">
        <v>2</v>
      </c>
      <c r="CE85" s="63">
        <v>0</v>
      </c>
      <c r="CF85" s="87"/>
    </row>
    <row r="86" spans="1:84" ht="17" thickBot="1" x14ac:dyDescent="0.5">
      <c r="A86" s="355"/>
      <c r="B86" s="355"/>
      <c r="C86" s="355"/>
      <c r="D86" s="463"/>
      <c r="E86" s="3"/>
      <c r="F86" s="351"/>
      <c r="G86" s="353"/>
      <c r="H86" s="353"/>
      <c r="I86" s="354"/>
      <c r="J86" s="51" t="s">
        <v>165</v>
      </c>
      <c r="K86" s="202"/>
      <c r="L86" s="88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121"/>
      <c r="Y86" s="90"/>
      <c r="Z86" s="90"/>
      <c r="AA86" s="90"/>
      <c r="AB86" s="90"/>
      <c r="AC86" s="90"/>
      <c r="AD86" s="90"/>
      <c r="AE86" s="90"/>
      <c r="AF86" s="90"/>
      <c r="AG86" s="90"/>
      <c r="AH86" s="90"/>
      <c r="AI86" s="122"/>
      <c r="AJ86" s="90"/>
      <c r="AK86" s="90"/>
      <c r="AL86" s="90"/>
      <c r="AM86" s="90"/>
      <c r="AN86" s="90"/>
      <c r="AO86" s="90"/>
      <c r="AP86" s="90"/>
      <c r="AQ86" s="90"/>
      <c r="AR86" s="90"/>
      <c r="AS86" s="90"/>
      <c r="AT86" s="90"/>
      <c r="AU86" s="90"/>
      <c r="AV86" s="121"/>
      <c r="AW86" s="90"/>
      <c r="AX86" s="90"/>
      <c r="AY86" s="90"/>
      <c r="AZ86" s="90"/>
      <c r="BA86" s="90"/>
      <c r="BB86" s="90"/>
      <c r="BC86" s="90"/>
      <c r="BD86" s="90"/>
      <c r="BE86" s="90"/>
      <c r="BF86" s="90"/>
      <c r="BG86" s="122"/>
      <c r="BH86" s="90"/>
      <c r="BI86" s="90"/>
      <c r="BJ86" s="90"/>
      <c r="BK86" s="90"/>
      <c r="BL86" s="90"/>
      <c r="BM86" s="90"/>
      <c r="BN86" s="90"/>
      <c r="BO86" s="90"/>
      <c r="BP86" s="90"/>
      <c r="BQ86" s="90"/>
      <c r="BR86" s="90"/>
      <c r="BS86" s="90"/>
      <c r="BT86" s="121"/>
      <c r="BU86" s="90"/>
      <c r="BV86" s="90"/>
      <c r="BW86" s="90"/>
      <c r="BX86" s="90"/>
      <c r="BY86" s="90"/>
      <c r="BZ86" s="90"/>
      <c r="CA86" s="90"/>
      <c r="CB86" s="90"/>
      <c r="CC86" s="90"/>
      <c r="CD86" s="90"/>
      <c r="CE86" s="91"/>
    </row>
    <row r="87" spans="1:84" ht="17" thickBot="1" x14ac:dyDescent="0.5">
      <c r="A87" s="355"/>
      <c r="B87" s="355"/>
      <c r="C87" s="355"/>
      <c r="D87" s="461" t="s">
        <v>423</v>
      </c>
      <c r="E87" s="3"/>
      <c r="F87" s="350" t="s">
        <v>195</v>
      </c>
      <c r="G87" s="352"/>
      <c r="H87" s="352"/>
      <c r="I87" s="350" t="s">
        <v>189</v>
      </c>
      <c r="J87" s="80" t="s">
        <v>22</v>
      </c>
      <c r="K87" s="202">
        <f t="shared" si="14"/>
        <v>0.47222222222222221</v>
      </c>
      <c r="L87" s="64">
        <v>0</v>
      </c>
      <c r="M87" s="65">
        <v>0</v>
      </c>
      <c r="N87" s="65">
        <v>0</v>
      </c>
      <c r="O87" s="65">
        <v>0</v>
      </c>
      <c r="P87" s="65">
        <v>0</v>
      </c>
      <c r="Q87" s="65">
        <v>0</v>
      </c>
      <c r="R87" s="65">
        <v>1</v>
      </c>
      <c r="S87" s="65">
        <v>0</v>
      </c>
      <c r="T87" s="65">
        <v>0</v>
      </c>
      <c r="U87" s="65">
        <v>0</v>
      </c>
      <c r="V87" s="65">
        <v>0</v>
      </c>
      <c r="W87" s="65">
        <v>0</v>
      </c>
      <c r="X87" s="116">
        <v>0</v>
      </c>
      <c r="Y87" s="4">
        <v>0</v>
      </c>
      <c r="Z87" s="4">
        <v>2</v>
      </c>
      <c r="AA87" s="4">
        <v>1</v>
      </c>
      <c r="AB87" s="4">
        <v>0</v>
      </c>
      <c r="AC87" s="4">
        <v>0</v>
      </c>
      <c r="AD87" s="4">
        <v>1</v>
      </c>
      <c r="AE87" s="4">
        <v>0</v>
      </c>
      <c r="AF87" s="4">
        <v>0</v>
      </c>
      <c r="AG87" s="4">
        <v>1</v>
      </c>
      <c r="AH87" s="4">
        <v>0</v>
      </c>
      <c r="AI87" s="117">
        <v>0</v>
      </c>
      <c r="AJ87" s="4">
        <v>2</v>
      </c>
      <c r="AK87" s="4">
        <v>0</v>
      </c>
      <c r="AL87" s="4">
        <v>4</v>
      </c>
      <c r="AM87" s="4">
        <v>0</v>
      </c>
      <c r="AN87" s="4">
        <v>2</v>
      </c>
      <c r="AO87" s="4">
        <v>1</v>
      </c>
      <c r="AP87" s="4">
        <v>0</v>
      </c>
      <c r="AQ87" s="4">
        <v>0</v>
      </c>
      <c r="AR87" s="4">
        <v>1</v>
      </c>
      <c r="AS87" s="4">
        <v>0</v>
      </c>
      <c r="AT87" s="4">
        <v>0</v>
      </c>
      <c r="AU87" s="4">
        <v>2</v>
      </c>
      <c r="AV87" s="116">
        <v>0</v>
      </c>
      <c r="AW87" s="4">
        <v>2</v>
      </c>
      <c r="AX87" s="4">
        <v>0</v>
      </c>
      <c r="AY87" s="4">
        <v>1</v>
      </c>
      <c r="AZ87" s="4">
        <v>0</v>
      </c>
      <c r="BA87" s="4">
        <v>0</v>
      </c>
      <c r="BB87" s="4">
        <v>0</v>
      </c>
      <c r="BC87" s="4">
        <v>0</v>
      </c>
      <c r="BD87" s="4">
        <v>1</v>
      </c>
      <c r="BE87" s="4">
        <v>0</v>
      </c>
      <c r="BF87" s="4">
        <v>2</v>
      </c>
      <c r="BG87" s="117">
        <v>1</v>
      </c>
      <c r="BH87" s="4">
        <v>0</v>
      </c>
      <c r="BI87" s="4">
        <v>0</v>
      </c>
      <c r="BJ87" s="4">
        <v>1</v>
      </c>
      <c r="BK87" s="4">
        <v>0</v>
      </c>
      <c r="BL87" s="4">
        <v>1</v>
      </c>
      <c r="BM87" s="4">
        <v>1</v>
      </c>
      <c r="BN87" s="4">
        <v>0</v>
      </c>
      <c r="BO87" s="4">
        <v>1</v>
      </c>
      <c r="BP87" s="4">
        <v>0</v>
      </c>
      <c r="BQ87" s="4">
        <v>2</v>
      </c>
      <c r="BR87" s="4">
        <v>0</v>
      </c>
      <c r="BS87" s="4">
        <v>0</v>
      </c>
      <c r="BT87" s="116">
        <v>1</v>
      </c>
      <c r="BU87" s="4">
        <v>0</v>
      </c>
      <c r="BV87" s="4">
        <v>0</v>
      </c>
      <c r="BW87" s="4">
        <v>0</v>
      </c>
      <c r="BX87" s="4">
        <v>0</v>
      </c>
      <c r="BY87" s="4">
        <v>0</v>
      </c>
      <c r="BZ87" s="4">
        <v>0</v>
      </c>
      <c r="CA87" s="4">
        <v>0</v>
      </c>
      <c r="CB87" s="4">
        <v>0</v>
      </c>
      <c r="CC87" s="4">
        <v>2</v>
      </c>
      <c r="CD87" s="4">
        <v>0</v>
      </c>
      <c r="CE87" s="63">
        <v>0</v>
      </c>
    </row>
    <row r="88" spans="1:84" ht="17" thickBot="1" x14ac:dyDescent="0.5">
      <c r="A88" s="355"/>
      <c r="B88" s="355"/>
      <c r="C88" s="355"/>
      <c r="D88" s="463"/>
      <c r="E88" s="3"/>
      <c r="F88" s="351"/>
      <c r="G88" s="353"/>
      <c r="H88" s="353"/>
      <c r="I88" s="354"/>
      <c r="J88" s="51" t="s">
        <v>165</v>
      </c>
      <c r="K88" s="202"/>
      <c r="L88" s="88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121"/>
      <c r="Y88" s="90"/>
      <c r="Z88" s="90"/>
      <c r="AA88" s="90"/>
      <c r="AB88" s="90"/>
      <c r="AC88" s="90"/>
      <c r="AD88" s="90"/>
      <c r="AE88" s="90"/>
      <c r="AF88" s="90"/>
      <c r="AG88" s="90"/>
      <c r="AH88" s="90"/>
      <c r="AI88" s="122"/>
      <c r="AJ88" s="90"/>
      <c r="AK88" s="90"/>
      <c r="AL88" s="90"/>
      <c r="AM88" s="90"/>
      <c r="AN88" s="90"/>
      <c r="AO88" s="90"/>
      <c r="AP88" s="90"/>
      <c r="AQ88" s="90"/>
      <c r="AR88" s="90"/>
      <c r="AS88" s="90"/>
      <c r="AT88" s="90"/>
      <c r="AU88" s="90"/>
      <c r="AV88" s="121"/>
      <c r="AW88" s="90"/>
      <c r="AX88" s="90"/>
      <c r="AY88" s="90"/>
      <c r="AZ88" s="90"/>
      <c r="BA88" s="90"/>
      <c r="BB88" s="90"/>
      <c r="BC88" s="90"/>
      <c r="BD88" s="90"/>
      <c r="BE88" s="90"/>
      <c r="BF88" s="90"/>
      <c r="BG88" s="122"/>
      <c r="BH88" s="90"/>
      <c r="BI88" s="90"/>
      <c r="BJ88" s="90"/>
      <c r="BK88" s="90"/>
      <c r="BL88" s="90"/>
      <c r="BM88" s="90"/>
      <c r="BN88" s="90"/>
      <c r="BO88" s="90"/>
      <c r="BP88" s="90"/>
      <c r="BQ88" s="90"/>
      <c r="BR88" s="90"/>
      <c r="BS88" s="90"/>
      <c r="BT88" s="121"/>
      <c r="BU88" s="90"/>
      <c r="BV88" s="90"/>
      <c r="BW88" s="90"/>
      <c r="BX88" s="90"/>
      <c r="BY88" s="90"/>
      <c r="BZ88" s="90"/>
      <c r="CA88" s="90"/>
      <c r="CB88" s="90"/>
      <c r="CC88" s="90"/>
      <c r="CD88" s="90"/>
      <c r="CE88" s="91"/>
    </row>
    <row r="89" spans="1:84" ht="17" thickBot="1" x14ac:dyDescent="0.5">
      <c r="A89" s="355"/>
      <c r="B89" s="355"/>
      <c r="C89" s="355"/>
      <c r="D89" s="461" t="s">
        <v>429</v>
      </c>
      <c r="E89" s="3"/>
      <c r="F89" s="350" t="s">
        <v>195</v>
      </c>
      <c r="G89" s="352"/>
      <c r="H89" s="352"/>
      <c r="I89" s="350" t="s">
        <v>189</v>
      </c>
      <c r="J89" s="80" t="s">
        <v>22</v>
      </c>
      <c r="K89" s="202">
        <f t="shared" si="14"/>
        <v>0.125</v>
      </c>
      <c r="L89" s="64">
        <v>0</v>
      </c>
      <c r="M89" s="65">
        <v>0</v>
      </c>
      <c r="N89" s="65">
        <v>0</v>
      </c>
      <c r="O89" s="65">
        <v>0</v>
      </c>
      <c r="P89" s="65">
        <v>0</v>
      </c>
      <c r="Q89" s="65">
        <v>0</v>
      </c>
      <c r="R89" s="65">
        <v>0</v>
      </c>
      <c r="S89" s="65">
        <v>0</v>
      </c>
      <c r="T89" s="65">
        <v>0</v>
      </c>
      <c r="U89" s="65">
        <v>0</v>
      </c>
      <c r="V89" s="65">
        <v>0</v>
      </c>
      <c r="W89" s="65">
        <v>0</v>
      </c>
      <c r="X89" s="116">
        <v>0</v>
      </c>
      <c r="Y89" s="4">
        <v>0</v>
      </c>
      <c r="Z89" s="4">
        <v>0</v>
      </c>
      <c r="AA89" s="4">
        <v>0</v>
      </c>
      <c r="AB89" s="4">
        <v>0</v>
      </c>
      <c r="AC89" s="4">
        <v>0</v>
      </c>
      <c r="AD89" s="4">
        <v>0</v>
      </c>
      <c r="AE89" s="4">
        <v>0</v>
      </c>
      <c r="AF89" s="4">
        <v>0</v>
      </c>
      <c r="AG89" s="4">
        <v>0</v>
      </c>
      <c r="AH89" s="4">
        <v>0</v>
      </c>
      <c r="AI89" s="117">
        <v>0</v>
      </c>
      <c r="AJ89" s="4">
        <v>1</v>
      </c>
      <c r="AK89" s="4">
        <v>1</v>
      </c>
      <c r="AL89" s="4">
        <v>0</v>
      </c>
      <c r="AM89" s="4">
        <v>0</v>
      </c>
      <c r="AN89" s="4">
        <v>0</v>
      </c>
      <c r="AO89" s="4">
        <v>0</v>
      </c>
      <c r="AP89" s="4">
        <v>0</v>
      </c>
      <c r="AQ89" s="4">
        <v>0</v>
      </c>
      <c r="AR89" s="4">
        <v>0</v>
      </c>
      <c r="AS89" s="4">
        <v>0</v>
      </c>
      <c r="AT89" s="4">
        <v>1</v>
      </c>
      <c r="AU89" s="4">
        <v>0</v>
      </c>
      <c r="AV89" s="116">
        <v>0</v>
      </c>
      <c r="AW89" s="4">
        <v>0</v>
      </c>
      <c r="AX89" s="4">
        <v>0</v>
      </c>
      <c r="AY89" s="4">
        <v>0</v>
      </c>
      <c r="AZ89" s="4">
        <v>2</v>
      </c>
      <c r="BA89" s="4">
        <v>0</v>
      </c>
      <c r="BB89" s="4">
        <v>0</v>
      </c>
      <c r="BC89" s="4">
        <v>1</v>
      </c>
      <c r="BD89" s="4">
        <v>0</v>
      </c>
      <c r="BE89" s="4">
        <v>1</v>
      </c>
      <c r="BF89" s="4">
        <v>0</v>
      </c>
      <c r="BG89" s="117">
        <v>0</v>
      </c>
      <c r="BH89" s="4">
        <v>0</v>
      </c>
      <c r="BI89" s="4">
        <v>0</v>
      </c>
      <c r="BJ89" s="4">
        <v>0</v>
      </c>
      <c r="BK89" s="4">
        <v>0</v>
      </c>
      <c r="BL89" s="4">
        <v>0</v>
      </c>
      <c r="BM89" s="4">
        <v>0</v>
      </c>
      <c r="BN89" s="4">
        <v>0</v>
      </c>
      <c r="BO89" s="4">
        <v>0</v>
      </c>
      <c r="BP89" s="4">
        <v>0</v>
      </c>
      <c r="BQ89" s="4">
        <v>0</v>
      </c>
      <c r="BR89" s="4">
        <v>1</v>
      </c>
      <c r="BS89" s="4">
        <v>0</v>
      </c>
      <c r="BT89" s="116">
        <v>0</v>
      </c>
      <c r="BU89" s="4">
        <v>0</v>
      </c>
      <c r="BV89" s="4">
        <v>0</v>
      </c>
      <c r="BW89" s="4">
        <v>0</v>
      </c>
      <c r="BX89" s="4">
        <v>0</v>
      </c>
      <c r="BY89" s="4">
        <v>1</v>
      </c>
      <c r="BZ89" s="4">
        <v>0</v>
      </c>
      <c r="CA89" s="4">
        <v>0</v>
      </c>
      <c r="CB89" s="4">
        <v>0</v>
      </c>
      <c r="CC89" s="4">
        <v>0</v>
      </c>
      <c r="CD89" s="4">
        <v>0</v>
      </c>
      <c r="CE89" s="63">
        <v>0</v>
      </c>
      <c r="CF89" s="87"/>
    </row>
    <row r="90" spans="1:84" ht="17" thickBot="1" x14ac:dyDescent="0.5">
      <c r="A90" s="355"/>
      <c r="B90" s="355"/>
      <c r="C90" s="355"/>
      <c r="D90" s="463"/>
      <c r="E90" s="3"/>
      <c r="F90" s="351"/>
      <c r="G90" s="353"/>
      <c r="H90" s="353"/>
      <c r="I90" s="354"/>
      <c r="J90" s="51" t="s">
        <v>165</v>
      </c>
      <c r="K90" s="202"/>
      <c r="L90" s="88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121"/>
      <c r="Y90" s="90"/>
      <c r="Z90" s="90"/>
      <c r="AA90" s="90"/>
      <c r="AB90" s="90"/>
      <c r="AC90" s="90"/>
      <c r="AD90" s="90"/>
      <c r="AE90" s="90"/>
      <c r="AF90" s="90"/>
      <c r="AG90" s="90"/>
      <c r="AH90" s="90"/>
      <c r="AI90" s="122"/>
      <c r="AJ90" s="90"/>
      <c r="AK90" s="90"/>
      <c r="AL90" s="90"/>
      <c r="AM90" s="90"/>
      <c r="AN90" s="90"/>
      <c r="AO90" s="90"/>
      <c r="AP90" s="90"/>
      <c r="AQ90" s="90"/>
      <c r="AR90" s="90"/>
      <c r="AS90" s="90"/>
      <c r="AT90" s="90"/>
      <c r="AU90" s="90"/>
      <c r="AV90" s="121"/>
      <c r="AW90" s="90"/>
      <c r="AX90" s="90"/>
      <c r="AY90" s="90"/>
      <c r="AZ90" s="90"/>
      <c r="BA90" s="90"/>
      <c r="BB90" s="90"/>
      <c r="BC90" s="90"/>
      <c r="BD90" s="90"/>
      <c r="BE90" s="90"/>
      <c r="BF90" s="90"/>
      <c r="BG90" s="122"/>
      <c r="BH90" s="90"/>
      <c r="BI90" s="90"/>
      <c r="BJ90" s="90"/>
      <c r="BK90" s="90"/>
      <c r="BL90" s="90"/>
      <c r="BM90" s="90"/>
      <c r="BN90" s="90"/>
      <c r="BO90" s="90"/>
      <c r="BP90" s="90"/>
      <c r="BQ90" s="90"/>
      <c r="BR90" s="90"/>
      <c r="BS90" s="90"/>
      <c r="BT90" s="121"/>
      <c r="BU90" s="90"/>
      <c r="BV90" s="90"/>
      <c r="BW90" s="90"/>
      <c r="BX90" s="90"/>
      <c r="BY90" s="90"/>
      <c r="BZ90" s="90"/>
      <c r="CA90" s="90"/>
      <c r="CB90" s="90"/>
      <c r="CC90" s="90"/>
      <c r="CD90" s="90"/>
      <c r="CE90" s="91"/>
    </row>
    <row r="91" spans="1:84" ht="17" thickBot="1" x14ac:dyDescent="0.5">
      <c r="A91" s="355"/>
      <c r="B91" s="355"/>
      <c r="C91" s="355"/>
      <c r="D91" s="461" t="s">
        <v>427</v>
      </c>
      <c r="E91" s="3"/>
      <c r="F91" s="350" t="s">
        <v>195</v>
      </c>
      <c r="G91" s="352"/>
      <c r="H91" s="352"/>
      <c r="I91" s="350" t="s">
        <v>189</v>
      </c>
      <c r="J91" s="80" t="s">
        <v>22</v>
      </c>
      <c r="K91" s="202">
        <f t="shared" si="14"/>
        <v>6.9444444444444448E-2</v>
      </c>
      <c r="L91" s="64">
        <v>0</v>
      </c>
      <c r="M91" s="65">
        <v>0</v>
      </c>
      <c r="N91" s="65">
        <v>0</v>
      </c>
      <c r="O91" s="65">
        <v>0</v>
      </c>
      <c r="P91" s="65">
        <v>0</v>
      </c>
      <c r="Q91" s="65">
        <v>0</v>
      </c>
      <c r="R91" s="65">
        <v>0</v>
      </c>
      <c r="S91" s="65">
        <v>0</v>
      </c>
      <c r="T91" s="65">
        <v>0</v>
      </c>
      <c r="U91" s="65">
        <v>0</v>
      </c>
      <c r="V91" s="65">
        <v>0</v>
      </c>
      <c r="W91" s="65">
        <v>0</v>
      </c>
      <c r="X91" s="116">
        <v>1</v>
      </c>
      <c r="Y91" s="4">
        <v>0</v>
      </c>
      <c r="Z91" s="4">
        <v>1</v>
      </c>
      <c r="AA91" s="4">
        <v>0</v>
      </c>
      <c r="AB91" s="4">
        <v>0</v>
      </c>
      <c r="AC91" s="4">
        <v>0</v>
      </c>
      <c r="AD91" s="4">
        <v>0</v>
      </c>
      <c r="AE91" s="4">
        <v>0</v>
      </c>
      <c r="AF91" s="4">
        <v>0</v>
      </c>
      <c r="AG91" s="4">
        <v>0</v>
      </c>
      <c r="AH91" s="4">
        <v>0</v>
      </c>
      <c r="AI91" s="117">
        <v>0</v>
      </c>
      <c r="AJ91" s="4">
        <v>0</v>
      </c>
      <c r="AK91" s="4">
        <v>0</v>
      </c>
      <c r="AL91" s="4">
        <v>0</v>
      </c>
      <c r="AM91" s="4">
        <v>0</v>
      </c>
      <c r="AN91" s="4">
        <v>0</v>
      </c>
      <c r="AO91" s="4">
        <v>0</v>
      </c>
      <c r="AP91" s="4">
        <v>0</v>
      </c>
      <c r="AQ91" s="4">
        <v>0</v>
      </c>
      <c r="AR91" s="4">
        <v>0</v>
      </c>
      <c r="AS91" s="4">
        <v>0</v>
      </c>
      <c r="AT91" s="4">
        <v>0</v>
      </c>
      <c r="AU91" s="4">
        <v>1</v>
      </c>
      <c r="AV91" s="116">
        <v>0</v>
      </c>
      <c r="AW91" s="4">
        <v>0</v>
      </c>
      <c r="AX91" s="4">
        <v>0</v>
      </c>
      <c r="AY91" s="4">
        <v>0</v>
      </c>
      <c r="AZ91" s="4">
        <v>0</v>
      </c>
      <c r="BA91" s="4">
        <v>1</v>
      </c>
      <c r="BB91" s="4">
        <v>0</v>
      </c>
      <c r="BC91" s="4">
        <v>0</v>
      </c>
      <c r="BD91" s="4">
        <v>0</v>
      </c>
      <c r="BE91" s="4">
        <v>0</v>
      </c>
      <c r="BF91" s="4">
        <v>0</v>
      </c>
      <c r="BG91" s="117">
        <v>0</v>
      </c>
      <c r="BH91" s="4">
        <v>0</v>
      </c>
      <c r="BI91" s="4">
        <v>0</v>
      </c>
      <c r="BJ91" s="4">
        <v>0</v>
      </c>
      <c r="BK91" s="4">
        <v>0</v>
      </c>
      <c r="BL91" s="4">
        <v>0</v>
      </c>
      <c r="BM91" s="4">
        <v>0</v>
      </c>
      <c r="BN91" s="4">
        <v>0</v>
      </c>
      <c r="BO91" s="4">
        <v>0</v>
      </c>
      <c r="BP91" s="4">
        <v>0</v>
      </c>
      <c r="BQ91" s="4">
        <v>0</v>
      </c>
      <c r="BR91" s="4">
        <v>0</v>
      </c>
      <c r="BS91" s="4">
        <v>0</v>
      </c>
      <c r="BT91" s="116">
        <v>0</v>
      </c>
      <c r="BU91" s="4">
        <v>0</v>
      </c>
      <c r="BV91" s="4">
        <v>0</v>
      </c>
      <c r="BW91" s="4">
        <v>0</v>
      </c>
      <c r="BX91" s="4">
        <v>1</v>
      </c>
      <c r="BY91" s="4">
        <v>0</v>
      </c>
      <c r="BZ91" s="4">
        <v>0</v>
      </c>
      <c r="CA91" s="4">
        <v>0</v>
      </c>
      <c r="CB91" s="4">
        <v>0</v>
      </c>
      <c r="CC91" s="4">
        <v>0</v>
      </c>
      <c r="CD91" s="4">
        <v>0</v>
      </c>
      <c r="CE91" s="63">
        <v>0</v>
      </c>
      <c r="CF91" s="87"/>
    </row>
    <row r="92" spans="1:84" ht="17" thickBot="1" x14ac:dyDescent="0.5">
      <c r="A92" s="355"/>
      <c r="B92" s="355"/>
      <c r="C92" s="355"/>
      <c r="D92" s="463"/>
      <c r="E92" s="3"/>
      <c r="F92" s="351"/>
      <c r="G92" s="353"/>
      <c r="H92" s="353"/>
      <c r="I92" s="354"/>
      <c r="J92" s="51" t="s">
        <v>165</v>
      </c>
      <c r="K92" s="202" t="e">
        <f t="shared" si="14"/>
        <v>#DIV/0!</v>
      </c>
      <c r="L92" s="88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121"/>
      <c r="Y92" s="90"/>
      <c r="Z92" s="90"/>
      <c r="AA92" s="90"/>
      <c r="AB92" s="90"/>
      <c r="AC92" s="90"/>
      <c r="AD92" s="90"/>
      <c r="AE92" s="90"/>
      <c r="AF92" s="90"/>
      <c r="AG92" s="90"/>
      <c r="AH92" s="90"/>
      <c r="AI92" s="122"/>
      <c r="AJ92" s="90"/>
      <c r="AK92" s="90"/>
      <c r="AL92" s="90"/>
      <c r="AM92" s="90"/>
      <c r="AN92" s="90"/>
      <c r="AO92" s="90"/>
      <c r="AP92" s="90"/>
      <c r="AQ92" s="90"/>
      <c r="AR92" s="90"/>
      <c r="AS92" s="90"/>
      <c r="AT92" s="90"/>
      <c r="AU92" s="90"/>
      <c r="AV92" s="121"/>
      <c r="AW92" s="90"/>
      <c r="AX92" s="90"/>
      <c r="AY92" s="90"/>
      <c r="AZ92" s="90"/>
      <c r="BA92" s="90"/>
      <c r="BB92" s="90"/>
      <c r="BC92" s="90"/>
      <c r="BD92" s="90"/>
      <c r="BE92" s="90"/>
      <c r="BF92" s="90"/>
      <c r="BG92" s="122"/>
      <c r="BH92" s="90"/>
      <c r="BI92" s="90"/>
      <c r="BJ92" s="90"/>
      <c r="BK92" s="90"/>
      <c r="BL92" s="90"/>
      <c r="BM92" s="90"/>
      <c r="BN92" s="90"/>
      <c r="BO92" s="90"/>
      <c r="BP92" s="90"/>
      <c r="BQ92" s="90"/>
      <c r="BR92" s="90"/>
      <c r="BS92" s="90"/>
      <c r="BT92" s="121"/>
      <c r="BU92" s="90"/>
      <c r="BV92" s="90"/>
      <c r="BW92" s="90"/>
      <c r="BX92" s="90"/>
      <c r="BY92" s="90"/>
      <c r="BZ92" s="90"/>
      <c r="CA92" s="90"/>
      <c r="CB92" s="90"/>
      <c r="CC92" s="90"/>
      <c r="CD92" s="90"/>
      <c r="CE92" s="91"/>
    </row>
    <row r="93" spans="1:84" ht="17" thickBot="1" x14ac:dyDescent="0.5">
      <c r="A93" s="355"/>
      <c r="B93" s="355"/>
      <c r="C93" s="355"/>
      <c r="D93" s="461" t="s">
        <v>425</v>
      </c>
      <c r="E93" s="3"/>
      <c r="F93" s="350" t="s">
        <v>195</v>
      </c>
      <c r="G93" s="352"/>
      <c r="H93" s="352"/>
      <c r="I93" s="350" t="s">
        <v>189</v>
      </c>
      <c r="J93" s="80" t="s">
        <v>22</v>
      </c>
      <c r="K93" s="202">
        <f t="shared" si="14"/>
        <v>0.16666666666666666</v>
      </c>
      <c r="L93" s="64">
        <v>0</v>
      </c>
      <c r="M93" s="65">
        <v>1</v>
      </c>
      <c r="N93" s="65">
        <v>1</v>
      </c>
      <c r="O93" s="65">
        <v>0</v>
      </c>
      <c r="P93" s="65">
        <v>0</v>
      </c>
      <c r="Q93" s="65">
        <v>0</v>
      </c>
      <c r="R93" s="65">
        <v>0</v>
      </c>
      <c r="S93" s="65">
        <v>0</v>
      </c>
      <c r="T93" s="65">
        <v>0</v>
      </c>
      <c r="U93" s="65">
        <v>0</v>
      </c>
      <c r="V93" s="65">
        <v>1</v>
      </c>
      <c r="W93" s="65">
        <v>0</v>
      </c>
      <c r="X93" s="116">
        <v>0</v>
      </c>
      <c r="Y93" s="4">
        <v>0</v>
      </c>
      <c r="Z93" s="4">
        <v>0</v>
      </c>
      <c r="AA93" s="4">
        <v>0</v>
      </c>
      <c r="AB93" s="4">
        <v>0</v>
      </c>
      <c r="AC93" s="4">
        <v>0</v>
      </c>
      <c r="AD93" s="4">
        <v>0</v>
      </c>
      <c r="AE93" s="4">
        <v>0</v>
      </c>
      <c r="AF93" s="4">
        <v>0</v>
      </c>
      <c r="AG93" s="4">
        <v>0</v>
      </c>
      <c r="AH93" s="4">
        <v>0</v>
      </c>
      <c r="AI93" s="117">
        <v>0</v>
      </c>
      <c r="AJ93" s="4">
        <v>0</v>
      </c>
      <c r="AK93" s="4">
        <v>0</v>
      </c>
      <c r="AL93" s="4">
        <v>1</v>
      </c>
      <c r="AM93" s="4">
        <v>0</v>
      </c>
      <c r="AN93" s="4">
        <v>0</v>
      </c>
      <c r="AO93" s="4">
        <v>0</v>
      </c>
      <c r="AP93" s="4">
        <v>0</v>
      </c>
      <c r="AQ93" s="4">
        <v>0</v>
      </c>
      <c r="AR93" s="4">
        <v>0</v>
      </c>
      <c r="AS93" s="4">
        <v>0</v>
      </c>
      <c r="AT93" s="4">
        <v>0</v>
      </c>
      <c r="AU93" s="4">
        <v>0</v>
      </c>
      <c r="AV93" s="116">
        <v>0</v>
      </c>
      <c r="AW93" s="4">
        <v>0</v>
      </c>
      <c r="AX93" s="4">
        <v>0</v>
      </c>
      <c r="AY93" s="4">
        <v>1</v>
      </c>
      <c r="AZ93" s="4">
        <v>0</v>
      </c>
      <c r="BA93" s="4">
        <v>1</v>
      </c>
      <c r="BB93" s="4">
        <v>1</v>
      </c>
      <c r="BC93" s="4">
        <v>0</v>
      </c>
      <c r="BD93" s="4">
        <v>1</v>
      </c>
      <c r="BE93" s="4">
        <v>0</v>
      </c>
      <c r="BF93" s="4">
        <v>0</v>
      </c>
      <c r="BG93" s="117">
        <v>0</v>
      </c>
      <c r="BH93" s="4">
        <v>0</v>
      </c>
      <c r="BI93" s="4">
        <v>0</v>
      </c>
      <c r="BJ93" s="4">
        <v>0</v>
      </c>
      <c r="BK93" s="4">
        <v>1</v>
      </c>
      <c r="BL93" s="4">
        <v>0</v>
      </c>
      <c r="BM93" s="4">
        <v>0</v>
      </c>
      <c r="BN93" s="4">
        <v>0</v>
      </c>
      <c r="BO93" s="4">
        <v>0</v>
      </c>
      <c r="BP93" s="4">
        <v>0</v>
      </c>
      <c r="BQ93" s="4">
        <v>1</v>
      </c>
      <c r="BR93" s="4">
        <v>0</v>
      </c>
      <c r="BS93" s="4">
        <v>0</v>
      </c>
      <c r="BT93" s="116">
        <v>1</v>
      </c>
      <c r="BU93" s="4">
        <v>0</v>
      </c>
      <c r="BV93" s="4">
        <v>0</v>
      </c>
      <c r="BW93" s="4">
        <v>0</v>
      </c>
      <c r="BX93" s="4">
        <v>0</v>
      </c>
      <c r="BY93" s="4">
        <v>0</v>
      </c>
      <c r="BZ93" s="4">
        <v>0</v>
      </c>
      <c r="CA93" s="4">
        <v>0</v>
      </c>
      <c r="CB93" s="4">
        <v>0</v>
      </c>
      <c r="CC93" s="4">
        <v>1</v>
      </c>
      <c r="CD93" s="4">
        <v>0</v>
      </c>
      <c r="CE93" s="63">
        <v>0</v>
      </c>
      <c r="CF93" s="87"/>
    </row>
    <row r="94" spans="1:84" ht="17" thickBot="1" x14ac:dyDescent="0.5">
      <c r="A94" s="355"/>
      <c r="B94" s="355"/>
      <c r="C94" s="355"/>
      <c r="D94" s="463"/>
      <c r="E94" s="3"/>
      <c r="F94" s="351"/>
      <c r="G94" s="353"/>
      <c r="H94" s="353"/>
      <c r="I94" s="354"/>
      <c r="J94" s="51" t="s">
        <v>165</v>
      </c>
      <c r="K94" s="202"/>
      <c r="L94" s="88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121"/>
      <c r="Y94" s="90"/>
      <c r="Z94" s="90"/>
      <c r="AA94" s="90"/>
      <c r="AB94" s="90"/>
      <c r="AC94" s="90"/>
      <c r="AD94" s="90"/>
      <c r="AE94" s="90"/>
      <c r="AF94" s="90"/>
      <c r="AG94" s="90"/>
      <c r="AH94" s="90"/>
      <c r="AI94" s="122"/>
      <c r="AJ94" s="90"/>
      <c r="AK94" s="90"/>
      <c r="AL94" s="90"/>
      <c r="AM94" s="90"/>
      <c r="AN94" s="90"/>
      <c r="AO94" s="90"/>
      <c r="AP94" s="90"/>
      <c r="AQ94" s="90"/>
      <c r="AR94" s="90"/>
      <c r="AS94" s="90"/>
      <c r="AT94" s="90"/>
      <c r="AU94" s="90"/>
      <c r="AV94" s="121"/>
      <c r="AW94" s="90"/>
      <c r="AX94" s="90"/>
      <c r="AY94" s="90"/>
      <c r="AZ94" s="90"/>
      <c r="BA94" s="90"/>
      <c r="BB94" s="90"/>
      <c r="BC94" s="90"/>
      <c r="BD94" s="90"/>
      <c r="BE94" s="90"/>
      <c r="BF94" s="90"/>
      <c r="BG94" s="122"/>
      <c r="BH94" s="90"/>
      <c r="BI94" s="90"/>
      <c r="BJ94" s="90"/>
      <c r="BK94" s="90"/>
      <c r="BL94" s="90"/>
      <c r="BM94" s="90"/>
      <c r="BN94" s="90"/>
      <c r="BO94" s="90"/>
      <c r="BP94" s="90"/>
      <c r="BQ94" s="90"/>
      <c r="BR94" s="90"/>
      <c r="BS94" s="90"/>
      <c r="BT94" s="121"/>
      <c r="BU94" s="90"/>
      <c r="BV94" s="90"/>
      <c r="BW94" s="90"/>
      <c r="BX94" s="90"/>
      <c r="BY94" s="90"/>
      <c r="BZ94" s="90"/>
      <c r="CA94" s="90"/>
      <c r="CB94" s="90"/>
      <c r="CC94" s="90"/>
      <c r="CD94" s="90"/>
      <c r="CE94" s="91"/>
    </row>
    <row r="95" spans="1:84" ht="16.5" x14ac:dyDescent="0.45">
      <c r="A95" s="355"/>
      <c r="B95" s="355"/>
      <c r="C95" s="355"/>
      <c r="D95" s="461" t="s">
        <v>431</v>
      </c>
      <c r="E95" s="3"/>
      <c r="F95" s="350" t="s">
        <v>195</v>
      </c>
      <c r="G95" s="352"/>
      <c r="H95" s="352"/>
      <c r="I95" s="350" t="s">
        <v>189</v>
      </c>
      <c r="J95" s="80" t="s">
        <v>22</v>
      </c>
      <c r="K95" s="202">
        <f t="shared" si="14"/>
        <v>0.18055555555555555</v>
      </c>
      <c r="L95" s="64">
        <v>0</v>
      </c>
      <c r="M95" s="65">
        <v>0</v>
      </c>
      <c r="N95" s="65">
        <v>0</v>
      </c>
      <c r="O95" s="65">
        <v>1</v>
      </c>
      <c r="P95" s="65">
        <v>0</v>
      </c>
      <c r="Q95" s="65">
        <v>0</v>
      </c>
      <c r="R95" s="65">
        <v>0</v>
      </c>
      <c r="S95" s="65">
        <v>0</v>
      </c>
      <c r="T95" s="65">
        <v>0</v>
      </c>
      <c r="U95" s="65">
        <v>1</v>
      </c>
      <c r="V95" s="65">
        <v>0</v>
      </c>
      <c r="W95" s="65">
        <v>0</v>
      </c>
      <c r="X95" s="116">
        <v>1</v>
      </c>
      <c r="Y95" s="4">
        <v>1</v>
      </c>
      <c r="Z95" s="4">
        <v>0</v>
      </c>
      <c r="AA95" s="4">
        <v>0</v>
      </c>
      <c r="AB95" s="4">
        <v>0</v>
      </c>
      <c r="AC95" s="4">
        <v>0</v>
      </c>
      <c r="AD95" s="4">
        <v>1</v>
      </c>
      <c r="AE95" s="4">
        <v>1</v>
      </c>
      <c r="AF95" s="4">
        <v>0</v>
      </c>
      <c r="AG95" s="4">
        <v>0</v>
      </c>
      <c r="AH95" s="4">
        <v>0</v>
      </c>
      <c r="AI95" s="117">
        <v>0</v>
      </c>
      <c r="AJ95" s="4">
        <v>0</v>
      </c>
      <c r="AK95" s="4">
        <v>1</v>
      </c>
      <c r="AL95" s="4">
        <v>0</v>
      </c>
      <c r="AM95" s="4">
        <v>1</v>
      </c>
      <c r="AN95" s="4">
        <v>1</v>
      </c>
      <c r="AO95" s="4">
        <v>0</v>
      </c>
      <c r="AP95" s="4">
        <v>1</v>
      </c>
      <c r="AQ95" s="4">
        <v>0</v>
      </c>
      <c r="AR95" s="4">
        <v>0</v>
      </c>
      <c r="AS95" s="4">
        <v>0</v>
      </c>
      <c r="AT95" s="4">
        <v>0</v>
      </c>
      <c r="AU95" s="4">
        <v>0</v>
      </c>
      <c r="AV95" s="116">
        <v>0</v>
      </c>
      <c r="AW95" s="4">
        <v>0</v>
      </c>
      <c r="AX95" s="4">
        <v>0</v>
      </c>
      <c r="AY95" s="4">
        <v>0</v>
      </c>
      <c r="AZ95" s="4">
        <v>0</v>
      </c>
      <c r="BA95" s="4">
        <v>0</v>
      </c>
      <c r="BB95" s="4">
        <v>0</v>
      </c>
      <c r="BC95" s="4">
        <v>0</v>
      </c>
      <c r="BD95" s="4">
        <v>0</v>
      </c>
      <c r="BE95" s="4">
        <v>0</v>
      </c>
      <c r="BF95" s="4">
        <v>0</v>
      </c>
      <c r="BG95" s="117">
        <v>1</v>
      </c>
      <c r="BH95" s="4">
        <v>0</v>
      </c>
      <c r="BI95" s="4">
        <v>0</v>
      </c>
      <c r="BJ95" s="4">
        <v>0</v>
      </c>
      <c r="BK95" s="4">
        <v>0</v>
      </c>
      <c r="BL95" s="4">
        <v>0</v>
      </c>
      <c r="BM95" s="4">
        <v>0</v>
      </c>
      <c r="BN95" s="4">
        <v>0</v>
      </c>
      <c r="BO95" s="4">
        <v>0</v>
      </c>
      <c r="BP95" s="4">
        <v>0</v>
      </c>
      <c r="BQ95" s="4">
        <v>0</v>
      </c>
      <c r="BR95" s="4">
        <v>0</v>
      </c>
      <c r="BS95" s="4">
        <v>0</v>
      </c>
      <c r="BT95" s="116">
        <v>0</v>
      </c>
      <c r="BU95" s="4">
        <v>1</v>
      </c>
      <c r="BV95" s="4">
        <v>0</v>
      </c>
      <c r="BW95" s="4">
        <v>0</v>
      </c>
      <c r="BX95" s="4">
        <v>0</v>
      </c>
      <c r="BY95" s="4">
        <v>0</v>
      </c>
      <c r="BZ95" s="4">
        <v>0</v>
      </c>
      <c r="CA95" s="4">
        <v>0</v>
      </c>
      <c r="CB95" s="4">
        <v>1</v>
      </c>
      <c r="CC95" s="4">
        <v>0</v>
      </c>
      <c r="CD95" s="4">
        <v>0</v>
      </c>
      <c r="CE95" s="63">
        <v>0</v>
      </c>
      <c r="CF95" s="87"/>
    </row>
    <row r="96" spans="1:84" ht="17" thickBot="1" x14ac:dyDescent="0.5">
      <c r="A96" s="355"/>
      <c r="B96" s="353"/>
      <c r="C96" s="353"/>
      <c r="D96" s="463"/>
      <c r="E96" s="3"/>
      <c r="F96" s="351"/>
      <c r="G96" s="353"/>
      <c r="H96" s="353"/>
      <c r="I96" s="354"/>
      <c r="J96" s="51" t="s">
        <v>165</v>
      </c>
      <c r="K96" s="203"/>
      <c r="L96" s="64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116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117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116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117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116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63"/>
    </row>
    <row r="97" spans="1:83" ht="16.5" x14ac:dyDescent="0.45">
      <c r="A97" s="355"/>
      <c r="B97" s="352" t="s">
        <v>374</v>
      </c>
      <c r="C97" s="352" t="s">
        <v>373</v>
      </c>
      <c r="D97" s="461" t="s">
        <v>192</v>
      </c>
      <c r="E97" s="52"/>
      <c r="F97" s="352" t="s">
        <v>191</v>
      </c>
      <c r="G97" s="352" t="s">
        <v>189</v>
      </c>
      <c r="H97" s="352" t="s">
        <v>46</v>
      </c>
      <c r="I97" s="350" t="s">
        <v>190</v>
      </c>
      <c r="J97" s="80" t="s">
        <v>22</v>
      </c>
      <c r="K97" s="202">
        <f>AVERAGE(L97:BS97)</f>
        <v>1.2</v>
      </c>
      <c r="L97" s="66">
        <v>0</v>
      </c>
      <c r="M97" s="67">
        <v>0</v>
      </c>
      <c r="N97" s="67">
        <v>3</v>
      </c>
      <c r="O97" s="67">
        <v>2</v>
      </c>
      <c r="P97" s="67">
        <v>1</v>
      </c>
      <c r="Q97" s="67">
        <v>2</v>
      </c>
      <c r="R97" s="67">
        <v>0</v>
      </c>
      <c r="S97" s="67">
        <v>2</v>
      </c>
      <c r="T97" s="67">
        <v>1</v>
      </c>
      <c r="U97" s="67">
        <v>1</v>
      </c>
      <c r="V97" s="67">
        <v>0</v>
      </c>
      <c r="W97" s="67">
        <v>1</v>
      </c>
      <c r="X97" s="119">
        <v>1</v>
      </c>
      <c r="Y97" s="70">
        <v>3</v>
      </c>
      <c r="Z97" s="70">
        <v>1</v>
      </c>
      <c r="AA97" s="70">
        <v>2</v>
      </c>
      <c r="AB97" s="70">
        <v>0</v>
      </c>
      <c r="AC97" s="70">
        <v>1</v>
      </c>
      <c r="AD97" s="70">
        <v>3</v>
      </c>
      <c r="AE97" s="70">
        <v>1</v>
      </c>
      <c r="AF97" s="70">
        <v>2</v>
      </c>
      <c r="AG97" s="70">
        <v>1</v>
      </c>
      <c r="AH97" s="70">
        <v>1</v>
      </c>
      <c r="AI97" s="120">
        <v>2</v>
      </c>
      <c r="AJ97" s="70">
        <v>1</v>
      </c>
      <c r="AK97" s="70">
        <v>0</v>
      </c>
      <c r="AL97" s="70">
        <v>0</v>
      </c>
      <c r="AM97" s="70">
        <v>0</v>
      </c>
      <c r="AN97" s="70">
        <v>1</v>
      </c>
      <c r="AO97" s="70">
        <v>0</v>
      </c>
      <c r="AP97" s="70">
        <v>5</v>
      </c>
      <c r="AQ97" s="70">
        <v>1</v>
      </c>
      <c r="AR97" s="70">
        <v>3</v>
      </c>
      <c r="AS97" s="70">
        <v>1</v>
      </c>
      <c r="AT97" s="70">
        <v>3</v>
      </c>
      <c r="AU97" s="70">
        <v>0</v>
      </c>
      <c r="AV97" s="119">
        <v>1</v>
      </c>
      <c r="AW97" s="70">
        <v>2</v>
      </c>
      <c r="AX97" s="70">
        <v>1</v>
      </c>
      <c r="AY97" s="70">
        <v>0</v>
      </c>
      <c r="AZ97" s="70">
        <v>2</v>
      </c>
      <c r="BA97" s="70">
        <v>1</v>
      </c>
      <c r="BB97" s="70">
        <v>0</v>
      </c>
      <c r="BC97" s="70">
        <v>1</v>
      </c>
      <c r="BD97" s="70">
        <v>2</v>
      </c>
      <c r="BE97" s="70">
        <v>0</v>
      </c>
      <c r="BF97" s="70">
        <v>2</v>
      </c>
      <c r="BG97" s="120">
        <v>5</v>
      </c>
      <c r="BH97" s="70">
        <v>1</v>
      </c>
      <c r="BI97" s="70">
        <v>0</v>
      </c>
      <c r="BJ97" s="70">
        <v>3</v>
      </c>
      <c r="BK97" s="70">
        <v>1</v>
      </c>
      <c r="BL97" s="70">
        <v>1</v>
      </c>
      <c r="BM97" s="70">
        <v>0</v>
      </c>
      <c r="BN97" s="70">
        <v>1</v>
      </c>
      <c r="BO97" s="70">
        <v>0</v>
      </c>
      <c r="BP97" s="70">
        <v>1</v>
      </c>
      <c r="BQ97" s="70">
        <v>1</v>
      </c>
      <c r="BR97" s="70">
        <v>0</v>
      </c>
      <c r="BS97" s="70">
        <v>0</v>
      </c>
      <c r="BT97" s="227">
        <v>2</v>
      </c>
      <c r="BU97" s="110">
        <v>0</v>
      </c>
      <c r="BV97" s="110">
        <v>2</v>
      </c>
      <c r="BW97" s="110">
        <v>0</v>
      </c>
      <c r="BX97" s="111">
        <v>1</v>
      </c>
      <c r="BY97" s="388" t="s">
        <v>57</v>
      </c>
      <c r="BZ97" s="366" t="s">
        <v>30</v>
      </c>
      <c r="CA97" s="367"/>
      <c r="CB97" s="359" t="s">
        <v>58</v>
      </c>
      <c r="CC97" s="360"/>
      <c r="CD97" s="360"/>
      <c r="CE97" s="361"/>
    </row>
    <row r="98" spans="1:83" ht="17" thickBot="1" x14ac:dyDescent="0.5">
      <c r="A98" s="353"/>
      <c r="B98" s="353"/>
      <c r="C98" s="353"/>
      <c r="D98" s="463"/>
      <c r="E98" s="82"/>
      <c r="F98" s="353"/>
      <c r="G98" s="353"/>
      <c r="H98" s="353"/>
      <c r="I98" s="354"/>
      <c r="J98" s="51" t="s">
        <v>165</v>
      </c>
      <c r="K98" s="203"/>
      <c r="L98" s="354">
        <v>8</v>
      </c>
      <c r="M98" s="363"/>
      <c r="N98" s="363"/>
      <c r="O98" s="363"/>
      <c r="P98" s="363"/>
      <c r="Q98" s="363"/>
      <c r="R98" s="363">
        <v>5</v>
      </c>
      <c r="S98" s="363"/>
      <c r="T98" s="363"/>
      <c r="U98" s="363"/>
      <c r="V98" s="363"/>
      <c r="W98" s="363"/>
      <c r="X98" s="393">
        <v>8</v>
      </c>
      <c r="Y98" s="386"/>
      <c r="Z98" s="386"/>
      <c r="AA98" s="386"/>
      <c r="AB98" s="386"/>
      <c r="AC98" s="386"/>
      <c r="AD98" s="386">
        <v>10</v>
      </c>
      <c r="AE98" s="386"/>
      <c r="AF98" s="386"/>
      <c r="AG98" s="386"/>
      <c r="AH98" s="386"/>
      <c r="AI98" s="394"/>
      <c r="AJ98" s="386">
        <v>2</v>
      </c>
      <c r="AK98" s="386"/>
      <c r="AL98" s="386"/>
      <c r="AM98" s="386"/>
      <c r="AN98" s="386"/>
      <c r="AO98" s="386"/>
      <c r="AP98" s="386">
        <v>13</v>
      </c>
      <c r="AQ98" s="386"/>
      <c r="AR98" s="386"/>
      <c r="AS98" s="386"/>
      <c r="AT98" s="386"/>
      <c r="AU98" s="386"/>
      <c r="AV98" s="393">
        <v>7</v>
      </c>
      <c r="AW98" s="386"/>
      <c r="AX98" s="386"/>
      <c r="AY98" s="386"/>
      <c r="AZ98" s="386"/>
      <c r="BA98" s="386"/>
      <c r="BB98" s="386">
        <v>10</v>
      </c>
      <c r="BC98" s="386"/>
      <c r="BD98" s="386"/>
      <c r="BE98" s="386"/>
      <c r="BF98" s="386"/>
      <c r="BG98" s="394"/>
      <c r="BH98" s="386">
        <v>6</v>
      </c>
      <c r="BI98" s="386"/>
      <c r="BJ98" s="386"/>
      <c r="BK98" s="386"/>
      <c r="BL98" s="386"/>
      <c r="BM98" s="386"/>
      <c r="BN98" s="386">
        <v>3</v>
      </c>
      <c r="BO98" s="386"/>
      <c r="BP98" s="386"/>
      <c r="BQ98" s="386"/>
      <c r="BR98" s="386"/>
      <c r="BS98" s="386"/>
      <c r="BT98" s="112"/>
      <c r="BU98" s="105"/>
      <c r="BV98" s="105"/>
      <c r="BW98" s="105"/>
      <c r="BX98" s="104"/>
      <c r="BY98" s="389"/>
      <c r="BZ98" s="384"/>
      <c r="CA98" s="385"/>
      <c r="CB98" s="362"/>
      <c r="CC98" s="363"/>
      <c r="CD98" s="363"/>
      <c r="CE98" s="364"/>
    </row>
  </sheetData>
  <mergeCells count="483">
    <mergeCell ref="AJ34:AU34"/>
    <mergeCell ref="AV34:BG34"/>
    <mergeCell ref="BH34:BS34"/>
    <mergeCell ref="BT34:CE34"/>
    <mergeCell ref="D35:D36"/>
    <mergeCell ref="F35:F36"/>
    <mergeCell ref="G35:G36"/>
    <mergeCell ref="H35:H36"/>
    <mergeCell ref="I35:I36"/>
    <mergeCell ref="K2:K4"/>
    <mergeCell ref="C33:C38"/>
    <mergeCell ref="D33:D34"/>
    <mergeCell ref="F33:F34"/>
    <mergeCell ref="G33:G34"/>
    <mergeCell ref="H33:H34"/>
    <mergeCell ref="I33:I34"/>
    <mergeCell ref="L34:W34"/>
    <mergeCell ref="X34:AI34"/>
    <mergeCell ref="D37:D38"/>
    <mergeCell ref="F37:F38"/>
    <mergeCell ref="G37:G38"/>
    <mergeCell ref="H37:H38"/>
    <mergeCell ref="I37:I38"/>
    <mergeCell ref="D15:D16"/>
    <mergeCell ref="F15:F16"/>
    <mergeCell ref="G15:G16"/>
    <mergeCell ref="H15:H16"/>
    <mergeCell ref="I15:I16"/>
    <mergeCell ref="D19:D20"/>
    <mergeCell ref="F19:F20"/>
    <mergeCell ref="G19:G20"/>
    <mergeCell ref="H19:H20"/>
    <mergeCell ref="I19:I20"/>
    <mergeCell ref="BT52:CE52"/>
    <mergeCell ref="BH52:BS52"/>
    <mergeCell ref="AV52:BG52"/>
    <mergeCell ref="AJ52:AU52"/>
    <mergeCell ref="X52:AI52"/>
    <mergeCell ref="L52:W52"/>
    <mergeCell ref="BT44:CE44"/>
    <mergeCell ref="BH44:BS44"/>
    <mergeCell ref="AV44:BG44"/>
    <mergeCell ref="AJ44:AU44"/>
    <mergeCell ref="X44:AI44"/>
    <mergeCell ref="L44:W44"/>
    <mergeCell ref="BN46:BS46"/>
    <mergeCell ref="BT46:BY46"/>
    <mergeCell ref="BZ46:CE46"/>
    <mergeCell ref="L46:Q46"/>
    <mergeCell ref="R46:W46"/>
    <mergeCell ref="X46:AC46"/>
    <mergeCell ref="AD46:AI46"/>
    <mergeCell ref="AJ46:AO46"/>
    <mergeCell ref="AP46:AU46"/>
    <mergeCell ref="AV46:BA46"/>
    <mergeCell ref="BB46:BG46"/>
    <mergeCell ref="BH46:BM46"/>
    <mergeCell ref="D97:D98"/>
    <mergeCell ref="F97:F98"/>
    <mergeCell ref="G97:G98"/>
    <mergeCell ref="H97:H98"/>
    <mergeCell ref="I97:I98"/>
    <mergeCell ref="BB98:BG98"/>
    <mergeCell ref="BH98:BM98"/>
    <mergeCell ref="BN98:BS98"/>
    <mergeCell ref="L98:Q98"/>
    <mergeCell ref="R98:W98"/>
    <mergeCell ref="X98:AC98"/>
    <mergeCell ref="AD98:AI98"/>
    <mergeCell ref="AJ98:AO98"/>
    <mergeCell ref="AP98:AU98"/>
    <mergeCell ref="AV98:BA98"/>
    <mergeCell ref="D93:D94"/>
    <mergeCell ref="F93:F94"/>
    <mergeCell ref="G93:G94"/>
    <mergeCell ref="H93:H94"/>
    <mergeCell ref="I93:I94"/>
    <mergeCell ref="D95:D96"/>
    <mergeCell ref="F95:F96"/>
    <mergeCell ref="G95:G96"/>
    <mergeCell ref="H95:H96"/>
    <mergeCell ref="I95:I96"/>
    <mergeCell ref="F89:F90"/>
    <mergeCell ref="G89:G90"/>
    <mergeCell ref="H89:H90"/>
    <mergeCell ref="I89:I90"/>
    <mergeCell ref="F91:F92"/>
    <mergeCell ref="G91:G92"/>
    <mergeCell ref="H91:H92"/>
    <mergeCell ref="I91:I92"/>
    <mergeCell ref="F85:F86"/>
    <mergeCell ref="G85:G86"/>
    <mergeCell ref="H85:H86"/>
    <mergeCell ref="I85:I86"/>
    <mergeCell ref="D87:D88"/>
    <mergeCell ref="F87:F88"/>
    <mergeCell ref="G87:G88"/>
    <mergeCell ref="H87:H88"/>
    <mergeCell ref="I87:I88"/>
    <mergeCell ref="D81:D82"/>
    <mergeCell ref="F81:F82"/>
    <mergeCell ref="G81:G82"/>
    <mergeCell ref="H81:H82"/>
    <mergeCell ref="I81:I82"/>
    <mergeCell ref="F83:F84"/>
    <mergeCell ref="G83:G84"/>
    <mergeCell ref="H83:H84"/>
    <mergeCell ref="I83:I84"/>
    <mergeCell ref="I47:I48"/>
    <mergeCell ref="F77:F78"/>
    <mergeCell ref="G77:G78"/>
    <mergeCell ref="H77:H78"/>
    <mergeCell ref="I77:I78"/>
    <mergeCell ref="D79:D80"/>
    <mergeCell ref="F79:F80"/>
    <mergeCell ref="G79:G80"/>
    <mergeCell ref="H79:H80"/>
    <mergeCell ref="I79:I80"/>
    <mergeCell ref="I61:I62"/>
    <mergeCell ref="F63:F64"/>
    <mergeCell ref="G63:G64"/>
    <mergeCell ref="H63:H64"/>
    <mergeCell ref="I63:I64"/>
    <mergeCell ref="D65:D66"/>
    <mergeCell ref="F65:F66"/>
    <mergeCell ref="G65:G66"/>
    <mergeCell ref="H65:H66"/>
    <mergeCell ref="I65:I66"/>
    <mergeCell ref="F67:F68"/>
    <mergeCell ref="G67:G68"/>
    <mergeCell ref="H67:H68"/>
    <mergeCell ref="I67:I68"/>
    <mergeCell ref="BT40:BY40"/>
    <mergeCell ref="AV42:BA42"/>
    <mergeCell ref="BB42:BG42"/>
    <mergeCell ref="BH42:BM42"/>
    <mergeCell ref="BN42:BS42"/>
    <mergeCell ref="BT42:BY42"/>
    <mergeCell ref="D75:D76"/>
    <mergeCell ref="F75:F76"/>
    <mergeCell ref="G75:G76"/>
    <mergeCell ref="H75:H76"/>
    <mergeCell ref="I75:I76"/>
    <mergeCell ref="D45:D46"/>
    <mergeCell ref="F45:F46"/>
    <mergeCell ref="G45:G46"/>
    <mergeCell ref="H45:H46"/>
    <mergeCell ref="I45:I46"/>
    <mergeCell ref="D49:D50"/>
    <mergeCell ref="F49:F50"/>
    <mergeCell ref="G49:G50"/>
    <mergeCell ref="H49:H50"/>
    <mergeCell ref="I49:I50"/>
    <mergeCell ref="D47:D48"/>
    <mergeCell ref="F47:F48"/>
    <mergeCell ref="G47:G48"/>
    <mergeCell ref="AP42:AU42"/>
    <mergeCell ref="D43:D44"/>
    <mergeCell ref="F43:F44"/>
    <mergeCell ref="G43:G44"/>
    <mergeCell ref="H43:H44"/>
    <mergeCell ref="I43:I44"/>
    <mergeCell ref="BB40:BG40"/>
    <mergeCell ref="BH40:BM40"/>
    <mergeCell ref="BN40:BS40"/>
    <mergeCell ref="BT30:BY30"/>
    <mergeCell ref="BZ40:CE40"/>
    <mergeCell ref="D41:D42"/>
    <mergeCell ref="F41:F42"/>
    <mergeCell ref="G41:G42"/>
    <mergeCell ref="H41:H42"/>
    <mergeCell ref="I41:I42"/>
    <mergeCell ref="R40:W40"/>
    <mergeCell ref="X40:AC40"/>
    <mergeCell ref="AD40:AI40"/>
    <mergeCell ref="AJ40:AO40"/>
    <mergeCell ref="AP40:AU40"/>
    <mergeCell ref="AV40:BA40"/>
    <mergeCell ref="D39:D40"/>
    <mergeCell ref="F39:F40"/>
    <mergeCell ref="G39:G40"/>
    <mergeCell ref="H39:H40"/>
    <mergeCell ref="I39:I40"/>
    <mergeCell ref="L40:Q40"/>
    <mergeCell ref="L42:Q42"/>
    <mergeCell ref="R42:W42"/>
    <mergeCell ref="X42:AC42"/>
    <mergeCell ref="AD42:AI42"/>
    <mergeCell ref="AJ42:AO42"/>
    <mergeCell ref="BH24:BM24"/>
    <mergeCell ref="BN24:BS24"/>
    <mergeCell ref="BT24:BY24"/>
    <mergeCell ref="CA21:CE22"/>
    <mergeCell ref="AJ22:AO22"/>
    <mergeCell ref="AP22:AU22"/>
    <mergeCell ref="BH22:BM22"/>
    <mergeCell ref="BN22:BS22"/>
    <mergeCell ref="AJ26:AO26"/>
    <mergeCell ref="AP26:AU26"/>
    <mergeCell ref="AV26:BA26"/>
    <mergeCell ref="BB26:BG26"/>
    <mergeCell ref="AP24:AU24"/>
    <mergeCell ref="A21:A98"/>
    <mergeCell ref="D21:D22"/>
    <mergeCell ref="F21:F22"/>
    <mergeCell ref="G21:G22"/>
    <mergeCell ref="H21:H22"/>
    <mergeCell ref="L20:Q20"/>
    <mergeCell ref="R20:W20"/>
    <mergeCell ref="X20:AC20"/>
    <mergeCell ref="AD20:AI20"/>
    <mergeCell ref="D27:D28"/>
    <mergeCell ref="F27:F28"/>
    <mergeCell ref="G27:G28"/>
    <mergeCell ref="H27:H28"/>
    <mergeCell ref="I27:I28"/>
    <mergeCell ref="I21:I22"/>
    <mergeCell ref="D29:D30"/>
    <mergeCell ref="F29:F30"/>
    <mergeCell ref="G29:G30"/>
    <mergeCell ref="H29:H30"/>
    <mergeCell ref="I29:I30"/>
    <mergeCell ref="L28:Q28"/>
    <mergeCell ref="R28:W28"/>
    <mergeCell ref="X28:AC28"/>
    <mergeCell ref="H47:H48"/>
    <mergeCell ref="BT12:BY12"/>
    <mergeCell ref="BT15:BU16"/>
    <mergeCell ref="L16:Q16"/>
    <mergeCell ref="R16:W16"/>
    <mergeCell ref="X16:AC16"/>
    <mergeCell ref="AD16:AI16"/>
    <mergeCell ref="AJ16:AO16"/>
    <mergeCell ref="AP16:AU16"/>
    <mergeCell ref="BB12:BG12"/>
    <mergeCell ref="BR15:BS16"/>
    <mergeCell ref="BQ13:BR14"/>
    <mergeCell ref="BS13:BT14"/>
    <mergeCell ref="L14:Q14"/>
    <mergeCell ref="R14:W14"/>
    <mergeCell ref="X14:AC14"/>
    <mergeCell ref="AD14:AI14"/>
    <mergeCell ref="AJ14:AO14"/>
    <mergeCell ref="AP14:AU14"/>
    <mergeCell ref="BH16:BM16"/>
    <mergeCell ref="AD10:AI10"/>
    <mergeCell ref="AJ10:AO10"/>
    <mergeCell ref="AP10:AU10"/>
    <mergeCell ref="AV10:BA10"/>
    <mergeCell ref="BZ12:CE12"/>
    <mergeCell ref="D13:D14"/>
    <mergeCell ref="F13:F14"/>
    <mergeCell ref="G13:G14"/>
    <mergeCell ref="H13:H14"/>
    <mergeCell ref="I13:I14"/>
    <mergeCell ref="BI11:BI12"/>
    <mergeCell ref="BJ11:BK12"/>
    <mergeCell ref="L12:Q12"/>
    <mergeCell ref="R12:W12"/>
    <mergeCell ref="X12:AC12"/>
    <mergeCell ref="AD12:AI12"/>
    <mergeCell ref="AJ12:AO12"/>
    <mergeCell ref="AP12:AU12"/>
    <mergeCell ref="AV12:BA12"/>
    <mergeCell ref="BH14:BM14"/>
    <mergeCell ref="BZ14:CE14"/>
    <mergeCell ref="D11:D12"/>
    <mergeCell ref="F11:F12"/>
    <mergeCell ref="BN12:BS12"/>
    <mergeCell ref="BH8:BM8"/>
    <mergeCell ref="BN8:BS8"/>
    <mergeCell ref="BT8:BY8"/>
    <mergeCell ref="BZ8:CE8"/>
    <mergeCell ref="D9:D10"/>
    <mergeCell ref="F9:F10"/>
    <mergeCell ref="G9:G10"/>
    <mergeCell ref="H9:H10"/>
    <mergeCell ref="I9:I10"/>
    <mergeCell ref="AV7:AW8"/>
    <mergeCell ref="L8:Q8"/>
    <mergeCell ref="R8:W8"/>
    <mergeCell ref="X8:AC8"/>
    <mergeCell ref="AD8:AI8"/>
    <mergeCell ref="AJ8:AO8"/>
    <mergeCell ref="BB10:BG10"/>
    <mergeCell ref="BH10:BM10"/>
    <mergeCell ref="BN10:BS10"/>
    <mergeCell ref="BZ10:CE10"/>
    <mergeCell ref="BT9:BT10"/>
    <mergeCell ref="BU9:BV10"/>
    <mergeCell ref="L10:Q10"/>
    <mergeCell ref="R10:W10"/>
    <mergeCell ref="X10:AC10"/>
    <mergeCell ref="BA5:BB6"/>
    <mergeCell ref="L6:Q6"/>
    <mergeCell ref="R6:W6"/>
    <mergeCell ref="X6:AC6"/>
    <mergeCell ref="AD6:AI6"/>
    <mergeCell ref="AJ6:AO6"/>
    <mergeCell ref="AP6:AU6"/>
    <mergeCell ref="BB8:BG8"/>
    <mergeCell ref="AY5:AZ6"/>
    <mergeCell ref="AT7:AU8"/>
    <mergeCell ref="AV22:BG22"/>
    <mergeCell ref="A5:A18"/>
    <mergeCell ref="D5:D6"/>
    <mergeCell ref="F5:F6"/>
    <mergeCell ref="G5:G6"/>
    <mergeCell ref="H5:H6"/>
    <mergeCell ref="I5:I6"/>
    <mergeCell ref="A2:I3"/>
    <mergeCell ref="J2:J4"/>
    <mergeCell ref="L2:CE2"/>
    <mergeCell ref="L3:W3"/>
    <mergeCell ref="X3:AI3"/>
    <mergeCell ref="AJ3:AU3"/>
    <mergeCell ref="AV3:BG3"/>
    <mergeCell ref="BH3:BS3"/>
    <mergeCell ref="BT3:CE3"/>
    <mergeCell ref="BH6:BM6"/>
    <mergeCell ref="BN6:BS6"/>
    <mergeCell ref="BT6:BY6"/>
    <mergeCell ref="BZ6:CE6"/>
    <mergeCell ref="D7:D8"/>
    <mergeCell ref="F7:F8"/>
    <mergeCell ref="G7:G8"/>
    <mergeCell ref="H7:H8"/>
    <mergeCell ref="AD24:AI24"/>
    <mergeCell ref="G17:G18"/>
    <mergeCell ref="H17:H18"/>
    <mergeCell ref="I17:I18"/>
    <mergeCell ref="BU17:BU18"/>
    <mergeCell ref="L22:Q22"/>
    <mergeCell ref="R22:W22"/>
    <mergeCell ref="X22:AC22"/>
    <mergeCell ref="AD22:AI22"/>
    <mergeCell ref="L18:Q18"/>
    <mergeCell ref="R18:W18"/>
    <mergeCell ref="X18:AC18"/>
    <mergeCell ref="AD18:AI18"/>
    <mergeCell ref="AJ18:AO18"/>
    <mergeCell ref="AP18:AU18"/>
    <mergeCell ref="BH18:BM18"/>
    <mergeCell ref="BN18:BS18"/>
    <mergeCell ref="AV20:BA20"/>
    <mergeCell ref="BB20:BG20"/>
    <mergeCell ref="BH20:BM20"/>
    <mergeCell ref="BN20:BS20"/>
    <mergeCell ref="BT20:BY20"/>
    <mergeCell ref="AJ20:AO20"/>
    <mergeCell ref="AP20:AU20"/>
    <mergeCell ref="B5:B18"/>
    <mergeCell ref="C51:C52"/>
    <mergeCell ref="D51:D52"/>
    <mergeCell ref="F51:F52"/>
    <mergeCell ref="G51:G52"/>
    <mergeCell ref="H51:H52"/>
    <mergeCell ref="I51:I52"/>
    <mergeCell ref="C45:C50"/>
    <mergeCell ref="C39:C44"/>
    <mergeCell ref="C21:C26"/>
    <mergeCell ref="C27:C28"/>
    <mergeCell ref="D31:D32"/>
    <mergeCell ref="F31:F32"/>
    <mergeCell ref="G31:G32"/>
    <mergeCell ref="H31:H32"/>
    <mergeCell ref="I31:I32"/>
    <mergeCell ref="C29:C32"/>
    <mergeCell ref="I7:I8"/>
    <mergeCell ref="G11:G12"/>
    <mergeCell ref="H11:H12"/>
    <mergeCell ref="I11:I12"/>
    <mergeCell ref="D17:D18"/>
    <mergeCell ref="F17:F18"/>
    <mergeCell ref="D25:D26"/>
    <mergeCell ref="BZ97:CA98"/>
    <mergeCell ref="C97:C98"/>
    <mergeCell ref="B97:B98"/>
    <mergeCell ref="BT28:CE28"/>
    <mergeCell ref="BH28:BS28"/>
    <mergeCell ref="AV36:BG36"/>
    <mergeCell ref="AV38:BG38"/>
    <mergeCell ref="AV32:BG32"/>
    <mergeCell ref="AV28:BG28"/>
    <mergeCell ref="AD28:AI28"/>
    <mergeCell ref="AJ28:AO28"/>
    <mergeCell ref="AP28:AU28"/>
    <mergeCell ref="CD29:CE30"/>
    <mergeCell ref="L30:Q30"/>
    <mergeCell ref="R30:W30"/>
    <mergeCell ref="X30:AC30"/>
    <mergeCell ref="AD30:AI30"/>
    <mergeCell ref="AJ30:AO30"/>
    <mergeCell ref="AP30:AU30"/>
    <mergeCell ref="AV30:BA30"/>
    <mergeCell ref="BB30:BG30"/>
    <mergeCell ref="B21:B52"/>
    <mergeCell ref="F25:F26"/>
    <mergeCell ref="G25:G26"/>
    <mergeCell ref="AV16:BG16"/>
    <mergeCell ref="AV14:BG14"/>
    <mergeCell ref="AV24:BG24"/>
    <mergeCell ref="CB97:CE98"/>
    <mergeCell ref="BT26:CE26"/>
    <mergeCell ref="BH26:BS26"/>
    <mergeCell ref="BH30:BS30"/>
    <mergeCell ref="BH32:BS32"/>
    <mergeCell ref="BT32:CE32"/>
    <mergeCell ref="BH36:BS36"/>
    <mergeCell ref="BT36:CE36"/>
    <mergeCell ref="BT38:CE38"/>
    <mergeCell ref="BH38:BS38"/>
    <mergeCell ref="BZ24:CE24"/>
    <mergeCell ref="BV17:BW18"/>
    <mergeCell ref="BW21:BX22"/>
    <mergeCell ref="BZ18:CE18"/>
    <mergeCell ref="BZ16:CE16"/>
    <mergeCell ref="BZ19:CA20"/>
    <mergeCell ref="CB19:CC20"/>
    <mergeCell ref="CD19:CE20"/>
    <mergeCell ref="BY21:BZ22"/>
    <mergeCell ref="BZ42:CE42"/>
    <mergeCell ref="BY97:BY98"/>
    <mergeCell ref="D59:D60"/>
    <mergeCell ref="F59:F60"/>
    <mergeCell ref="G59:G60"/>
    <mergeCell ref="H59:H60"/>
    <mergeCell ref="I59:I60"/>
    <mergeCell ref="F61:F62"/>
    <mergeCell ref="G61:G62"/>
    <mergeCell ref="H61:H62"/>
    <mergeCell ref="AV18:BG18"/>
    <mergeCell ref="H25:H26"/>
    <mergeCell ref="I25:I26"/>
    <mergeCell ref="L26:Q26"/>
    <mergeCell ref="R26:W26"/>
    <mergeCell ref="X26:AC26"/>
    <mergeCell ref="AJ24:AO24"/>
    <mergeCell ref="AD26:AI26"/>
    <mergeCell ref="D23:D24"/>
    <mergeCell ref="F23:F24"/>
    <mergeCell ref="G23:G24"/>
    <mergeCell ref="H23:H24"/>
    <mergeCell ref="I23:I24"/>
    <mergeCell ref="L24:Q24"/>
    <mergeCell ref="R24:W24"/>
    <mergeCell ref="X24:AC24"/>
    <mergeCell ref="G53:G54"/>
    <mergeCell ref="H53:H54"/>
    <mergeCell ref="I53:I54"/>
    <mergeCell ref="F55:F56"/>
    <mergeCell ref="G55:G56"/>
    <mergeCell ref="H55:H56"/>
    <mergeCell ref="I55:I56"/>
    <mergeCell ref="D57:D58"/>
    <mergeCell ref="F57:F58"/>
    <mergeCell ref="G57:G58"/>
    <mergeCell ref="H57:H58"/>
    <mergeCell ref="I57:I58"/>
    <mergeCell ref="D73:D74"/>
    <mergeCell ref="F73:F74"/>
    <mergeCell ref="G73:G74"/>
    <mergeCell ref="H73:H74"/>
    <mergeCell ref="I73:I74"/>
    <mergeCell ref="B53:B96"/>
    <mergeCell ref="C53:C76"/>
    <mergeCell ref="C77:C96"/>
    <mergeCell ref="D77:D78"/>
    <mergeCell ref="D83:D84"/>
    <mergeCell ref="D85:D86"/>
    <mergeCell ref="D89:D90"/>
    <mergeCell ref="D91:D92"/>
    <mergeCell ref="F69:F70"/>
    <mergeCell ref="G69:G70"/>
    <mergeCell ref="H69:H70"/>
    <mergeCell ref="I69:I70"/>
    <mergeCell ref="D71:D72"/>
    <mergeCell ref="F71:F72"/>
    <mergeCell ref="G71:G72"/>
    <mergeCell ref="H71:H72"/>
    <mergeCell ref="I71:I72"/>
    <mergeCell ref="D53:D54"/>
    <mergeCell ref="F53:F54"/>
  </mergeCells>
  <phoneticPr fontId="1" type="noConversion"/>
  <pageMargins left="0.7" right="0.7" top="0.75" bottom="0.75" header="0.3" footer="0.3"/>
  <pageSetup paperSize="9" scale="13" fitToWidth="0" fitToHeight="0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6EC54-379B-45CE-A185-B2F09A4B525D}">
  <dimension ref="A1:BW117"/>
  <sheetViews>
    <sheetView tabSelected="1" topLeftCell="A88" zoomScale="84" workbookViewId="0">
      <selection activeCell="C101" sqref="C101"/>
    </sheetView>
  </sheetViews>
  <sheetFormatPr defaultRowHeight="14.5" x14ac:dyDescent="0.3"/>
  <cols>
    <col min="1" max="1" width="13.19921875" style="233" bestFit="1" customWidth="1"/>
    <col min="2" max="2" width="18.09765625" bestFit="1" customWidth="1"/>
    <col min="3" max="3" width="67.19921875" bestFit="1" customWidth="1"/>
  </cols>
  <sheetData>
    <row r="1" spans="1:75" ht="17" thickBot="1" x14ac:dyDescent="0.5">
      <c r="A1" s="464" t="s">
        <v>407</v>
      </c>
      <c r="B1" s="534"/>
      <c r="C1" s="397" t="s">
        <v>397</v>
      </c>
      <c r="D1" s="467" t="s">
        <v>41</v>
      </c>
      <c r="E1" s="468"/>
      <c r="F1" s="468"/>
      <c r="G1" s="468"/>
      <c r="H1" s="468"/>
      <c r="I1" s="468"/>
      <c r="J1" s="468"/>
      <c r="K1" s="468"/>
      <c r="L1" s="468"/>
      <c r="M1" s="468"/>
      <c r="N1" s="468"/>
      <c r="O1" s="468"/>
      <c r="P1" s="468"/>
      <c r="Q1" s="468"/>
      <c r="R1" s="468"/>
      <c r="S1" s="468"/>
      <c r="T1" s="468"/>
      <c r="U1" s="468"/>
      <c r="V1" s="468"/>
      <c r="W1" s="468"/>
      <c r="X1" s="468"/>
      <c r="Y1" s="468"/>
      <c r="Z1" s="468"/>
      <c r="AA1" s="468"/>
      <c r="AB1" s="468"/>
      <c r="AC1" s="468"/>
      <c r="AD1" s="468"/>
      <c r="AE1" s="468"/>
      <c r="AF1" s="468"/>
      <c r="AG1" s="468"/>
      <c r="AH1" s="468"/>
      <c r="AI1" s="468"/>
      <c r="AJ1" s="468"/>
      <c r="AK1" s="468"/>
      <c r="AL1" s="468"/>
      <c r="AM1" s="468"/>
      <c r="AN1" s="468"/>
      <c r="AO1" s="468"/>
      <c r="AP1" s="468"/>
      <c r="AQ1" s="468"/>
      <c r="AR1" s="468"/>
      <c r="AS1" s="468"/>
      <c r="AT1" s="468"/>
      <c r="AU1" s="468"/>
      <c r="AV1" s="468"/>
      <c r="AW1" s="468"/>
      <c r="AX1" s="468"/>
      <c r="AY1" s="468"/>
      <c r="AZ1" s="468"/>
      <c r="BA1" s="468"/>
      <c r="BB1" s="468"/>
      <c r="BC1" s="468"/>
      <c r="BD1" s="468"/>
      <c r="BE1" s="468"/>
      <c r="BF1" s="468"/>
      <c r="BG1" s="468"/>
      <c r="BH1" s="468"/>
      <c r="BI1" s="468"/>
      <c r="BJ1" s="468"/>
      <c r="BK1" s="468"/>
      <c r="BL1" s="468"/>
      <c r="BM1" s="468"/>
      <c r="BN1" s="468"/>
      <c r="BO1" s="468"/>
      <c r="BP1" s="468"/>
      <c r="BQ1" s="468"/>
      <c r="BR1" s="468"/>
      <c r="BS1" s="468"/>
      <c r="BT1" s="468"/>
      <c r="BU1" s="468"/>
      <c r="BV1" s="468"/>
      <c r="BW1" s="469"/>
    </row>
    <row r="2" spans="1:75" ht="17" thickBot="1" x14ac:dyDescent="0.5">
      <c r="A2" s="464"/>
      <c r="B2" s="535"/>
      <c r="C2" s="466"/>
      <c r="D2" s="470" t="s">
        <v>40</v>
      </c>
      <c r="E2" s="471"/>
      <c r="F2" s="471"/>
      <c r="G2" s="471"/>
      <c r="H2" s="471"/>
      <c r="I2" s="471"/>
      <c r="J2" s="471"/>
      <c r="K2" s="471"/>
      <c r="L2" s="471"/>
      <c r="M2" s="471"/>
      <c r="N2" s="471"/>
      <c r="O2" s="472"/>
      <c r="P2" s="470" t="s">
        <v>26</v>
      </c>
      <c r="Q2" s="471"/>
      <c r="R2" s="471"/>
      <c r="S2" s="471"/>
      <c r="T2" s="471"/>
      <c r="U2" s="471"/>
      <c r="V2" s="471"/>
      <c r="W2" s="471"/>
      <c r="X2" s="471"/>
      <c r="Y2" s="471"/>
      <c r="Z2" s="471"/>
      <c r="AA2" s="472"/>
      <c r="AB2" s="467" t="s">
        <v>27</v>
      </c>
      <c r="AC2" s="468"/>
      <c r="AD2" s="468"/>
      <c r="AE2" s="468"/>
      <c r="AF2" s="468"/>
      <c r="AG2" s="468"/>
      <c r="AH2" s="468"/>
      <c r="AI2" s="468"/>
      <c r="AJ2" s="468"/>
      <c r="AK2" s="468"/>
      <c r="AL2" s="468"/>
      <c r="AM2" s="469"/>
      <c r="AN2" s="467" t="s">
        <v>28</v>
      </c>
      <c r="AO2" s="468"/>
      <c r="AP2" s="468"/>
      <c r="AQ2" s="468"/>
      <c r="AR2" s="468"/>
      <c r="AS2" s="468"/>
      <c r="AT2" s="468"/>
      <c r="AU2" s="468"/>
      <c r="AV2" s="468"/>
      <c r="AW2" s="468"/>
      <c r="AX2" s="468"/>
      <c r="AY2" s="469"/>
      <c r="AZ2" s="467" t="s">
        <v>29</v>
      </c>
      <c r="BA2" s="468"/>
      <c r="BB2" s="468"/>
      <c r="BC2" s="468"/>
      <c r="BD2" s="468"/>
      <c r="BE2" s="468"/>
      <c r="BF2" s="468"/>
      <c r="BG2" s="468"/>
      <c r="BH2" s="468"/>
      <c r="BI2" s="468"/>
      <c r="BJ2" s="468"/>
      <c r="BK2" s="469"/>
      <c r="BL2" s="467" t="s">
        <v>33</v>
      </c>
      <c r="BM2" s="468"/>
      <c r="BN2" s="468"/>
      <c r="BO2" s="468"/>
      <c r="BP2" s="468"/>
      <c r="BQ2" s="468"/>
      <c r="BR2" s="468"/>
      <c r="BS2" s="468"/>
      <c r="BT2" s="468"/>
      <c r="BU2" s="468"/>
      <c r="BV2" s="468"/>
      <c r="BW2" s="469"/>
    </row>
    <row r="3" spans="1:75" ht="17" thickBot="1" x14ac:dyDescent="0.5">
      <c r="A3" s="464"/>
      <c r="B3" s="535"/>
      <c r="C3" s="398"/>
      <c r="D3" s="6" t="s">
        <v>12</v>
      </c>
      <c r="E3" s="7" t="s">
        <v>14</v>
      </c>
      <c r="F3" s="7" t="s">
        <v>15</v>
      </c>
      <c r="G3" s="7" t="s">
        <v>16</v>
      </c>
      <c r="H3" s="7" t="s">
        <v>17</v>
      </c>
      <c r="I3" s="7" t="s">
        <v>18</v>
      </c>
      <c r="J3" s="7" t="s">
        <v>19</v>
      </c>
      <c r="K3" s="7" t="s">
        <v>20</v>
      </c>
      <c r="L3" s="7" t="s">
        <v>5</v>
      </c>
      <c r="M3" s="7" t="s">
        <v>7</v>
      </c>
      <c r="N3" s="7" t="s">
        <v>9</v>
      </c>
      <c r="O3" s="8" t="s">
        <v>11</v>
      </c>
      <c r="P3" s="6" t="s">
        <v>12</v>
      </c>
      <c r="Q3" s="7" t="s">
        <v>14</v>
      </c>
      <c r="R3" s="7" t="s">
        <v>15</v>
      </c>
      <c r="S3" s="7" t="s">
        <v>16</v>
      </c>
      <c r="T3" s="7" t="s">
        <v>17</v>
      </c>
      <c r="U3" s="7" t="s">
        <v>18</v>
      </c>
      <c r="V3" s="7" t="s">
        <v>19</v>
      </c>
      <c r="W3" s="7" t="s">
        <v>20</v>
      </c>
      <c r="X3" s="7" t="s">
        <v>5</v>
      </c>
      <c r="Y3" s="7" t="s">
        <v>7</v>
      </c>
      <c r="Z3" s="7" t="s">
        <v>9</v>
      </c>
      <c r="AA3" s="8" t="s">
        <v>11</v>
      </c>
      <c r="AB3" s="12" t="s">
        <v>13</v>
      </c>
      <c r="AC3" s="7" t="s">
        <v>14</v>
      </c>
      <c r="AD3" s="7" t="s">
        <v>15</v>
      </c>
      <c r="AE3" s="7" t="s">
        <v>16</v>
      </c>
      <c r="AF3" s="7" t="s">
        <v>17</v>
      </c>
      <c r="AG3" s="7" t="s">
        <v>18</v>
      </c>
      <c r="AH3" s="7" t="s">
        <v>19</v>
      </c>
      <c r="AI3" s="7" t="s">
        <v>20</v>
      </c>
      <c r="AJ3" s="7" t="s">
        <v>5</v>
      </c>
      <c r="AK3" s="7" t="s">
        <v>6</v>
      </c>
      <c r="AL3" s="7" t="s">
        <v>8</v>
      </c>
      <c r="AM3" s="8" t="s">
        <v>10</v>
      </c>
      <c r="AN3" s="6" t="s">
        <v>13</v>
      </c>
      <c r="AO3" s="7" t="s">
        <v>14</v>
      </c>
      <c r="AP3" s="7" t="s">
        <v>15</v>
      </c>
      <c r="AQ3" s="7" t="s">
        <v>16</v>
      </c>
      <c r="AR3" s="7" t="s">
        <v>17</v>
      </c>
      <c r="AS3" s="7" t="s">
        <v>18</v>
      </c>
      <c r="AT3" s="7" t="s">
        <v>19</v>
      </c>
      <c r="AU3" s="7" t="s">
        <v>20</v>
      </c>
      <c r="AV3" s="7" t="s">
        <v>5</v>
      </c>
      <c r="AW3" s="7" t="s">
        <v>6</v>
      </c>
      <c r="AX3" s="7" t="s">
        <v>8</v>
      </c>
      <c r="AY3" s="8" t="s">
        <v>10</v>
      </c>
      <c r="AZ3" s="6" t="s">
        <v>13</v>
      </c>
      <c r="BA3" s="7" t="s">
        <v>14</v>
      </c>
      <c r="BB3" s="7" t="s">
        <v>15</v>
      </c>
      <c r="BC3" s="7" t="s">
        <v>16</v>
      </c>
      <c r="BD3" s="7" t="s">
        <v>17</v>
      </c>
      <c r="BE3" s="7" t="s">
        <v>18</v>
      </c>
      <c r="BF3" s="7" t="s">
        <v>19</v>
      </c>
      <c r="BG3" s="7" t="s">
        <v>20</v>
      </c>
      <c r="BH3" s="7" t="s">
        <v>5</v>
      </c>
      <c r="BI3" s="7" t="s">
        <v>6</v>
      </c>
      <c r="BJ3" s="7" t="s">
        <v>8</v>
      </c>
      <c r="BK3" s="8" t="s">
        <v>10</v>
      </c>
      <c r="BL3" s="6" t="s">
        <v>13</v>
      </c>
      <c r="BM3" s="7" t="s">
        <v>14</v>
      </c>
      <c r="BN3" s="7" t="s">
        <v>15</v>
      </c>
      <c r="BO3" s="7" t="s">
        <v>16</v>
      </c>
      <c r="BP3" s="7" t="s">
        <v>17</v>
      </c>
      <c r="BQ3" s="7" t="s">
        <v>18</v>
      </c>
      <c r="BR3" s="7" t="s">
        <v>19</v>
      </c>
      <c r="BS3" s="7" t="s">
        <v>20</v>
      </c>
      <c r="BT3" s="7" t="s">
        <v>5</v>
      </c>
      <c r="BU3" s="7" t="s">
        <v>6</v>
      </c>
      <c r="BV3" s="7" t="s">
        <v>8</v>
      </c>
      <c r="BW3" s="8" t="s">
        <v>10</v>
      </c>
    </row>
    <row r="4" spans="1:75" ht="17" thickBot="1" x14ac:dyDescent="0.5">
      <c r="A4" s="464"/>
      <c r="B4" s="461" t="s">
        <v>402</v>
      </c>
      <c r="C4" s="239" t="s">
        <v>403</v>
      </c>
      <c r="D4" s="207">
        <v>5</v>
      </c>
      <c r="E4" s="208">
        <v>1</v>
      </c>
      <c r="F4" s="208">
        <v>4</v>
      </c>
      <c r="G4" s="208">
        <v>2</v>
      </c>
      <c r="H4" s="208">
        <v>2</v>
      </c>
      <c r="I4" s="208">
        <v>1</v>
      </c>
      <c r="J4" s="208">
        <v>1</v>
      </c>
      <c r="K4" s="208">
        <v>2</v>
      </c>
      <c r="L4" s="208">
        <v>3</v>
      </c>
      <c r="M4" s="208">
        <v>1</v>
      </c>
      <c r="N4" s="208">
        <v>3</v>
      </c>
      <c r="O4" s="209">
        <v>2</v>
      </c>
      <c r="P4" s="208">
        <v>7</v>
      </c>
      <c r="Q4" s="208">
        <v>1</v>
      </c>
      <c r="R4" s="208">
        <v>1</v>
      </c>
      <c r="S4" s="208">
        <v>3</v>
      </c>
      <c r="T4" s="208">
        <v>1</v>
      </c>
      <c r="U4" s="208">
        <v>2</v>
      </c>
      <c r="V4" s="208">
        <v>4</v>
      </c>
      <c r="W4" s="208">
        <v>1</v>
      </c>
      <c r="X4" s="208">
        <v>3</v>
      </c>
      <c r="Y4" s="210">
        <v>1</v>
      </c>
      <c r="Z4" s="210">
        <v>1</v>
      </c>
      <c r="AA4" s="211">
        <v>3</v>
      </c>
      <c r="AB4" s="212">
        <v>2</v>
      </c>
      <c r="AC4" s="210">
        <v>2</v>
      </c>
      <c r="AD4" s="210">
        <v>4</v>
      </c>
      <c r="AE4" s="210">
        <v>3</v>
      </c>
      <c r="AF4" s="210">
        <v>2</v>
      </c>
      <c r="AG4" s="210">
        <v>3</v>
      </c>
      <c r="AH4" s="210">
        <v>2</v>
      </c>
      <c r="AI4" s="210">
        <v>1</v>
      </c>
      <c r="AJ4" s="210">
        <v>3</v>
      </c>
      <c r="AK4" s="210">
        <v>3</v>
      </c>
      <c r="AL4" s="210">
        <v>2</v>
      </c>
      <c r="AM4" s="211">
        <v>4</v>
      </c>
      <c r="AN4" s="240">
        <v>5</v>
      </c>
      <c r="AO4" s="241">
        <v>4</v>
      </c>
      <c r="AP4" s="241">
        <v>4</v>
      </c>
      <c r="AQ4" s="344" t="s">
        <v>57</v>
      </c>
      <c r="AR4" s="345"/>
      <c r="AS4" s="338" t="s">
        <v>30</v>
      </c>
      <c r="AT4" s="339"/>
      <c r="AU4" s="208">
        <v>3</v>
      </c>
      <c r="AV4" s="208">
        <v>4</v>
      </c>
      <c r="AW4" s="208">
        <v>1</v>
      </c>
      <c r="AX4" s="208">
        <v>0</v>
      </c>
      <c r="AY4" s="208">
        <v>3</v>
      </c>
      <c r="AZ4" s="242">
        <v>3</v>
      </c>
      <c r="BA4" s="208">
        <v>0</v>
      </c>
      <c r="BB4" s="208">
        <v>4</v>
      </c>
      <c r="BC4" s="208">
        <v>1</v>
      </c>
      <c r="BD4" s="208">
        <v>0</v>
      </c>
      <c r="BE4" s="208">
        <v>4</v>
      </c>
      <c r="BF4" s="208">
        <v>1</v>
      </c>
      <c r="BG4" s="208">
        <v>1</v>
      </c>
      <c r="BH4" s="208">
        <v>3</v>
      </c>
      <c r="BI4" s="208">
        <v>1</v>
      </c>
      <c r="BJ4" s="208">
        <v>2</v>
      </c>
      <c r="BK4" s="209">
        <v>1</v>
      </c>
      <c r="BL4" s="208">
        <v>3</v>
      </c>
      <c r="BM4" s="208">
        <v>3</v>
      </c>
      <c r="BN4" s="208">
        <v>1</v>
      </c>
      <c r="BO4" s="208">
        <v>3</v>
      </c>
      <c r="BP4" s="208">
        <v>2</v>
      </c>
      <c r="BQ4" s="208">
        <v>5</v>
      </c>
      <c r="BR4" s="208">
        <v>0</v>
      </c>
      <c r="BS4" s="208">
        <v>1</v>
      </c>
      <c r="BT4" s="208">
        <v>3</v>
      </c>
      <c r="BU4" s="210">
        <v>2</v>
      </c>
      <c r="BV4" s="210">
        <v>0</v>
      </c>
      <c r="BW4" s="213">
        <v>1</v>
      </c>
    </row>
    <row r="5" spans="1:75" s="294" customFormat="1" ht="17" thickBot="1" x14ac:dyDescent="0.5">
      <c r="A5" s="464"/>
      <c r="B5" s="462"/>
      <c r="C5" s="280" t="s">
        <v>398</v>
      </c>
      <c r="D5" s="281">
        <v>5</v>
      </c>
      <c r="E5" s="286">
        <v>1</v>
      </c>
      <c r="F5" s="286">
        <v>4</v>
      </c>
      <c r="G5" s="286">
        <v>2</v>
      </c>
      <c r="H5" s="286">
        <v>2</v>
      </c>
      <c r="I5" s="286">
        <v>1</v>
      </c>
      <c r="J5" s="286">
        <v>1</v>
      </c>
      <c r="K5" s="286">
        <v>1</v>
      </c>
      <c r="L5" s="286">
        <v>3</v>
      </c>
      <c r="M5" s="286">
        <v>1</v>
      </c>
      <c r="N5" s="286">
        <v>3</v>
      </c>
      <c r="O5" s="287">
        <v>1</v>
      </c>
      <c r="P5" s="286">
        <v>6</v>
      </c>
      <c r="Q5" s="286">
        <v>0</v>
      </c>
      <c r="R5" s="286">
        <v>1</v>
      </c>
      <c r="S5" s="286">
        <v>3</v>
      </c>
      <c r="T5" s="286">
        <v>1</v>
      </c>
      <c r="U5" s="286">
        <v>2</v>
      </c>
      <c r="V5" s="286">
        <v>4</v>
      </c>
      <c r="W5" s="286">
        <v>1</v>
      </c>
      <c r="X5" s="286">
        <v>3</v>
      </c>
      <c r="Y5" s="288">
        <v>1</v>
      </c>
      <c r="Z5" s="288">
        <v>1</v>
      </c>
      <c r="AA5" s="289">
        <v>3</v>
      </c>
      <c r="AB5" s="290">
        <v>2</v>
      </c>
      <c r="AC5" s="288">
        <v>2</v>
      </c>
      <c r="AD5" s="288">
        <v>4</v>
      </c>
      <c r="AE5" s="288">
        <v>3</v>
      </c>
      <c r="AF5" s="288">
        <v>2</v>
      </c>
      <c r="AG5" s="288">
        <v>3</v>
      </c>
      <c r="AH5" s="288">
        <v>2</v>
      </c>
      <c r="AI5" s="288">
        <v>1</v>
      </c>
      <c r="AJ5" s="288">
        <v>2</v>
      </c>
      <c r="AK5" s="288">
        <v>2</v>
      </c>
      <c r="AL5" s="288">
        <v>2</v>
      </c>
      <c r="AM5" s="289">
        <v>3</v>
      </c>
      <c r="AN5" s="291">
        <v>5</v>
      </c>
      <c r="AO5" s="286">
        <v>3</v>
      </c>
      <c r="AP5" s="292">
        <v>3</v>
      </c>
      <c r="AQ5" s="346"/>
      <c r="AR5" s="347"/>
      <c r="AS5" s="340"/>
      <c r="AT5" s="341"/>
      <c r="AU5" s="281">
        <v>3</v>
      </c>
      <c r="AV5" s="286">
        <v>3</v>
      </c>
      <c r="AW5" s="286">
        <v>1</v>
      </c>
      <c r="AX5" s="286">
        <v>0</v>
      </c>
      <c r="AY5" s="286">
        <v>3</v>
      </c>
      <c r="AZ5" s="291">
        <v>2</v>
      </c>
      <c r="BA5" s="286">
        <v>0</v>
      </c>
      <c r="BB5" s="286">
        <v>3</v>
      </c>
      <c r="BC5" s="286">
        <v>1</v>
      </c>
      <c r="BD5" s="286">
        <v>0</v>
      </c>
      <c r="BE5" s="286">
        <v>4</v>
      </c>
      <c r="BF5" s="286">
        <v>0</v>
      </c>
      <c r="BG5" s="286">
        <v>1</v>
      </c>
      <c r="BH5" s="286">
        <v>2</v>
      </c>
      <c r="BI5" s="286">
        <v>1</v>
      </c>
      <c r="BJ5" s="286">
        <v>1</v>
      </c>
      <c r="BK5" s="287">
        <v>1</v>
      </c>
      <c r="BL5" s="286">
        <v>2</v>
      </c>
      <c r="BM5" s="286">
        <v>3</v>
      </c>
      <c r="BN5" s="286">
        <v>0</v>
      </c>
      <c r="BO5" s="286">
        <v>3</v>
      </c>
      <c r="BP5" s="286">
        <v>2</v>
      </c>
      <c r="BQ5" s="286">
        <v>4</v>
      </c>
      <c r="BR5" s="286">
        <v>0</v>
      </c>
      <c r="BS5" s="286">
        <v>1</v>
      </c>
      <c r="BT5" s="286">
        <v>3</v>
      </c>
      <c r="BU5" s="288">
        <v>2</v>
      </c>
      <c r="BV5" s="288">
        <v>0</v>
      </c>
      <c r="BW5" s="293">
        <v>1</v>
      </c>
    </row>
    <row r="6" spans="1:75" s="294" customFormat="1" ht="17" thickBot="1" x14ac:dyDescent="0.5">
      <c r="A6" s="464"/>
      <c r="B6" s="462"/>
      <c r="C6" s="280" t="s">
        <v>404</v>
      </c>
      <c r="D6" s="282">
        <v>1</v>
      </c>
      <c r="E6" s="295">
        <v>0</v>
      </c>
      <c r="F6" s="295">
        <v>1</v>
      </c>
      <c r="G6" s="295">
        <v>0</v>
      </c>
      <c r="H6" s="295">
        <v>0</v>
      </c>
      <c r="I6" s="295">
        <v>0</v>
      </c>
      <c r="J6" s="295">
        <v>0</v>
      </c>
      <c r="K6" s="295">
        <v>0</v>
      </c>
      <c r="L6" s="295">
        <v>1</v>
      </c>
      <c r="M6" s="295">
        <v>0</v>
      </c>
      <c r="N6" s="295">
        <v>0</v>
      </c>
      <c r="O6" s="296">
        <v>0</v>
      </c>
      <c r="P6" s="295">
        <v>1</v>
      </c>
      <c r="Q6" s="295">
        <v>0</v>
      </c>
      <c r="R6" s="295">
        <v>0</v>
      </c>
      <c r="S6" s="295">
        <v>0</v>
      </c>
      <c r="T6" s="295">
        <v>0</v>
      </c>
      <c r="U6" s="295">
        <v>0</v>
      </c>
      <c r="V6" s="295">
        <v>0</v>
      </c>
      <c r="W6" s="295">
        <v>0</v>
      </c>
      <c r="X6" s="295">
        <v>1</v>
      </c>
      <c r="Y6" s="297">
        <v>1</v>
      </c>
      <c r="Z6" s="297">
        <v>1</v>
      </c>
      <c r="AA6" s="298">
        <v>1</v>
      </c>
      <c r="AB6" s="299">
        <v>0</v>
      </c>
      <c r="AC6" s="297">
        <v>0</v>
      </c>
      <c r="AD6" s="297">
        <v>2</v>
      </c>
      <c r="AE6" s="297">
        <v>1</v>
      </c>
      <c r="AF6" s="297">
        <v>0</v>
      </c>
      <c r="AG6" s="297">
        <v>2</v>
      </c>
      <c r="AH6" s="297">
        <v>0</v>
      </c>
      <c r="AI6" s="297">
        <v>1</v>
      </c>
      <c r="AJ6" s="297">
        <v>0</v>
      </c>
      <c r="AK6" s="297">
        <v>0</v>
      </c>
      <c r="AL6" s="297">
        <v>0</v>
      </c>
      <c r="AM6" s="298">
        <v>2</v>
      </c>
      <c r="AN6" s="300">
        <v>1</v>
      </c>
      <c r="AO6" s="295">
        <v>0</v>
      </c>
      <c r="AP6" s="301">
        <v>1</v>
      </c>
      <c r="AQ6" s="346"/>
      <c r="AR6" s="347"/>
      <c r="AS6" s="340"/>
      <c r="AT6" s="341"/>
      <c r="AU6" s="282">
        <v>0</v>
      </c>
      <c r="AV6" s="295">
        <v>1</v>
      </c>
      <c r="AW6" s="295">
        <v>1</v>
      </c>
      <c r="AX6" s="295">
        <v>0</v>
      </c>
      <c r="AY6" s="295">
        <v>0</v>
      </c>
      <c r="AZ6" s="300">
        <v>0</v>
      </c>
      <c r="BA6" s="295">
        <v>0</v>
      </c>
      <c r="BB6" s="295">
        <v>2</v>
      </c>
      <c r="BC6" s="295">
        <v>0</v>
      </c>
      <c r="BD6" s="295">
        <v>0</v>
      </c>
      <c r="BE6" s="295">
        <v>0</v>
      </c>
      <c r="BF6" s="295">
        <v>0</v>
      </c>
      <c r="BG6" s="295">
        <v>0</v>
      </c>
      <c r="BH6" s="295">
        <v>0</v>
      </c>
      <c r="BI6" s="295">
        <v>1</v>
      </c>
      <c r="BJ6" s="295">
        <v>0</v>
      </c>
      <c r="BK6" s="296">
        <v>0</v>
      </c>
      <c r="BL6" s="295">
        <v>0</v>
      </c>
      <c r="BM6" s="295">
        <v>0</v>
      </c>
      <c r="BN6" s="295">
        <v>0</v>
      </c>
      <c r="BO6" s="295">
        <v>1</v>
      </c>
      <c r="BP6" s="295">
        <v>0</v>
      </c>
      <c r="BQ6" s="295">
        <v>0</v>
      </c>
      <c r="BR6" s="295">
        <v>0</v>
      </c>
      <c r="BS6" s="295">
        <v>0</v>
      </c>
      <c r="BT6" s="295">
        <v>0</v>
      </c>
      <c r="BU6" s="297">
        <v>1</v>
      </c>
      <c r="BV6" s="297">
        <v>0</v>
      </c>
      <c r="BW6" s="302">
        <v>1</v>
      </c>
    </row>
    <row r="7" spans="1:75" s="294" customFormat="1" ht="17" thickBot="1" x14ac:dyDescent="0.35">
      <c r="A7" s="464"/>
      <c r="B7" s="462"/>
      <c r="C7" s="280" t="s">
        <v>399</v>
      </c>
      <c r="D7" s="283">
        <v>5</v>
      </c>
      <c r="E7" s="303">
        <v>1</v>
      </c>
      <c r="F7" s="303">
        <v>4</v>
      </c>
      <c r="G7" s="303">
        <v>2</v>
      </c>
      <c r="H7" s="303">
        <v>2</v>
      </c>
      <c r="I7" s="303">
        <v>1</v>
      </c>
      <c r="J7" s="303">
        <v>1</v>
      </c>
      <c r="K7" s="303">
        <v>2</v>
      </c>
      <c r="L7" s="303">
        <v>3</v>
      </c>
      <c r="M7" s="303">
        <v>1</v>
      </c>
      <c r="N7" s="303">
        <v>3</v>
      </c>
      <c r="O7" s="304">
        <v>1</v>
      </c>
      <c r="P7" s="303">
        <v>6</v>
      </c>
      <c r="Q7" s="303">
        <v>0</v>
      </c>
      <c r="R7" s="303">
        <v>1</v>
      </c>
      <c r="S7" s="303">
        <v>3</v>
      </c>
      <c r="T7" s="303">
        <v>1</v>
      </c>
      <c r="U7" s="303">
        <v>2</v>
      </c>
      <c r="V7" s="303">
        <v>4</v>
      </c>
      <c r="W7" s="303">
        <v>1</v>
      </c>
      <c r="X7" s="303">
        <v>3</v>
      </c>
      <c r="Y7" s="303">
        <v>1</v>
      </c>
      <c r="Z7" s="303">
        <v>1</v>
      </c>
      <c r="AA7" s="304">
        <v>3</v>
      </c>
      <c r="AB7" s="303">
        <v>2</v>
      </c>
      <c r="AC7" s="303">
        <v>2</v>
      </c>
      <c r="AD7" s="303">
        <v>4</v>
      </c>
      <c r="AE7" s="303">
        <v>3</v>
      </c>
      <c r="AF7" s="303">
        <v>2</v>
      </c>
      <c r="AG7" s="303">
        <v>3</v>
      </c>
      <c r="AH7" s="303">
        <v>2</v>
      </c>
      <c r="AI7" s="303">
        <v>1</v>
      </c>
      <c r="AJ7" s="303">
        <v>2</v>
      </c>
      <c r="AK7" s="303">
        <v>2</v>
      </c>
      <c r="AL7" s="303">
        <v>2</v>
      </c>
      <c r="AM7" s="304">
        <v>3</v>
      </c>
      <c r="AN7" s="305">
        <v>5</v>
      </c>
      <c r="AO7" s="303">
        <v>4</v>
      </c>
      <c r="AP7" s="306">
        <v>3</v>
      </c>
      <c r="AQ7" s="346"/>
      <c r="AR7" s="347"/>
      <c r="AS7" s="340"/>
      <c r="AT7" s="341"/>
      <c r="AU7" s="283">
        <v>3</v>
      </c>
      <c r="AV7" s="303">
        <v>3</v>
      </c>
      <c r="AW7" s="303">
        <v>1</v>
      </c>
      <c r="AX7" s="303">
        <v>0</v>
      </c>
      <c r="AY7" s="303">
        <v>3</v>
      </c>
      <c r="AZ7" s="305">
        <v>2</v>
      </c>
      <c r="BA7" s="303">
        <v>0</v>
      </c>
      <c r="BB7" s="303">
        <v>3</v>
      </c>
      <c r="BC7" s="303">
        <v>1</v>
      </c>
      <c r="BD7" s="303">
        <v>0</v>
      </c>
      <c r="BE7" s="303">
        <v>4</v>
      </c>
      <c r="BF7" s="303">
        <v>0</v>
      </c>
      <c r="BG7" s="303">
        <v>1</v>
      </c>
      <c r="BH7" s="303">
        <v>2</v>
      </c>
      <c r="BI7" s="303">
        <v>1</v>
      </c>
      <c r="BJ7" s="303">
        <v>1</v>
      </c>
      <c r="BK7" s="304">
        <v>1</v>
      </c>
      <c r="BL7" s="303">
        <v>2</v>
      </c>
      <c r="BM7" s="303">
        <v>3</v>
      </c>
      <c r="BN7" s="303">
        <v>0</v>
      </c>
      <c r="BO7" s="303">
        <v>3</v>
      </c>
      <c r="BP7" s="303">
        <v>2</v>
      </c>
      <c r="BQ7" s="303">
        <v>4</v>
      </c>
      <c r="BR7" s="303">
        <v>0</v>
      </c>
      <c r="BS7" s="303">
        <v>1</v>
      </c>
      <c r="BT7" s="303">
        <v>3</v>
      </c>
      <c r="BU7" s="303">
        <v>2</v>
      </c>
      <c r="BV7" s="303">
        <v>0</v>
      </c>
      <c r="BW7" s="306">
        <v>1</v>
      </c>
    </row>
    <row r="8" spans="1:75" s="294" customFormat="1" ht="17" thickBot="1" x14ac:dyDescent="0.35">
      <c r="A8" s="464"/>
      <c r="B8" s="462"/>
      <c r="C8" s="280" t="s">
        <v>400</v>
      </c>
      <c r="D8" s="284">
        <v>4</v>
      </c>
      <c r="E8" s="307">
        <v>1</v>
      </c>
      <c r="F8" s="307">
        <v>3</v>
      </c>
      <c r="G8" s="307">
        <v>2</v>
      </c>
      <c r="H8" s="307">
        <v>2</v>
      </c>
      <c r="I8" s="307">
        <v>1</v>
      </c>
      <c r="J8" s="307">
        <v>1</v>
      </c>
      <c r="K8" s="307">
        <v>1</v>
      </c>
      <c r="L8" s="307">
        <v>2</v>
      </c>
      <c r="M8" s="307">
        <v>1</v>
      </c>
      <c r="N8" s="307">
        <v>2</v>
      </c>
      <c r="O8" s="308">
        <v>2</v>
      </c>
      <c r="P8" s="307">
        <v>6</v>
      </c>
      <c r="Q8" s="307">
        <v>1</v>
      </c>
      <c r="R8" s="307">
        <v>1</v>
      </c>
      <c r="S8" s="307">
        <v>3</v>
      </c>
      <c r="T8" s="307">
        <v>1</v>
      </c>
      <c r="U8" s="307">
        <v>2</v>
      </c>
      <c r="V8" s="307">
        <v>3</v>
      </c>
      <c r="W8" s="307">
        <v>1</v>
      </c>
      <c r="X8" s="307">
        <v>2</v>
      </c>
      <c r="Y8" s="307">
        <v>0</v>
      </c>
      <c r="Z8" s="307">
        <v>0</v>
      </c>
      <c r="AA8" s="308">
        <v>2</v>
      </c>
      <c r="AB8" s="307">
        <v>2</v>
      </c>
      <c r="AC8" s="307">
        <v>2</v>
      </c>
      <c r="AD8" s="307">
        <v>2</v>
      </c>
      <c r="AE8" s="307">
        <v>2</v>
      </c>
      <c r="AF8" s="307">
        <v>2</v>
      </c>
      <c r="AG8" s="307">
        <v>1</v>
      </c>
      <c r="AH8" s="307">
        <v>2</v>
      </c>
      <c r="AI8" s="307">
        <v>0</v>
      </c>
      <c r="AJ8" s="307">
        <v>2</v>
      </c>
      <c r="AK8" s="307">
        <v>3</v>
      </c>
      <c r="AL8" s="307">
        <v>1</v>
      </c>
      <c r="AM8" s="308">
        <v>1</v>
      </c>
      <c r="AN8" s="309">
        <v>4</v>
      </c>
      <c r="AO8" s="307">
        <v>3</v>
      </c>
      <c r="AP8" s="310">
        <v>2</v>
      </c>
      <c r="AQ8" s="346"/>
      <c r="AR8" s="347"/>
      <c r="AS8" s="340"/>
      <c r="AT8" s="341"/>
      <c r="AU8" s="284">
        <v>3</v>
      </c>
      <c r="AV8" s="307">
        <v>3</v>
      </c>
      <c r="AW8" s="307">
        <v>0</v>
      </c>
      <c r="AX8" s="307">
        <v>0</v>
      </c>
      <c r="AY8" s="307">
        <v>2</v>
      </c>
      <c r="AZ8" s="309">
        <v>2</v>
      </c>
      <c r="BA8" s="307">
        <v>0</v>
      </c>
      <c r="BB8" s="307">
        <v>1</v>
      </c>
      <c r="BC8" s="307">
        <v>1</v>
      </c>
      <c r="BD8" s="307">
        <v>0</v>
      </c>
      <c r="BE8" s="307">
        <v>4</v>
      </c>
      <c r="BF8" s="307">
        <v>1</v>
      </c>
      <c r="BG8" s="307">
        <v>0</v>
      </c>
      <c r="BH8" s="307">
        <v>2</v>
      </c>
      <c r="BI8" s="307">
        <v>0</v>
      </c>
      <c r="BJ8" s="307">
        <v>1</v>
      </c>
      <c r="BK8" s="308">
        <v>1</v>
      </c>
      <c r="BL8" s="307">
        <v>2</v>
      </c>
      <c r="BM8" s="307">
        <v>2</v>
      </c>
      <c r="BN8" s="307">
        <v>1</v>
      </c>
      <c r="BO8" s="307">
        <v>2</v>
      </c>
      <c r="BP8" s="307">
        <v>1</v>
      </c>
      <c r="BQ8" s="307">
        <v>4</v>
      </c>
      <c r="BR8" s="307">
        <v>0</v>
      </c>
      <c r="BS8" s="307">
        <v>1</v>
      </c>
      <c r="BT8" s="307">
        <v>2</v>
      </c>
      <c r="BU8" s="307">
        <v>1</v>
      </c>
      <c r="BV8" s="307">
        <v>0</v>
      </c>
      <c r="BW8" s="310">
        <v>0</v>
      </c>
    </row>
    <row r="9" spans="1:75" s="294" customFormat="1" ht="17" thickBot="1" x14ac:dyDescent="0.35">
      <c r="A9" s="464"/>
      <c r="B9" s="463"/>
      <c r="C9" s="280" t="s">
        <v>405</v>
      </c>
      <c r="D9" s="285">
        <v>4</v>
      </c>
      <c r="E9" s="311">
        <v>1</v>
      </c>
      <c r="F9" s="311">
        <v>3</v>
      </c>
      <c r="G9" s="311">
        <v>2</v>
      </c>
      <c r="H9" s="311">
        <v>2</v>
      </c>
      <c r="I9" s="311">
        <v>1</v>
      </c>
      <c r="J9" s="311">
        <v>1</v>
      </c>
      <c r="K9" s="311">
        <v>1</v>
      </c>
      <c r="L9" s="311">
        <v>3</v>
      </c>
      <c r="M9" s="311">
        <v>1</v>
      </c>
      <c r="N9" s="311">
        <v>2</v>
      </c>
      <c r="O9" s="312">
        <v>2</v>
      </c>
      <c r="P9" s="311">
        <v>6</v>
      </c>
      <c r="Q9" s="311">
        <v>1</v>
      </c>
      <c r="R9" s="311">
        <v>1</v>
      </c>
      <c r="S9" s="311">
        <v>3</v>
      </c>
      <c r="T9" s="311">
        <v>1</v>
      </c>
      <c r="U9" s="311">
        <v>2</v>
      </c>
      <c r="V9" s="311">
        <v>3</v>
      </c>
      <c r="W9" s="311">
        <v>1</v>
      </c>
      <c r="X9" s="311">
        <v>2</v>
      </c>
      <c r="Y9" s="311">
        <v>0</v>
      </c>
      <c r="Z9" s="311">
        <v>0</v>
      </c>
      <c r="AA9" s="312">
        <v>2</v>
      </c>
      <c r="AB9" s="311">
        <v>2</v>
      </c>
      <c r="AC9" s="311">
        <v>2</v>
      </c>
      <c r="AD9" s="311">
        <v>2</v>
      </c>
      <c r="AE9" s="311">
        <v>2</v>
      </c>
      <c r="AF9" s="311">
        <v>2</v>
      </c>
      <c r="AG9" s="311">
        <v>1</v>
      </c>
      <c r="AH9" s="311">
        <v>2</v>
      </c>
      <c r="AI9" s="311">
        <v>0</v>
      </c>
      <c r="AJ9" s="311">
        <v>2</v>
      </c>
      <c r="AK9" s="311">
        <v>3</v>
      </c>
      <c r="AL9" s="311">
        <v>1</v>
      </c>
      <c r="AM9" s="312">
        <v>1</v>
      </c>
      <c r="AN9" s="313">
        <v>4</v>
      </c>
      <c r="AO9" s="311">
        <v>3</v>
      </c>
      <c r="AP9" s="311">
        <v>2</v>
      </c>
      <c r="AQ9" s="348"/>
      <c r="AR9" s="349"/>
      <c r="AS9" s="342"/>
      <c r="AT9" s="343"/>
      <c r="AU9" s="311">
        <v>3</v>
      </c>
      <c r="AV9" s="311">
        <v>3</v>
      </c>
      <c r="AW9" s="311">
        <v>0</v>
      </c>
      <c r="AX9" s="311">
        <v>0</v>
      </c>
      <c r="AY9" s="311">
        <v>2</v>
      </c>
      <c r="AZ9" s="313">
        <v>2</v>
      </c>
      <c r="BA9" s="311">
        <v>0</v>
      </c>
      <c r="BB9" s="311">
        <v>1</v>
      </c>
      <c r="BC9" s="311">
        <v>1</v>
      </c>
      <c r="BD9" s="311">
        <v>0</v>
      </c>
      <c r="BE9" s="311">
        <v>4</v>
      </c>
      <c r="BF9" s="311">
        <v>1</v>
      </c>
      <c r="BG9" s="311">
        <v>0</v>
      </c>
      <c r="BH9" s="311">
        <v>2</v>
      </c>
      <c r="BI9" s="311">
        <v>0</v>
      </c>
      <c r="BJ9" s="311">
        <v>1</v>
      </c>
      <c r="BK9" s="312">
        <v>1</v>
      </c>
      <c r="BL9" s="311">
        <v>2</v>
      </c>
      <c r="BM9" s="311">
        <v>2</v>
      </c>
      <c r="BN9" s="311">
        <v>1</v>
      </c>
      <c r="BO9" s="311">
        <v>2</v>
      </c>
      <c r="BP9" s="311">
        <v>1</v>
      </c>
      <c r="BQ9" s="311">
        <v>4</v>
      </c>
      <c r="BR9" s="311">
        <v>0</v>
      </c>
      <c r="BS9" s="311">
        <v>1</v>
      </c>
      <c r="BT9" s="311">
        <v>2</v>
      </c>
      <c r="BU9" s="311">
        <v>1</v>
      </c>
      <c r="BV9" s="311">
        <v>0</v>
      </c>
      <c r="BW9" s="314">
        <v>0</v>
      </c>
    </row>
    <row r="10" spans="1:75" ht="17" thickBot="1" x14ac:dyDescent="0.5">
      <c r="A10" s="464"/>
      <c r="B10" s="462" t="s">
        <v>4</v>
      </c>
      <c r="C10" s="239" t="s">
        <v>403</v>
      </c>
      <c r="D10" s="207">
        <v>1</v>
      </c>
      <c r="E10" s="208">
        <v>1</v>
      </c>
      <c r="F10" s="208">
        <v>1</v>
      </c>
      <c r="G10" s="208">
        <v>1</v>
      </c>
      <c r="H10" s="208">
        <v>0</v>
      </c>
      <c r="I10" s="208">
        <v>3</v>
      </c>
      <c r="J10" s="208">
        <v>2</v>
      </c>
      <c r="K10" s="208">
        <v>3</v>
      </c>
      <c r="L10" s="208">
        <v>1</v>
      </c>
      <c r="M10" s="208">
        <v>2</v>
      </c>
      <c r="N10" s="208">
        <v>1</v>
      </c>
      <c r="O10" s="209">
        <v>4</v>
      </c>
      <c r="P10" s="208">
        <v>3</v>
      </c>
      <c r="Q10" s="208">
        <v>2</v>
      </c>
      <c r="R10" s="208">
        <v>4</v>
      </c>
      <c r="S10" s="208">
        <v>4</v>
      </c>
      <c r="T10" s="208">
        <v>3</v>
      </c>
      <c r="U10" s="208">
        <v>4</v>
      </c>
      <c r="V10" s="208">
        <v>2</v>
      </c>
      <c r="W10" s="208">
        <v>1</v>
      </c>
      <c r="X10" s="208">
        <v>5</v>
      </c>
      <c r="Y10" s="210">
        <v>2</v>
      </c>
      <c r="Z10" s="210">
        <v>2</v>
      </c>
      <c r="AA10" s="211">
        <v>1</v>
      </c>
      <c r="AB10" s="212">
        <v>7</v>
      </c>
      <c r="AC10" s="210">
        <v>3</v>
      </c>
      <c r="AD10" s="210">
        <v>4</v>
      </c>
      <c r="AE10" s="210">
        <v>5</v>
      </c>
      <c r="AF10" s="210">
        <v>1</v>
      </c>
      <c r="AG10" s="210">
        <v>4</v>
      </c>
      <c r="AH10" s="210">
        <v>3</v>
      </c>
      <c r="AI10" s="210">
        <v>3</v>
      </c>
      <c r="AJ10" s="210">
        <v>2</v>
      </c>
      <c r="AK10" s="210">
        <v>1</v>
      </c>
      <c r="AL10" s="344" t="s">
        <v>57</v>
      </c>
      <c r="AM10" s="345"/>
      <c r="AN10" s="338" t="s">
        <v>30</v>
      </c>
      <c r="AO10" s="339"/>
      <c r="AP10" s="208">
        <v>1</v>
      </c>
      <c r="AQ10" s="208">
        <v>1</v>
      </c>
      <c r="AR10" s="208">
        <v>2</v>
      </c>
      <c r="AS10" s="208">
        <v>1</v>
      </c>
      <c r="AT10" s="208">
        <v>2</v>
      </c>
      <c r="AU10" s="208">
        <v>2</v>
      </c>
      <c r="AV10" s="208">
        <v>0</v>
      </c>
      <c r="AW10" s="208">
        <v>2</v>
      </c>
      <c r="AX10" s="208">
        <v>3</v>
      </c>
      <c r="AY10" s="209">
        <v>2</v>
      </c>
      <c r="AZ10" s="242">
        <v>2</v>
      </c>
      <c r="BA10" s="208">
        <v>2</v>
      </c>
      <c r="BB10" s="208">
        <v>3</v>
      </c>
      <c r="BC10" s="208">
        <v>1</v>
      </c>
      <c r="BD10" s="208">
        <v>1</v>
      </c>
      <c r="BE10" s="208">
        <v>1</v>
      </c>
      <c r="BF10" s="208">
        <v>0</v>
      </c>
      <c r="BG10" s="208">
        <v>3</v>
      </c>
      <c r="BH10" s="208">
        <v>1</v>
      </c>
      <c r="BI10" s="208">
        <v>1</v>
      </c>
      <c r="BJ10" s="208">
        <v>2</v>
      </c>
      <c r="BK10" s="209">
        <v>3</v>
      </c>
      <c r="BL10" s="208">
        <v>4</v>
      </c>
      <c r="BM10" s="208">
        <v>2</v>
      </c>
      <c r="BN10" s="208">
        <v>0</v>
      </c>
      <c r="BO10" s="208">
        <v>4</v>
      </c>
      <c r="BP10" s="208">
        <v>4</v>
      </c>
      <c r="BQ10" s="208">
        <v>4</v>
      </c>
      <c r="BR10" s="208">
        <v>3</v>
      </c>
      <c r="BS10" s="208">
        <v>5</v>
      </c>
      <c r="BT10" s="208">
        <v>5</v>
      </c>
      <c r="BU10" s="210">
        <v>3</v>
      </c>
      <c r="BV10" s="210">
        <v>4</v>
      </c>
      <c r="BW10" s="213">
        <v>3</v>
      </c>
    </row>
    <row r="11" spans="1:75" s="294" customFormat="1" ht="17" thickBot="1" x14ac:dyDescent="0.5">
      <c r="A11" s="464"/>
      <c r="B11" s="462"/>
      <c r="C11" s="280" t="s">
        <v>398</v>
      </c>
      <c r="D11" s="281">
        <v>1</v>
      </c>
      <c r="E11" s="286">
        <v>1</v>
      </c>
      <c r="F11" s="286">
        <v>1</v>
      </c>
      <c r="G11" s="286">
        <v>1</v>
      </c>
      <c r="H11" s="286">
        <v>0</v>
      </c>
      <c r="I11" s="286">
        <v>3</v>
      </c>
      <c r="J11" s="286">
        <v>2</v>
      </c>
      <c r="K11" s="286">
        <v>3</v>
      </c>
      <c r="L11" s="286">
        <v>1</v>
      </c>
      <c r="M11" s="286">
        <v>2</v>
      </c>
      <c r="N11" s="286">
        <v>0</v>
      </c>
      <c r="O11" s="287">
        <v>3</v>
      </c>
      <c r="P11" s="286">
        <v>3</v>
      </c>
      <c r="Q11" s="286">
        <v>2</v>
      </c>
      <c r="R11" s="286">
        <v>4</v>
      </c>
      <c r="S11" s="286">
        <v>2</v>
      </c>
      <c r="T11" s="286">
        <v>3</v>
      </c>
      <c r="U11" s="286">
        <v>4</v>
      </c>
      <c r="V11" s="286">
        <v>2</v>
      </c>
      <c r="W11" s="286">
        <v>1</v>
      </c>
      <c r="X11" s="286">
        <v>4</v>
      </c>
      <c r="Y11" s="288">
        <v>2</v>
      </c>
      <c r="Z11" s="288">
        <v>2</v>
      </c>
      <c r="AA11" s="289">
        <v>1</v>
      </c>
      <c r="AB11" s="290">
        <v>7</v>
      </c>
      <c r="AC11" s="288">
        <v>3</v>
      </c>
      <c r="AD11" s="288">
        <v>4</v>
      </c>
      <c r="AE11" s="288">
        <v>5</v>
      </c>
      <c r="AF11" s="288">
        <v>1</v>
      </c>
      <c r="AG11" s="288">
        <v>4</v>
      </c>
      <c r="AH11" s="288">
        <v>2</v>
      </c>
      <c r="AI11" s="288">
        <v>3</v>
      </c>
      <c r="AJ11" s="288">
        <v>1</v>
      </c>
      <c r="AK11" s="288">
        <v>1</v>
      </c>
      <c r="AL11" s="346"/>
      <c r="AM11" s="347"/>
      <c r="AN11" s="340"/>
      <c r="AO11" s="341"/>
      <c r="AP11" s="286">
        <v>1</v>
      </c>
      <c r="AQ11" s="286">
        <v>1</v>
      </c>
      <c r="AR11" s="286">
        <v>2</v>
      </c>
      <c r="AS11" s="286">
        <v>1</v>
      </c>
      <c r="AT11" s="286">
        <v>2</v>
      </c>
      <c r="AU11" s="286">
        <v>2</v>
      </c>
      <c r="AV11" s="286">
        <v>0</v>
      </c>
      <c r="AW11" s="286">
        <v>2</v>
      </c>
      <c r="AX11" s="286">
        <v>3</v>
      </c>
      <c r="AY11" s="287">
        <v>2</v>
      </c>
      <c r="AZ11" s="291">
        <v>1</v>
      </c>
      <c r="BA11" s="286">
        <v>2</v>
      </c>
      <c r="BB11" s="286">
        <v>3</v>
      </c>
      <c r="BC11" s="286">
        <v>1</v>
      </c>
      <c r="BD11" s="286">
        <v>1</v>
      </c>
      <c r="BE11" s="286">
        <v>1</v>
      </c>
      <c r="BF11" s="286">
        <v>0</v>
      </c>
      <c r="BG11" s="286">
        <v>3</v>
      </c>
      <c r="BH11" s="286">
        <v>1</v>
      </c>
      <c r="BI11" s="286">
        <v>1</v>
      </c>
      <c r="BJ11" s="286">
        <v>2</v>
      </c>
      <c r="BK11" s="287">
        <v>3</v>
      </c>
      <c r="BL11" s="286">
        <v>4</v>
      </c>
      <c r="BM11" s="286">
        <v>2</v>
      </c>
      <c r="BN11" s="286">
        <v>0</v>
      </c>
      <c r="BO11" s="286">
        <v>4</v>
      </c>
      <c r="BP11" s="286">
        <v>3</v>
      </c>
      <c r="BQ11" s="286">
        <v>4</v>
      </c>
      <c r="BR11" s="286">
        <v>3</v>
      </c>
      <c r="BS11" s="286">
        <v>5</v>
      </c>
      <c r="BT11" s="286">
        <v>5</v>
      </c>
      <c r="BU11" s="288">
        <v>3</v>
      </c>
      <c r="BV11" s="288">
        <v>4</v>
      </c>
      <c r="BW11" s="293">
        <v>2</v>
      </c>
    </row>
    <row r="12" spans="1:75" s="294" customFormat="1" ht="17" thickBot="1" x14ac:dyDescent="0.5">
      <c r="A12" s="464"/>
      <c r="B12" s="462"/>
      <c r="C12" s="280" t="s">
        <v>404</v>
      </c>
      <c r="D12" s="282">
        <v>0</v>
      </c>
      <c r="E12" s="295">
        <v>0</v>
      </c>
      <c r="F12" s="295">
        <v>0</v>
      </c>
      <c r="G12" s="295">
        <v>0</v>
      </c>
      <c r="H12" s="295">
        <v>0</v>
      </c>
      <c r="I12" s="295">
        <v>2</v>
      </c>
      <c r="J12" s="295">
        <v>1</v>
      </c>
      <c r="K12" s="295">
        <v>0</v>
      </c>
      <c r="L12" s="295">
        <v>0</v>
      </c>
      <c r="M12" s="295">
        <v>0</v>
      </c>
      <c r="N12" s="295">
        <v>0</v>
      </c>
      <c r="O12" s="296">
        <v>1</v>
      </c>
      <c r="P12" s="295">
        <v>1</v>
      </c>
      <c r="Q12" s="295">
        <v>0</v>
      </c>
      <c r="R12" s="295">
        <v>0</v>
      </c>
      <c r="S12" s="295">
        <v>0</v>
      </c>
      <c r="T12" s="295">
        <v>2</v>
      </c>
      <c r="U12" s="295">
        <v>1</v>
      </c>
      <c r="V12" s="295">
        <v>0</v>
      </c>
      <c r="W12" s="295">
        <v>1</v>
      </c>
      <c r="X12" s="295">
        <v>1</v>
      </c>
      <c r="Y12" s="297">
        <v>1</v>
      </c>
      <c r="Z12" s="297">
        <v>1</v>
      </c>
      <c r="AA12" s="298">
        <v>1</v>
      </c>
      <c r="AB12" s="299">
        <v>1</v>
      </c>
      <c r="AC12" s="297">
        <v>0</v>
      </c>
      <c r="AD12" s="297">
        <v>2</v>
      </c>
      <c r="AE12" s="297">
        <v>2</v>
      </c>
      <c r="AF12" s="297">
        <v>0</v>
      </c>
      <c r="AG12" s="297">
        <v>2</v>
      </c>
      <c r="AH12" s="297">
        <v>1</v>
      </c>
      <c r="AI12" s="297">
        <v>0</v>
      </c>
      <c r="AJ12" s="297">
        <v>0</v>
      </c>
      <c r="AK12" s="297">
        <v>0</v>
      </c>
      <c r="AL12" s="346"/>
      <c r="AM12" s="347"/>
      <c r="AN12" s="340"/>
      <c r="AO12" s="341"/>
      <c r="AP12" s="295">
        <v>1</v>
      </c>
      <c r="AQ12" s="295">
        <v>0</v>
      </c>
      <c r="AR12" s="295">
        <v>1</v>
      </c>
      <c r="AS12" s="295">
        <v>0</v>
      </c>
      <c r="AT12" s="295">
        <v>0</v>
      </c>
      <c r="AU12" s="295">
        <v>0</v>
      </c>
      <c r="AV12" s="295">
        <v>0</v>
      </c>
      <c r="AW12" s="295">
        <v>1</v>
      </c>
      <c r="AX12" s="295">
        <v>0</v>
      </c>
      <c r="AY12" s="296">
        <v>0</v>
      </c>
      <c r="AZ12" s="300">
        <v>0</v>
      </c>
      <c r="BA12" s="295">
        <v>0</v>
      </c>
      <c r="BB12" s="295">
        <v>1</v>
      </c>
      <c r="BC12" s="295">
        <v>0</v>
      </c>
      <c r="BD12" s="295">
        <v>0</v>
      </c>
      <c r="BE12" s="295">
        <v>0</v>
      </c>
      <c r="BF12" s="295">
        <v>0</v>
      </c>
      <c r="BG12" s="295">
        <v>0</v>
      </c>
      <c r="BH12" s="295">
        <v>1</v>
      </c>
      <c r="BI12" s="295">
        <v>1</v>
      </c>
      <c r="BJ12" s="295">
        <v>0</v>
      </c>
      <c r="BK12" s="296">
        <v>0</v>
      </c>
      <c r="BL12" s="295">
        <v>0</v>
      </c>
      <c r="BM12" s="295">
        <v>0</v>
      </c>
      <c r="BN12" s="295">
        <v>0</v>
      </c>
      <c r="BO12" s="295">
        <v>0</v>
      </c>
      <c r="BP12" s="295">
        <v>1</v>
      </c>
      <c r="BQ12" s="295">
        <v>0</v>
      </c>
      <c r="BR12" s="295">
        <v>2</v>
      </c>
      <c r="BS12" s="295">
        <v>2</v>
      </c>
      <c r="BT12" s="295">
        <v>2</v>
      </c>
      <c r="BU12" s="297">
        <v>0</v>
      </c>
      <c r="BV12" s="297">
        <v>1</v>
      </c>
      <c r="BW12" s="302">
        <v>0</v>
      </c>
    </row>
    <row r="13" spans="1:75" s="294" customFormat="1" ht="17" thickBot="1" x14ac:dyDescent="0.35">
      <c r="A13" s="464"/>
      <c r="B13" s="462"/>
      <c r="C13" s="280" t="s">
        <v>399</v>
      </c>
      <c r="D13" s="283">
        <v>1</v>
      </c>
      <c r="E13" s="303">
        <v>1</v>
      </c>
      <c r="F13" s="303">
        <v>1</v>
      </c>
      <c r="G13" s="303">
        <v>1</v>
      </c>
      <c r="H13" s="303">
        <v>0</v>
      </c>
      <c r="I13" s="303">
        <v>3</v>
      </c>
      <c r="J13" s="303">
        <v>2</v>
      </c>
      <c r="K13" s="303">
        <v>3</v>
      </c>
      <c r="L13" s="303">
        <v>1</v>
      </c>
      <c r="M13" s="303">
        <v>2</v>
      </c>
      <c r="N13" s="303">
        <v>0</v>
      </c>
      <c r="O13" s="304">
        <v>3</v>
      </c>
      <c r="P13" s="303">
        <v>3</v>
      </c>
      <c r="Q13" s="303">
        <v>2</v>
      </c>
      <c r="R13" s="303">
        <v>4</v>
      </c>
      <c r="S13" s="303">
        <v>2</v>
      </c>
      <c r="T13" s="303">
        <v>3</v>
      </c>
      <c r="U13" s="303">
        <v>4</v>
      </c>
      <c r="V13" s="303">
        <v>2</v>
      </c>
      <c r="W13" s="303">
        <v>1</v>
      </c>
      <c r="X13" s="303">
        <v>4</v>
      </c>
      <c r="Y13" s="303">
        <v>2</v>
      </c>
      <c r="Z13" s="303">
        <v>2</v>
      </c>
      <c r="AA13" s="304">
        <v>1</v>
      </c>
      <c r="AB13" s="303">
        <v>7</v>
      </c>
      <c r="AC13" s="303">
        <v>3</v>
      </c>
      <c r="AD13" s="303">
        <v>4</v>
      </c>
      <c r="AE13" s="303">
        <v>5</v>
      </c>
      <c r="AF13" s="303">
        <v>1</v>
      </c>
      <c r="AG13" s="303">
        <v>4</v>
      </c>
      <c r="AH13" s="303">
        <v>2</v>
      </c>
      <c r="AI13" s="303">
        <v>3</v>
      </c>
      <c r="AJ13" s="303">
        <v>1</v>
      </c>
      <c r="AK13" s="303">
        <v>1</v>
      </c>
      <c r="AL13" s="346"/>
      <c r="AM13" s="347"/>
      <c r="AN13" s="340"/>
      <c r="AO13" s="341"/>
      <c r="AP13" s="303">
        <v>1</v>
      </c>
      <c r="AQ13" s="303">
        <v>1</v>
      </c>
      <c r="AR13" s="303">
        <v>2</v>
      </c>
      <c r="AS13" s="303">
        <v>1</v>
      </c>
      <c r="AT13" s="303">
        <v>2</v>
      </c>
      <c r="AU13" s="303">
        <v>2</v>
      </c>
      <c r="AV13" s="303">
        <v>0</v>
      </c>
      <c r="AW13" s="303">
        <v>2</v>
      </c>
      <c r="AX13" s="303">
        <v>3</v>
      </c>
      <c r="AY13" s="304">
        <v>2</v>
      </c>
      <c r="AZ13" s="305">
        <v>1</v>
      </c>
      <c r="BA13" s="303">
        <v>2</v>
      </c>
      <c r="BB13" s="303">
        <v>3</v>
      </c>
      <c r="BC13" s="303">
        <v>1</v>
      </c>
      <c r="BD13" s="303">
        <v>1</v>
      </c>
      <c r="BE13" s="303">
        <v>1</v>
      </c>
      <c r="BF13" s="303">
        <v>0</v>
      </c>
      <c r="BG13" s="303">
        <v>3</v>
      </c>
      <c r="BH13" s="303">
        <v>1</v>
      </c>
      <c r="BI13" s="303">
        <v>1</v>
      </c>
      <c r="BJ13" s="303">
        <v>2</v>
      </c>
      <c r="BK13" s="304">
        <v>3</v>
      </c>
      <c r="BL13" s="303">
        <v>4</v>
      </c>
      <c r="BM13" s="303">
        <v>2</v>
      </c>
      <c r="BN13" s="303">
        <v>0</v>
      </c>
      <c r="BO13" s="303">
        <v>4</v>
      </c>
      <c r="BP13" s="303">
        <v>3</v>
      </c>
      <c r="BQ13" s="303">
        <v>4</v>
      </c>
      <c r="BR13" s="303">
        <v>3</v>
      </c>
      <c r="BS13" s="303">
        <v>5</v>
      </c>
      <c r="BT13" s="303">
        <v>5</v>
      </c>
      <c r="BU13" s="303">
        <v>3</v>
      </c>
      <c r="BV13" s="303">
        <v>4</v>
      </c>
      <c r="BW13" s="306">
        <v>2</v>
      </c>
    </row>
    <row r="14" spans="1:75" s="294" customFormat="1" ht="17" thickBot="1" x14ac:dyDescent="0.35">
      <c r="A14" s="464"/>
      <c r="B14" s="462"/>
      <c r="C14" s="280" t="s">
        <v>400</v>
      </c>
      <c r="D14" s="284">
        <v>0</v>
      </c>
      <c r="E14" s="307">
        <v>0</v>
      </c>
      <c r="F14" s="307">
        <v>0</v>
      </c>
      <c r="G14" s="307">
        <v>0</v>
      </c>
      <c r="H14" s="307">
        <v>0</v>
      </c>
      <c r="I14" s="307">
        <v>1</v>
      </c>
      <c r="J14" s="307">
        <v>1</v>
      </c>
      <c r="K14" s="307">
        <v>3</v>
      </c>
      <c r="L14" s="307">
        <v>1</v>
      </c>
      <c r="M14" s="307">
        <v>2</v>
      </c>
      <c r="N14" s="307">
        <v>1</v>
      </c>
      <c r="O14" s="308">
        <v>3</v>
      </c>
      <c r="P14" s="307">
        <v>2</v>
      </c>
      <c r="Q14" s="307">
        <v>2</v>
      </c>
      <c r="R14" s="307">
        <v>4</v>
      </c>
      <c r="S14" s="307">
        <v>4</v>
      </c>
      <c r="T14" s="307">
        <v>1</v>
      </c>
      <c r="U14" s="307">
        <v>3</v>
      </c>
      <c r="V14" s="307">
        <v>2</v>
      </c>
      <c r="W14" s="307">
        <v>0</v>
      </c>
      <c r="X14" s="307">
        <v>4</v>
      </c>
      <c r="Y14" s="307">
        <v>1</v>
      </c>
      <c r="Z14" s="307">
        <v>1</v>
      </c>
      <c r="AA14" s="308">
        <v>0</v>
      </c>
      <c r="AB14" s="307">
        <v>6</v>
      </c>
      <c r="AC14" s="307">
        <v>3</v>
      </c>
      <c r="AD14" s="307">
        <v>2</v>
      </c>
      <c r="AE14" s="307">
        <v>3</v>
      </c>
      <c r="AF14" s="307">
        <v>0</v>
      </c>
      <c r="AG14" s="307">
        <v>2</v>
      </c>
      <c r="AH14" s="307">
        <v>1</v>
      </c>
      <c r="AI14" s="307">
        <v>2</v>
      </c>
      <c r="AJ14" s="307">
        <v>2</v>
      </c>
      <c r="AK14" s="307">
        <v>1</v>
      </c>
      <c r="AL14" s="346"/>
      <c r="AM14" s="347"/>
      <c r="AN14" s="340"/>
      <c r="AO14" s="341"/>
      <c r="AP14" s="307">
        <v>0</v>
      </c>
      <c r="AQ14" s="307">
        <v>1</v>
      </c>
      <c r="AR14" s="307">
        <v>1</v>
      </c>
      <c r="AS14" s="307">
        <v>1</v>
      </c>
      <c r="AT14" s="307">
        <v>2</v>
      </c>
      <c r="AU14" s="307">
        <v>2</v>
      </c>
      <c r="AV14" s="307">
        <v>0</v>
      </c>
      <c r="AW14" s="307">
        <v>1</v>
      </c>
      <c r="AX14" s="307">
        <v>3</v>
      </c>
      <c r="AY14" s="308">
        <v>2</v>
      </c>
      <c r="AZ14" s="309">
        <v>2</v>
      </c>
      <c r="BA14" s="307">
        <v>2</v>
      </c>
      <c r="BB14" s="307">
        <v>2</v>
      </c>
      <c r="BC14" s="307">
        <v>1</v>
      </c>
      <c r="BD14" s="307">
        <v>1</v>
      </c>
      <c r="BE14" s="307">
        <v>1</v>
      </c>
      <c r="BF14" s="307">
        <v>0</v>
      </c>
      <c r="BG14" s="307">
        <v>3</v>
      </c>
      <c r="BH14" s="307">
        <v>0</v>
      </c>
      <c r="BI14" s="307">
        <v>0</v>
      </c>
      <c r="BJ14" s="307">
        <v>1</v>
      </c>
      <c r="BK14" s="308">
        <v>3</v>
      </c>
      <c r="BL14" s="307">
        <v>4</v>
      </c>
      <c r="BM14" s="307">
        <v>1</v>
      </c>
      <c r="BN14" s="307">
        <v>0</v>
      </c>
      <c r="BO14" s="307">
        <v>4</v>
      </c>
      <c r="BP14" s="307">
        <v>2</v>
      </c>
      <c r="BQ14" s="307">
        <v>2</v>
      </c>
      <c r="BR14" s="307">
        <v>0</v>
      </c>
      <c r="BS14" s="307">
        <v>3</v>
      </c>
      <c r="BT14" s="307">
        <v>3</v>
      </c>
      <c r="BU14" s="307">
        <v>2</v>
      </c>
      <c r="BV14" s="307">
        <v>3</v>
      </c>
      <c r="BW14" s="310">
        <v>3</v>
      </c>
    </row>
    <row r="15" spans="1:75" s="294" customFormat="1" ht="17" thickBot="1" x14ac:dyDescent="0.35">
      <c r="A15" s="464"/>
      <c r="B15" s="463"/>
      <c r="C15" s="280" t="s">
        <v>401</v>
      </c>
      <c r="D15" s="285">
        <v>0</v>
      </c>
      <c r="E15" s="311">
        <v>0</v>
      </c>
      <c r="F15" s="311">
        <v>0</v>
      </c>
      <c r="G15" s="311">
        <v>0</v>
      </c>
      <c r="H15" s="311">
        <v>0</v>
      </c>
      <c r="I15" s="311">
        <v>1</v>
      </c>
      <c r="J15" s="311">
        <v>1</v>
      </c>
      <c r="K15" s="311">
        <v>3</v>
      </c>
      <c r="L15" s="311">
        <v>1</v>
      </c>
      <c r="M15" s="311">
        <v>2</v>
      </c>
      <c r="N15" s="311">
        <v>1</v>
      </c>
      <c r="O15" s="312">
        <v>3</v>
      </c>
      <c r="P15" s="311">
        <v>2</v>
      </c>
      <c r="Q15" s="311">
        <v>2</v>
      </c>
      <c r="R15" s="311">
        <v>4</v>
      </c>
      <c r="S15" s="311">
        <v>4</v>
      </c>
      <c r="T15" s="311">
        <v>1</v>
      </c>
      <c r="U15" s="311">
        <v>3</v>
      </c>
      <c r="V15" s="311">
        <v>2</v>
      </c>
      <c r="W15" s="311">
        <v>0</v>
      </c>
      <c r="X15" s="311">
        <v>4</v>
      </c>
      <c r="Y15" s="311">
        <v>1</v>
      </c>
      <c r="Z15" s="311">
        <v>1</v>
      </c>
      <c r="AA15" s="312">
        <v>0</v>
      </c>
      <c r="AB15" s="311">
        <v>6</v>
      </c>
      <c r="AC15" s="311">
        <v>3</v>
      </c>
      <c r="AD15" s="311">
        <v>2</v>
      </c>
      <c r="AE15" s="311">
        <v>3</v>
      </c>
      <c r="AF15" s="311">
        <v>0</v>
      </c>
      <c r="AG15" s="311">
        <v>3</v>
      </c>
      <c r="AH15" s="311">
        <v>1</v>
      </c>
      <c r="AI15" s="311">
        <v>2</v>
      </c>
      <c r="AJ15" s="311">
        <v>2</v>
      </c>
      <c r="AK15" s="311">
        <v>1</v>
      </c>
      <c r="AL15" s="348"/>
      <c r="AM15" s="349"/>
      <c r="AN15" s="342"/>
      <c r="AO15" s="343"/>
      <c r="AP15" s="311">
        <v>0</v>
      </c>
      <c r="AQ15" s="311">
        <v>1</v>
      </c>
      <c r="AR15" s="311">
        <v>1</v>
      </c>
      <c r="AS15" s="311">
        <v>1</v>
      </c>
      <c r="AT15" s="311">
        <v>2</v>
      </c>
      <c r="AU15" s="311">
        <v>2</v>
      </c>
      <c r="AV15" s="311">
        <v>0</v>
      </c>
      <c r="AW15" s="311">
        <v>1</v>
      </c>
      <c r="AX15" s="311">
        <v>3</v>
      </c>
      <c r="AY15" s="312">
        <v>2</v>
      </c>
      <c r="AZ15" s="313">
        <v>2</v>
      </c>
      <c r="BA15" s="311">
        <v>2</v>
      </c>
      <c r="BB15" s="311">
        <v>2</v>
      </c>
      <c r="BC15" s="311">
        <v>1</v>
      </c>
      <c r="BD15" s="311">
        <v>1</v>
      </c>
      <c r="BE15" s="311">
        <v>1</v>
      </c>
      <c r="BF15" s="311">
        <v>0</v>
      </c>
      <c r="BG15" s="311">
        <v>3</v>
      </c>
      <c r="BH15" s="311">
        <v>0</v>
      </c>
      <c r="BI15" s="311">
        <v>0</v>
      </c>
      <c r="BJ15" s="311">
        <v>1</v>
      </c>
      <c r="BK15" s="312">
        <v>3</v>
      </c>
      <c r="BL15" s="311">
        <v>4</v>
      </c>
      <c r="BM15" s="311">
        <v>1</v>
      </c>
      <c r="BN15" s="311">
        <v>0</v>
      </c>
      <c r="BO15" s="311">
        <v>4</v>
      </c>
      <c r="BP15" s="311">
        <v>2</v>
      </c>
      <c r="BQ15" s="311">
        <v>2</v>
      </c>
      <c r="BR15" s="311">
        <v>0</v>
      </c>
      <c r="BS15" s="311">
        <v>3</v>
      </c>
      <c r="BT15" s="311">
        <v>3</v>
      </c>
      <c r="BU15" s="311">
        <v>2</v>
      </c>
      <c r="BV15" s="311">
        <v>3</v>
      </c>
      <c r="BW15" s="314">
        <v>3</v>
      </c>
    </row>
    <row r="16" spans="1:75" s="233" customFormat="1" ht="17" thickBot="1" x14ac:dyDescent="0.5">
      <c r="A16" s="464"/>
      <c r="B16" s="462" t="s">
        <v>34</v>
      </c>
      <c r="C16" s="239" t="s">
        <v>403</v>
      </c>
      <c r="D16" s="207">
        <v>0</v>
      </c>
      <c r="E16" s="208">
        <v>1</v>
      </c>
      <c r="F16" s="208">
        <v>1</v>
      </c>
      <c r="G16" s="208">
        <v>0</v>
      </c>
      <c r="H16" s="208">
        <v>1</v>
      </c>
      <c r="I16" s="208">
        <v>0</v>
      </c>
      <c r="J16" s="208">
        <v>2</v>
      </c>
      <c r="K16" s="208">
        <v>1</v>
      </c>
      <c r="L16" s="208">
        <v>0</v>
      </c>
      <c r="M16" s="208">
        <v>3</v>
      </c>
      <c r="N16" s="208">
        <v>4</v>
      </c>
      <c r="O16" s="209">
        <v>1</v>
      </c>
      <c r="P16" s="208">
        <v>2</v>
      </c>
      <c r="Q16" s="208">
        <v>1</v>
      </c>
      <c r="R16" s="208">
        <v>0</v>
      </c>
      <c r="S16" s="208">
        <v>3</v>
      </c>
      <c r="T16" s="208">
        <v>1</v>
      </c>
      <c r="U16" s="208">
        <v>3</v>
      </c>
      <c r="V16" s="208">
        <v>0</v>
      </c>
      <c r="W16" s="208">
        <v>1</v>
      </c>
      <c r="X16" s="208">
        <v>2</v>
      </c>
      <c r="Y16" s="210">
        <v>4</v>
      </c>
      <c r="Z16" s="210">
        <v>0</v>
      </c>
      <c r="AA16" s="211">
        <v>6</v>
      </c>
      <c r="AB16" s="212">
        <v>2</v>
      </c>
      <c r="AC16" s="210">
        <v>1</v>
      </c>
      <c r="AD16" s="210">
        <v>0</v>
      </c>
      <c r="AE16" s="210">
        <v>1</v>
      </c>
      <c r="AF16" s="210">
        <v>2</v>
      </c>
      <c r="AG16" s="210">
        <v>0</v>
      </c>
      <c r="AH16" s="210">
        <v>3</v>
      </c>
      <c r="AI16" s="210">
        <v>4</v>
      </c>
      <c r="AJ16" s="210">
        <v>0</v>
      </c>
      <c r="AK16" s="210">
        <v>1</v>
      </c>
      <c r="AL16" s="210">
        <v>0</v>
      </c>
      <c r="AM16" s="211">
        <v>1</v>
      </c>
      <c r="AN16" s="242">
        <v>2</v>
      </c>
      <c r="AO16" s="208">
        <v>3</v>
      </c>
      <c r="AP16" s="208">
        <v>0</v>
      </c>
      <c r="AQ16" s="208">
        <v>2</v>
      </c>
      <c r="AR16" s="208">
        <v>1</v>
      </c>
      <c r="AS16" s="208">
        <v>3</v>
      </c>
      <c r="AT16" s="208">
        <v>2</v>
      </c>
      <c r="AU16" s="208">
        <v>3</v>
      </c>
      <c r="AV16" s="208">
        <v>1</v>
      </c>
      <c r="AW16" s="208">
        <v>4</v>
      </c>
      <c r="AX16" s="208">
        <v>1</v>
      </c>
      <c r="AY16" s="209">
        <v>2</v>
      </c>
      <c r="AZ16" s="242">
        <v>2</v>
      </c>
      <c r="BA16" s="208">
        <v>0</v>
      </c>
      <c r="BB16" s="208">
        <v>3</v>
      </c>
      <c r="BC16" s="208">
        <v>2</v>
      </c>
      <c r="BD16" s="208">
        <v>0</v>
      </c>
      <c r="BE16" s="208">
        <v>0</v>
      </c>
      <c r="BF16" s="208">
        <v>1</v>
      </c>
      <c r="BG16" s="208">
        <v>0</v>
      </c>
      <c r="BH16" s="208">
        <v>1</v>
      </c>
      <c r="BI16" s="208">
        <v>0</v>
      </c>
      <c r="BJ16" s="208">
        <v>2</v>
      </c>
      <c r="BK16" s="208">
        <v>1</v>
      </c>
      <c r="BL16" s="335" t="s">
        <v>57</v>
      </c>
      <c r="BM16" s="338" t="s">
        <v>30</v>
      </c>
      <c r="BN16" s="339"/>
      <c r="BO16" s="208">
        <v>0</v>
      </c>
      <c r="BP16" s="208">
        <v>0</v>
      </c>
      <c r="BQ16" s="208">
        <v>0</v>
      </c>
      <c r="BR16" s="208">
        <v>0</v>
      </c>
      <c r="BS16" s="208">
        <v>3</v>
      </c>
      <c r="BT16" s="208">
        <v>1</v>
      </c>
      <c r="BU16" s="208">
        <v>0</v>
      </c>
      <c r="BV16" s="210">
        <v>1</v>
      </c>
      <c r="BW16" s="278">
        <v>0</v>
      </c>
    </row>
    <row r="17" spans="1:75" s="294" customFormat="1" ht="17" thickBot="1" x14ac:dyDescent="0.5">
      <c r="A17" s="464"/>
      <c r="B17" s="462"/>
      <c r="C17" s="280" t="s">
        <v>398</v>
      </c>
      <c r="D17" s="281">
        <v>0</v>
      </c>
      <c r="E17" s="286">
        <v>1</v>
      </c>
      <c r="F17" s="286">
        <v>1</v>
      </c>
      <c r="G17" s="286">
        <v>0</v>
      </c>
      <c r="H17" s="286">
        <v>1</v>
      </c>
      <c r="I17" s="286">
        <v>0</v>
      </c>
      <c r="J17" s="286">
        <v>2</v>
      </c>
      <c r="K17" s="286">
        <v>1</v>
      </c>
      <c r="L17" s="286">
        <v>0</v>
      </c>
      <c r="M17" s="286">
        <v>2</v>
      </c>
      <c r="N17" s="286">
        <v>4</v>
      </c>
      <c r="O17" s="287">
        <v>1</v>
      </c>
      <c r="P17" s="286">
        <v>2</v>
      </c>
      <c r="Q17" s="286">
        <v>1</v>
      </c>
      <c r="R17" s="286">
        <v>0</v>
      </c>
      <c r="S17" s="286">
        <v>2</v>
      </c>
      <c r="T17" s="286">
        <v>1</v>
      </c>
      <c r="U17" s="286">
        <v>3</v>
      </c>
      <c r="V17" s="286">
        <v>0</v>
      </c>
      <c r="W17" s="286">
        <v>1</v>
      </c>
      <c r="X17" s="286">
        <v>2</v>
      </c>
      <c r="Y17" s="288">
        <v>2</v>
      </c>
      <c r="Z17" s="288">
        <v>0</v>
      </c>
      <c r="AA17" s="289">
        <v>5</v>
      </c>
      <c r="AB17" s="290">
        <v>1</v>
      </c>
      <c r="AC17" s="288">
        <v>1</v>
      </c>
      <c r="AD17" s="288">
        <v>0</v>
      </c>
      <c r="AE17" s="288">
        <v>1</v>
      </c>
      <c r="AF17" s="288">
        <v>2</v>
      </c>
      <c r="AG17" s="288">
        <v>0</v>
      </c>
      <c r="AH17" s="288">
        <v>3</v>
      </c>
      <c r="AI17" s="288">
        <v>3</v>
      </c>
      <c r="AJ17" s="288">
        <v>0</v>
      </c>
      <c r="AK17" s="288">
        <v>1</v>
      </c>
      <c r="AL17" s="288">
        <v>0</v>
      </c>
      <c r="AM17" s="289">
        <v>1</v>
      </c>
      <c r="AN17" s="291">
        <v>0</v>
      </c>
      <c r="AO17" s="286">
        <v>3</v>
      </c>
      <c r="AP17" s="286">
        <v>0</v>
      </c>
      <c r="AQ17" s="286">
        <v>2</v>
      </c>
      <c r="AR17" s="286">
        <v>1</v>
      </c>
      <c r="AS17" s="286">
        <v>3</v>
      </c>
      <c r="AT17" s="286">
        <v>2</v>
      </c>
      <c r="AU17" s="286">
        <v>3</v>
      </c>
      <c r="AV17" s="286">
        <v>1</v>
      </c>
      <c r="AW17" s="286">
        <v>3</v>
      </c>
      <c r="AX17" s="286">
        <v>1</v>
      </c>
      <c r="AY17" s="287">
        <v>2</v>
      </c>
      <c r="AZ17" s="291">
        <v>2</v>
      </c>
      <c r="BA17" s="286">
        <v>0</v>
      </c>
      <c r="BB17" s="286">
        <v>3</v>
      </c>
      <c r="BC17" s="286">
        <v>2</v>
      </c>
      <c r="BD17" s="286">
        <v>0</v>
      </c>
      <c r="BE17" s="286">
        <v>0</v>
      </c>
      <c r="BF17" s="286">
        <v>1</v>
      </c>
      <c r="BG17" s="286">
        <v>0</v>
      </c>
      <c r="BH17" s="286">
        <v>1</v>
      </c>
      <c r="BI17" s="286">
        <v>0</v>
      </c>
      <c r="BJ17" s="286">
        <v>2</v>
      </c>
      <c r="BK17" s="286">
        <v>1</v>
      </c>
      <c r="BL17" s="336"/>
      <c r="BM17" s="340"/>
      <c r="BN17" s="341"/>
      <c r="BO17" s="286">
        <v>0</v>
      </c>
      <c r="BP17" s="286">
        <v>0</v>
      </c>
      <c r="BQ17" s="286">
        <v>0</v>
      </c>
      <c r="BR17" s="286">
        <v>0</v>
      </c>
      <c r="BS17" s="286">
        <v>3</v>
      </c>
      <c r="BT17" s="286">
        <v>1</v>
      </c>
      <c r="BU17" s="286">
        <v>0</v>
      </c>
      <c r="BV17" s="288">
        <v>1</v>
      </c>
      <c r="BW17" s="292">
        <v>0</v>
      </c>
    </row>
    <row r="18" spans="1:75" s="294" customFormat="1" ht="17" thickBot="1" x14ac:dyDescent="0.5">
      <c r="A18" s="464"/>
      <c r="B18" s="462"/>
      <c r="C18" s="280" t="s">
        <v>404</v>
      </c>
      <c r="D18" s="282">
        <v>0</v>
      </c>
      <c r="E18" s="295">
        <v>0</v>
      </c>
      <c r="F18" s="295">
        <v>0</v>
      </c>
      <c r="G18" s="295">
        <v>0</v>
      </c>
      <c r="H18" s="295">
        <v>0</v>
      </c>
      <c r="I18" s="295">
        <v>0</v>
      </c>
      <c r="J18" s="295">
        <v>0</v>
      </c>
      <c r="K18" s="295">
        <v>0</v>
      </c>
      <c r="L18" s="295">
        <v>0</v>
      </c>
      <c r="M18" s="295">
        <v>1</v>
      </c>
      <c r="N18" s="295">
        <v>0</v>
      </c>
      <c r="O18" s="296">
        <v>1</v>
      </c>
      <c r="P18" s="295">
        <v>0</v>
      </c>
      <c r="Q18" s="295">
        <v>0</v>
      </c>
      <c r="R18" s="295">
        <v>0</v>
      </c>
      <c r="S18" s="295">
        <v>0</v>
      </c>
      <c r="T18" s="295">
        <v>0</v>
      </c>
      <c r="U18" s="295">
        <v>0</v>
      </c>
      <c r="V18" s="295">
        <v>0</v>
      </c>
      <c r="W18" s="295">
        <v>0</v>
      </c>
      <c r="X18" s="295">
        <v>0</v>
      </c>
      <c r="Y18" s="297">
        <v>0</v>
      </c>
      <c r="Z18" s="297">
        <v>0</v>
      </c>
      <c r="AA18" s="298">
        <v>0</v>
      </c>
      <c r="AB18" s="299">
        <v>0</v>
      </c>
      <c r="AC18" s="297">
        <v>0</v>
      </c>
      <c r="AD18" s="297">
        <v>0</v>
      </c>
      <c r="AE18" s="297">
        <v>0</v>
      </c>
      <c r="AF18" s="297">
        <v>0</v>
      </c>
      <c r="AG18" s="297">
        <v>0</v>
      </c>
      <c r="AH18" s="297">
        <v>0</v>
      </c>
      <c r="AI18" s="297">
        <v>0</v>
      </c>
      <c r="AJ18" s="297">
        <v>0</v>
      </c>
      <c r="AK18" s="297">
        <v>0</v>
      </c>
      <c r="AL18" s="297">
        <v>0</v>
      </c>
      <c r="AM18" s="298">
        <v>0</v>
      </c>
      <c r="AN18" s="300">
        <v>0</v>
      </c>
      <c r="AO18" s="295">
        <v>0</v>
      </c>
      <c r="AP18" s="295">
        <v>0</v>
      </c>
      <c r="AQ18" s="295">
        <v>0</v>
      </c>
      <c r="AR18" s="295">
        <v>0</v>
      </c>
      <c r="AS18" s="295">
        <v>0</v>
      </c>
      <c r="AT18" s="295">
        <v>0</v>
      </c>
      <c r="AU18" s="295">
        <v>0</v>
      </c>
      <c r="AV18" s="295">
        <v>0</v>
      </c>
      <c r="AW18" s="295">
        <v>0</v>
      </c>
      <c r="AX18" s="295">
        <v>1</v>
      </c>
      <c r="AY18" s="296">
        <v>0</v>
      </c>
      <c r="AZ18" s="300">
        <v>0</v>
      </c>
      <c r="BA18" s="295">
        <v>0</v>
      </c>
      <c r="BB18" s="295">
        <v>0</v>
      </c>
      <c r="BC18" s="295">
        <v>0</v>
      </c>
      <c r="BD18" s="295">
        <v>0</v>
      </c>
      <c r="BE18" s="295">
        <v>0</v>
      </c>
      <c r="BF18" s="295">
        <v>0</v>
      </c>
      <c r="BG18" s="295">
        <v>0</v>
      </c>
      <c r="BH18" s="295">
        <v>0</v>
      </c>
      <c r="BI18" s="295">
        <v>0</v>
      </c>
      <c r="BJ18" s="295">
        <v>0</v>
      </c>
      <c r="BK18" s="295">
        <v>0</v>
      </c>
      <c r="BL18" s="336"/>
      <c r="BM18" s="340"/>
      <c r="BN18" s="341"/>
      <c r="BO18" s="295">
        <v>0</v>
      </c>
      <c r="BP18" s="295">
        <v>0</v>
      </c>
      <c r="BQ18" s="295">
        <v>0</v>
      </c>
      <c r="BR18" s="295">
        <v>0</v>
      </c>
      <c r="BS18" s="295">
        <v>0</v>
      </c>
      <c r="BT18" s="295">
        <v>0</v>
      </c>
      <c r="BU18" s="295">
        <v>0</v>
      </c>
      <c r="BV18" s="297">
        <v>0</v>
      </c>
      <c r="BW18" s="301">
        <v>0</v>
      </c>
    </row>
    <row r="19" spans="1:75" s="294" customFormat="1" ht="17" thickBot="1" x14ac:dyDescent="0.35">
      <c r="A19" s="464"/>
      <c r="B19" s="462"/>
      <c r="C19" s="280" t="s">
        <v>399</v>
      </c>
      <c r="D19" s="283">
        <v>0</v>
      </c>
      <c r="E19" s="303">
        <v>1</v>
      </c>
      <c r="F19" s="303">
        <v>1</v>
      </c>
      <c r="G19" s="303">
        <v>0</v>
      </c>
      <c r="H19" s="303">
        <v>1</v>
      </c>
      <c r="I19" s="303">
        <v>0</v>
      </c>
      <c r="J19" s="303">
        <v>2</v>
      </c>
      <c r="K19" s="303">
        <v>1</v>
      </c>
      <c r="L19" s="303">
        <v>0</v>
      </c>
      <c r="M19" s="303">
        <v>2</v>
      </c>
      <c r="N19" s="303">
        <v>4</v>
      </c>
      <c r="O19" s="304">
        <v>1</v>
      </c>
      <c r="P19" s="303">
        <v>2</v>
      </c>
      <c r="Q19" s="303">
        <v>1</v>
      </c>
      <c r="R19" s="303">
        <v>0</v>
      </c>
      <c r="S19" s="303">
        <v>2</v>
      </c>
      <c r="T19" s="303">
        <v>1</v>
      </c>
      <c r="U19" s="303">
        <v>3</v>
      </c>
      <c r="V19" s="303">
        <v>0</v>
      </c>
      <c r="W19" s="303">
        <v>1</v>
      </c>
      <c r="X19" s="303">
        <v>2</v>
      </c>
      <c r="Y19" s="303">
        <v>2</v>
      </c>
      <c r="Z19" s="303">
        <v>0</v>
      </c>
      <c r="AA19" s="304">
        <v>5</v>
      </c>
      <c r="AB19" s="303">
        <v>1</v>
      </c>
      <c r="AC19" s="303">
        <v>1</v>
      </c>
      <c r="AD19" s="303">
        <v>0</v>
      </c>
      <c r="AE19" s="303">
        <v>1</v>
      </c>
      <c r="AF19" s="303">
        <v>2</v>
      </c>
      <c r="AG19" s="303">
        <v>0</v>
      </c>
      <c r="AH19" s="303">
        <v>3</v>
      </c>
      <c r="AI19" s="303">
        <v>3</v>
      </c>
      <c r="AJ19" s="303">
        <v>0</v>
      </c>
      <c r="AK19" s="303">
        <v>1</v>
      </c>
      <c r="AL19" s="303">
        <v>0</v>
      </c>
      <c r="AM19" s="304">
        <v>1</v>
      </c>
      <c r="AN19" s="305">
        <v>0</v>
      </c>
      <c r="AO19" s="303">
        <v>3</v>
      </c>
      <c r="AP19" s="303">
        <v>0</v>
      </c>
      <c r="AQ19" s="303">
        <v>2</v>
      </c>
      <c r="AR19" s="303">
        <v>1</v>
      </c>
      <c r="AS19" s="303">
        <v>3</v>
      </c>
      <c r="AT19" s="303">
        <v>2</v>
      </c>
      <c r="AU19" s="303">
        <v>3</v>
      </c>
      <c r="AV19" s="303">
        <v>1</v>
      </c>
      <c r="AW19" s="303">
        <v>3</v>
      </c>
      <c r="AX19" s="303">
        <v>1</v>
      </c>
      <c r="AY19" s="304">
        <v>2</v>
      </c>
      <c r="AZ19" s="305">
        <v>2</v>
      </c>
      <c r="BA19" s="303">
        <v>0</v>
      </c>
      <c r="BB19" s="303">
        <v>3</v>
      </c>
      <c r="BC19" s="303">
        <v>2</v>
      </c>
      <c r="BD19" s="303">
        <v>0</v>
      </c>
      <c r="BE19" s="303">
        <v>0</v>
      </c>
      <c r="BF19" s="303">
        <v>1</v>
      </c>
      <c r="BG19" s="303">
        <v>0</v>
      </c>
      <c r="BH19" s="303">
        <v>1</v>
      </c>
      <c r="BI19" s="303">
        <v>0</v>
      </c>
      <c r="BJ19" s="303">
        <v>2</v>
      </c>
      <c r="BK19" s="303">
        <v>1</v>
      </c>
      <c r="BL19" s="336"/>
      <c r="BM19" s="340"/>
      <c r="BN19" s="341"/>
      <c r="BO19" s="303">
        <v>0</v>
      </c>
      <c r="BP19" s="303">
        <v>0</v>
      </c>
      <c r="BQ19" s="303">
        <v>0</v>
      </c>
      <c r="BR19" s="303">
        <v>0</v>
      </c>
      <c r="BS19" s="303">
        <v>3</v>
      </c>
      <c r="BT19" s="303">
        <v>1</v>
      </c>
      <c r="BU19" s="303">
        <v>0</v>
      </c>
      <c r="BV19" s="303">
        <v>1</v>
      </c>
      <c r="BW19" s="306">
        <v>0</v>
      </c>
    </row>
    <row r="20" spans="1:75" s="294" customFormat="1" ht="17" thickBot="1" x14ac:dyDescent="0.35">
      <c r="A20" s="464"/>
      <c r="B20" s="462"/>
      <c r="C20" s="280" t="s">
        <v>400</v>
      </c>
      <c r="D20" s="284">
        <v>0</v>
      </c>
      <c r="E20" s="307">
        <v>1</v>
      </c>
      <c r="F20" s="307">
        <v>1</v>
      </c>
      <c r="G20" s="307">
        <v>0</v>
      </c>
      <c r="H20" s="307">
        <v>1</v>
      </c>
      <c r="I20" s="307">
        <v>0</v>
      </c>
      <c r="J20" s="307">
        <v>2</v>
      </c>
      <c r="K20" s="307">
        <v>1</v>
      </c>
      <c r="L20" s="307">
        <v>0</v>
      </c>
      <c r="M20" s="307">
        <v>2</v>
      </c>
      <c r="N20" s="307">
        <v>4</v>
      </c>
      <c r="O20" s="308">
        <v>0</v>
      </c>
      <c r="P20" s="307">
        <v>2</v>
      </c>
      <c r="Q20" s="307">
        <v>0</v>
      </c>
      <c r="R20" s="307">
        <v>0</v>
      </c>
      <c r="S20" s="307">
        <v>3</v>
      </c>
      <c r="T20" s="307">
        <v>1</v>
      </c>
      <c r="U20" s="307">
        <v>2</v>
      </c>
      <c r="V20" s="307">
        <v>0</v>
      </c>
      <c r="W20" s="307">
        <v>1</v>
      </c>
      <c r="X20" s="307">
        <v>2</v>
      </c>
      <c r="Y20" s="307">
        <v>4</v>
      </c>
      <c r="Z20" s="307">
        <v>0</v>
      </c>
      <c r="AA20" s="308">
        <v>5</v>
      </c>
      <c r="AB20" s="307">
        <v>2</v>
      </c>
      <c r="AC20" s="307">
        <v>1</v>
      </c>
      <c r="AD20" s="307">
        <v>0</v>
      </c>
      <c r="AE20" s="307">
        <v>1</v>
      </c>
      <c r="AF20" s="307">
        <v>2</v>
      </c>
      <c r="AG20" s="307">
        <v>0</v>
      </c>
      <c r="AH20" s="307">
        <v>3</v>
      </c>
      <c r="AI20" s="307">
        <v>3</v>
      </c>
      <c r="AJ20" s="307">
        <v>0</v>
      </c>
      <c r="AK20" s="307">
        <v>1</v>
      </c>
      <c r="AL20" s="307">
        <v>0</v>
      </c>
      <c r="AM20" s="308">
        <v>1</v>
      </c>
      <c r="AN20" s="309">
        <v>2</v>
      </c>
      <c r="AO20" s="307">
        <v>3</v>
      </c>
      <c r="AP20" s="307">
        <v>0</v>
      </c>
      <c r="AQ20" s="307">
        <v>2</v>
      </c>
      <c r="AR20" s="307">
        <v>1</v>
      </c>
      <c r="AS20" s="307">
        <v>3</v>
      </c>
      <c r="AT20" s="307">
        <v>2</v>
      </c>
      <c r="AU20" s="307">
        <v>2</v>
      </c>
      <c r="AV20" s="307">
        <v>1</v>
      </c>
      <c r="AW20" s="307">
        <v>4</v>
      </c>
      <c r="AX20" s="307">
        <v>0</v>
      </c>
      <c r="AY20" s="308">
        <v>2</v>
      </c>
      <c r="AZ20" s="309">
        <v>2</v>
      </c>
      <c r="BA20" s="307">
        <v>0</v>
      </c>
      <c r="BB20" s="307">
        <v>3</v>
      </c>
      <c r="BC20" s="307">
        <v>2</v>
      </c>
      <c r="BD20" s="307">
        <v>0</v>
      </c>
      <c r="BE20" s="307">
        <v>0</v>
      </c>
      <c r="BF20" s="307">
        <v>1</v>
      </c>
      <c r="BG20" s="307">
        <v>0</v>
      </c>
      <c r="BH20" s="307">
        <v>1</v>
      </c>
      <c r="BI20" s="307">
        <v>0</v>
      </c>
      <c r="BJ20" s="307">
        <v>2</v>
      </c>
      <c r="BK20" s="307">
        <v>1</v>
      </c>
      <c r="BL20" s="336"/>
      <c r="BM20" s="340"/>
      <c r="BN20" s="341"/>
      <c r="BO20" s="307">
        <v>0</v>
      </c>
      <c r="BP20" s="307">
        <v>0</v>
      </c>
      <c r="BQ20" s="307">
        <v>0</v>
      </c>
      <c r="BR20" s="307">
        <v>0</v>
      </c>
      <c r="BS20" s="307">
        <v>3</v>
      </c>
      <c r="BT20" s="307">
        <v>1</v>
      </c>
      <c r="BU20" s="307">
        <v>0</v>
      </c>
      <c r="BV20" s="307">
        <v>1</v>
      </c>
      <c r="BW20" s="310">
        <v>0</v>
      </c>
    </row>
    <row r="21" spans="1:75" s="294" customFormat="1" ht="17" thickBot="1" x14ac:dyDescent="0.35">
      <c r="A21" s="464"/>
      <c r="B21" s="463"/>
      <c r="C21" s="280" t="s">
        <v>401</v>
      </c>
      <c r="D21" s="285">
        <v>0</v>
      </c>
      <c r="E21" s="311">
        <v>1</v>
      </c>
      <c r="F21" s="311">
        <v>1</v>
      </c>
      <c r="G21" s="311">
        <v>0</v>
      </c>
      <c r="H21" s="311">
        <v>1</v>
      </c>
      <c r="I21" s="311">
        <v>0</v>
      </c>
      <c r="J21" s="311">
        <v>2</v>
      </c>
      <c r="K21" s="311">
        <v>1</v>
      </c>
      <c r="L21" s="311">
        <v>0</v>
      </c>
      <c r="M21" s="311">
        <v>2</v>
      </c>
      <c r="N21" s="311">
        <v>4</v>
      </c>
      <c r="O21" s="312">
        <v>0</v>
      </c>
      <c r="P21" s="311">
        <v>2</v>
      </c>
      <c r="Q21" s="311">
        <v>0</v>
      </c>
      <c r="R21" s="311">
        <v>0</v>
      </c>
      <c r="S21" s="311">
        <v>3</v>
      </c>
      <c r="T21" s="311">
        <v>1</v>
      </c>
      <c r="U21" s="311">
        <v>2</v>
      </c>
      <c r="V21" s="311">
        <v>0</v>
      </c>
      <c r="W21" s="311">
        <v>1</v>
      </c>
      <c r="X21" s="311">
        <v>2</v>
      </c>
      <c r="Y21" s="311">
        <v>4</v>
      </c>
      <c r="Z21" s="311">
        <v>0</v>
      </c>
      <c r="AA21" s="312">
        <v>5</v>
      </c>
      <c r="AB21" s="311">
        <v>2</v>
      </c>
      <c r="AC21" s="311">
        <v>1</v>
      </c>
      <c r="AD21" s="311">
        <v>0</v>
      </c>
      <c r="AE21" s="311">
        <v>1</v>
      </c>
      <c r="AF21" s="311">
        <v>2</v>
      </c>
      <c r="AG21" s="311">
        <v>0</v>
      </c>
      <c r="AH21" s="311">
        <v>3</v>
      </c>
      <c r="AI21" s="311">
        <v>3</v>
      </c>
      <c r="AJ21" s="311">
        <v>0</v>
      </c>
      <c r="AK21" s="311">
        <v>1</v>
      </c>
      <c r="AL21" s="311">
        <v>0</v>
      </c>
      <c r="AM21" s="312">
        <v>1</v>
      </c>
      <c r="AN21" s="313">
        <v>2</v>
      </c>
      <c r="AO21" s="311">
        <v>3</v>
      </c>
      <c r="AP21" s="311">
        <v>0</v>
      </c>
      <c r="AQ21" s="311">
        <v>2</v>
      </c>
      <c r="AR21" s="311">
        <v>1</v>
      </c>
      <c r="AS21" s="311">
        <v>3</v>
      </c>
      <c r="AT21" s="311">
        <v>2</v>
      </c>
      <c r="AU21" s="311">
        <v>2</v>
      </c>
      <c r="AV21" s="311">
        <v>1</v>
      </c>
      <c r="AW21" s="311">
        <v>4</v>
      </c>
      <c r="AX21" s="311">
        <v>0</v>
      </c>
      <c r="AY21" s="312">
        <v>2</v>
      </c>
      <c r="AZ21" s="313">
        <v>2</v>
      </c>
      <c r="BA21" s="311">
        <v>0</v>
      </c>
      <c r="BB21" s="311">
        <v>3</v>
      </c>
      <c r="BC21" s="311">
        <v>2</v>
      </c>
      <c r="BD21" s="311">
        <v>0</v>
      </c>
      <c r="BE21" s="311">
        <v>0</v>
      </c>
      <c r="BF21" s="311">
        <v>1</v>
      </c>
      <c r="BG21" s="311">
        <v>0</v>
      </c>
      <c r="BH21" s="311">
        <v>1</v>
      </c>
      <c r="BI21" s="311">
        <v>0</v>
      </c>
      <c r="BJ21" s="311">
        <v>2</v>
      </c>
      <c r="BK21" s="311">
        <v>1</v>
      </c>
      <c r="BL21" s="337"/>
      <c r="BM21" s="342"/>
      <c r="BN21" s="343"/>
      <c r="BO21" s="311">
        <v>0</v>
      </c>
      <c r="BP21" s="311">
        <v>0</v>
      </c>
      <c r="BQ21" s="311">
        <v>0</v>
      </c>
      <c r="BR21" s="311">
        <v>0</v>
      </c>
      <c r="BS21" s="311">
        <v>3</v>
      </c>
      <c r="BT21" s="311">
        <v>1</v>
      </c>
      <c r="BU21" s="311">
        <v>0</v>
      </c>
      <c r="BV21" s="311">
        <v>1</v>
      </c>
      <c r="BW21" s="314">
        <v>0</v>
      </c>
    </row>
    <row r="22" spans="1:75" ht="17" thickBot="1" x14ac:dyDescent="0.5">
      <c r="A22" s="464"/>
      <c r="B22" s="535" t="s">
        <v>35</v>
      </c>
      <c r="C22" s="239" t="s">
        <v>403</v>
      </c>
      <c r="D22" s="207">
        <v>1</v>
      </c>
      <c r="E22" s="208">
        <v>0</v>
      </c>
      <c r="F22" s="208">
        <v>0</v>
      </c>
      <c r="G22" s="208">
        <v>0</v>
      </c>
      <c r="H22" s="208">
        <v>2</v>
      </c>
      <c r="I22" s="208">
        <v>0</v>
      </c>
      <c r="J22" s="208">
        <v>0</v>
      </c>
      <c r="K22" s="208">
        <v>1</v>
      </c>
      <c r="L22" s="208">
        <v>0</v>
      </c>
      <c r="M22" s="208">
        <v>1</v>
      </c>
      <c r="N22" s="208">
        <v>0</v>
      </c>
      <c r="O22" s="209">
        <v>0</v>
      </c>
      <c r="P22" s="208">
        <v>0</v>
      </c>
      <c r="Q22" s="208">
        <v>0</v>
      </c>
      <c r="R22" s="208">
        <v>0</v>
      </c>
      <c r="S22" s="208">
        <v>1</v>
      </c>
      <c r="T22" s="208">
        <v>0</v>
      </c>
      <c r="U22" s="208">
        <v>0</v>
      </c>
      <c r="V22" s="208">
        <v>1</v>
      </c>
      <c r="W22" s="208">
        <v>1</v>
      </c>
      <c r="X22" s="208">
        <v>0</v>
      </c>
      <c r="Y22" s="210">
        <v>0</v>
      </c>
      <c r="Z22" s="210">
        <v>0</v>
      </c>
      <c r="AA22" s="211">
        <v>0</v>
      </c>
      <c r="AB22" s="212">
        <v>0</v>
      </c>
      <c r="AC22" s="210">
        <v>0</v>
      </c>
      <c r="AD22" s="210">
        <v>0</v>
      </c>
      <c r="AE22" s="210">
        <v>0</v>
      </c>
      <c r="AF22" s="210">
        <v>1</v>
      </c>
      <c r="AG22" s="210">
        <v>0</v>
      </c>
      <c r="AH22" s="210">
        <v>1</v>
      </c>
      <c r="AI22" s="210">
        <v>0</v>
      </c>
      <c r="AJ22" s="210">
        <v>0</v>
      </c>
      <c r="AK22" s="210">
        <v>0</v>
      </c>
      <c r="AL22" s="210">
        <v>0</v>
      </c>
      <c r="AM22" s="211">
        <v>0</v>
      </c>
      <c r="AN22" s="242">
        <v>1</v>
      </c>
      <c r="AO22" s="208">
        <v>0</v>
      </c>
      <c r="AP22" s="208">
        <v>0</v>
      </c>
      <c r="AQ22" s="208">
        <v>0</v>
      </c>
      <c r="AR22" s="208">
        <v>0</v>
      </c>
      <c r="AS22" s="208">
        <v>0</v>
      </c>
      <c r="AT22" s="208">
        <v>0</v>
      </c>
      <c r="AU22" s="208">
        <v>0</v>
      </c>
      <c r="AV22" s="208">
        <v>0</v>
      </c>
      <c r="AW22" s="208">
        <v>0</v>
      </c>
      <c r="AX22" s="208">
        <v>0</v>
      </c>
      <c r="AY22" s="209">
        <v>0</v>
      </c>
      <c r="AZ22" s="242">
        <v>0</v>
      </c>
      <c r="BA22" s="335" t="s">
        <v>57</v>
      </c>
      <c r="BB22" s="338" t="s">
        <v>30</v>
      </c>
      <c r="BC22" s="339"/>
      <c r="BD22" s="208">
        <v>0</v>
      </c>
      <c r="BE22" s="208">
        <v>0</v>
      </c>
      <c r="BF22" s="208">
        <v>0</v>
      </c>
      <c r="BG22" s="208">
        <v>0</v>
      </c>
      <c r="BH22" s="208">
        <v>0</v>
      </c>
      <c r="BI22" s="208">
        <v>0</v>
      </c>
      <c r="BJ22" s="208">
        <v>1</v>
      </c>
      <c r="BK22" s="208">
        <v>0</v>
      </c>
      <c r="BL22" s="242">
        <v>0</v>
      </c>
      <c r="BM22" s="208">
        <v>0</v>
      </c>
      <c r="BN22" s="208">
        <v>0</v>
      </c>
      <c r="BO22" s="208">
        <v>0</v>
      </c>
      <c r="BP22" s="208">
        <v>0</v>
      </c>
      <c r="BQ22" s="208">
        <v>1</v>
      </c>
      <c r="BR22" s="208">
        <v>0</v>
      </c>
      <c r="BS22" s="208">
        <v>0</v>
      </c>
      <c r="BT22" s="208">
        <v>1</v>
      </c>
      <c r="BU22" s="208">
        <v>0</v>
      </c>
      <c r="BV22" s="208">
        <v>0</v>
      </c>
      <c r="BW22" s="278">
        <v>1</v>
      </c>
    </row>
    <row r="23" spans="1:75" s="294" customFormat="1" ht="17" thickBot="1" x14ac:dyDescent="0.5">
      <c r="A23" s="464"/>
      <c r="B23" s="535"/>
      <c r="C23" s="280" t="s">
        <v>398</v>
      </c>
      <c r="D23" s="281">
        <v>1</v>
      </c>
      <c r="E23" s="286">
        <v>0</v>
      </c>
      <c r="F23" s="286">
        <v>0</v>
      </c>
      <c r="G23" s="286">
        <v>0</v>
      </c>
      <c r="H23" s="286">
        <v>2</v>
      </c>
      <c r="I23" s="286">
        <v>0</v>
      </c>
      <c r="J23" s="286">
        <v>0</v>
      </c>
      <c r="K23" s="286">
        <v>1</v>
      </c>
      <c r="L23" s="286">
        <v>0</v>
      </c>
      <c r="M23" s="286">
        <v>1</v>
      </c>
      <c r="N23" s="286">
        <v>0</v>
      </c>
      <c r="O23" s="287">
        <v>0</v>
      </c>
      <c r="P23" s="286">
        <v>0</v>
      </c>
      <c r="Q23" s="286">
        <v>0</v>
      </c>
      <c r="R23" s="286">
        <v>0</v>
      </c>
      <c r="S23" s="286">
        <v>1</v>
      </c>
      <c r="T23" s="286">
        <v>0</v>
      </c>
      <c r="U23" s="286">
        <v>0</v>
      </c>
      <c r="V23" s="286">
        <v>1</v>
      </c>
      <c r="W23" s="286">
        <v>1</v>
      </c>
      <c r="X23" s="286">
        <v>0</v>
      </c>
      <c r="Y23" s="288">
        <v>0</v>
      </c>
      <c r="Z23" s="288">
        <v>0</v>
      </c>
      <c r="AA23" s="289">
        <v>0</v>
      </c>
      <c r="AB23" s="290">
        <v>0</v>
      </c>
      <c r="AC23" s="288">
        <v>0</v>
      </c>
      <c r="AD23" s="288">
        <v>0</v>
      </c>
      <c r="AE23" s="288">
        <v>0</v>
      </c>
      <c r="AF23" s="288">
        <v>1</v>
      </c>
      <c r="AG23" s="288">
        <v>0</v>
      </c>
      <c r="AH23" s="288">
        <v>1</v>
      </c>
      <c r="AI23" s="288">
        <v>0</v>
      </c>
      <c r="AJ23" s="288">
        <v>0</v>
      </c>
      <c r="AK23" s="288">
        <v>0</v>
      </c>
      <c r="AL23" s="288">
        <v>0</v>
      </c>
      <c r="AM23" s="289">
        <v>0</v>
      </c>
      <c r="AN23" s="291">
        <v>1</v>
      </c>
      <c r="AO23" s="286">
        <v>0</v>
      </c>
      <c r="AP23" s="286">
        <v>0</v>
      </c>
      <c r="AQ23" s="286">
        <v>0</v>
      </c>
      <c r="AR23" s="286">
        <v>0</v>
      </c>
      <c r="AS23" s="286">
        <v>0</v>
      </c>
      <c r="AT23" s="286">
        <v>0</v>
      </c>
      <c r="AU23" s="286">
        <v>0</v>
      </c>
      <c r="AV23" s="286">
        <v>0</v>
      </c>
      <c r="AW23" s="286">
        <v>0</v>
      </c>
      <c r="AX23" s="286">
        <v>0</v>
      </c>
      <c r="AY23" s="287">
        <v>0</v>
      </c>
      <c r="AZ23" s="291">
        <v>0</v>
      </c>
      <c r="BA23" s="336"/>
      <c r="BB23" s="340"/>
      <c r="BC23" s="341"/>
      <c r="BD23" s="286">
        <v>0</v>
      </c>
      <c r="BE23" s="286">
        <v>0</v>
      </c>
      <c r="BF23" s="286">
        <v>0</v>
      </c>
      <c r="BG23" s="286">
        <v>0</v>
      </c>
      <c r="BH23" s="286">
        <v>0</v>
      </c>
      <c r="BI23" s="286">
        <v>0</v>
      </c>
      <c r="BJ23" s="286">
        <v>1</v>
      </c>
      <c r="BK23" s="286">
        <v>0</v>
      </c>
      <c r="BL23" s="291">
        <v>0</v>
      </c>
      <c r="BM23" s="286">
        <v>0</v>
      </c>
      <c r="BN23" s="286">
        <v>0</v>
      </c>
      <c r="BO23" s="286">
        <v>0</v>
      </c>
      <c r="BP23" s="286">
        <v>0</v>
      </c>
      <c r="BQ23" s="286">
        <v>1</v>
      </c>
      <c r="BR23" s="286">
        <v>0</v>
      </c>
      <c r="BS23" s="286">
        <v>0</v>
      </c>
      <c r="BT23" s="286">
        <v>1</v>
      </c>
      <c r="BU23" s="286">
        <v>0</v>
      </c>
      <c r="BV23" s="286">
        <v>0</v>
      </c>
      <c r="BW23" s="292">
        <v>1</v>
      </c>
    </row>
    <row r="24" spans="1:75" s="294" customFormat="1" ht="17" thickBot="1" x14ac:dyDescent="0.5">
      <c r="A24" s="464"/>
      <c r="B24" s="535"/>
      <c r="C24" s="280" t="s">
        <v>404</v>
      </c>
      <c r="D24" s="282">
        <v>0</v>
      </c>
      <c r="E24" s="295">
        <v>0</v>
      </c>
      <c r="F24" s="295">
        <v>0</v>
      </c>
      <c r="G24" s="295">
        <v>0</v>
      </c>
      <c r="H24" s="295">
        <v>1</v>
      </c>
      <c r="I24" s="295">
        <v>0</v>
      </c>
      <c r="J24" s="295">
        <v>0</v>
      </c>
      <c r="K24" s="295">
        <v>1</v>
      </c>
      <c r="L24" s="295">
        <v>0</v>
      </c>
      <c r="M24" s="295">
        <v>0</v>
      </c>
      <c r="N24" s="295">
        <v>0</v>
      </c>
      <c r="O24" s="296">
        <v>0</v>
      </c>
      <c r="P24" s="295">
        <v>0</v>
      </c>
      <c r="Q24" s="295">
        <v>0</v>
      </c>
      <c r="R24" s="295">
        <v>0</v>
      </c>
      <c r="S24" s="295">
        <v>0</v>
      </c>
      <c r="T24" s="295">
        <v>0</v>
      </c>
      <c r="U24" s="295">
        <v>0</v>
      </c>
      <c r="V24" s="295">
        <v>1</v>
      </c>
      <c r="W24" s="295">
        <v>0</v>
      </c>
      <c r="X24" s="295">
        <v>0</v>
      </c>
      <c r="Y24" s="297">
        <v>0</v>
      </c>
      <c r="Z24" s="297">
        <v>0</v>
      </c>
      <c r="AA24" s="298">
        <v>0</v>
      </c>
      <c r="AB24" s="299">
        <v>0</v>
      </c>
      <c r="AC24" s="297">
        <v>0</v>
      </c>
      <c r="AD24" s="297">
        <v>0</v>
      </c>
      <c r="AE24" s="297">
        <v>0</v>
      </c>
      <c r="AF24" s="297">
        <v>0</v>
      </c>
      <c r="AG24" s="297">
        <v>0</v>
      </c>
      <c r="AH24" s="297">
        <v>0</v>
      </c>
      <c r="AI24" s="297">
        <v>0</v>
      </c>
      <c r="AJ24" s="297">
        <v>0</v>
      </c>
      <c r="AK24" s="297">
        <v>0</v>
      </c>
      <c r="AL24" s="297">
        <v>0</v>
      </c>
      <c r="AM24" s="298">
        <v>0</v>
      </c>
      <c r="AN24" s="300">
        <v>0</v>
      </c>
      <c r="AO24" s="295">
        <v>0</v>
      </c>
      <c r="AP24" s="295">
        <v>0</v>
      </c>
      <c r="AQ24" s="295">
        <v>0</v>
      </c>
      <c r="AR24" s="295">
        <v>0</v>
      </c>
      <c r="AS24" s="295">
        <v>0</v>
      </c>
      <c r="AT24" s="295">
        <v>0</v>
      </c>
      <c r="AU24" s="295">
        <v>0</v>
      </c>
      <c r="AV24" s="295">
        <v>0</v>
      </c>
      <c r="AW24" s="295">
        <v>0</v>
      </c>
      <c r="AX24" s="295">
        <v>0</v>
      </c>
      <c r="AY24" s="296">
        <v>0</v>
      </c>
      <c r="AZ24" s="300">
        <v>0</v>
      </c>
      <c r="BA24" s="336"/>
      <c r="BB24" s="340"/>
      <c r="BC24" s="341"/>
      <c r="BD24" s="295">
        <v>0</v>
      </c>
      <c r="BE24" s="295">
        <v>0</v>
      </c>
      <c r="BF24" s="295">
        <v>0</v>
      </c>
      <c r="BG24" s="295">
        <v>0</v>
      </c>
      <c r="BH24" s="295">
        <v>0</v>
      </c>
      <c r="BI24" s="295">
        <v>0</v>
      </c>
      <c r="BJ24" s="295">
        <v>0</v>
      </c>
      <c r="BK24" s="295">
        <v>0</v>
      </c>
      <c r="BL24" s="300">
        <v>0</v>
      </c>
      <c r="BM24" s="295">
        <v>0</v>
      </c>
      <c r="BN24" s="295">
        <v>0</v>
      </c>
      <c r="BO24" s="295">
        <v>0</v>
      </c>
      <c r="BP24" s="295">
        <v>0</v>
      </c>
      <c r="BQ24" s="295">
        <v>0</v>
      </c>
      <c r="BR24" s="295">
        <v>0</v>
      </c>
      <c r="BS24" s="295">
        <v>0</v>
      </c>
      <c r="BT24" s="295">
        <v>1</v>
      </c>
      <c r="BU24" s="295">
        <v>0</v>
      </c>
      <c r="BV24" s="295">
        <v>0</v>
      </c>
      <c r="BW24" s="301">
        <v>0</v>
      </c>
    </row>
    <row r="25" spans="1:75" s="294" customFormat="1" ht="17" thickBot="1" x14ac:dyDescent="0.35">
      <c r="A25" s="464"/>
      <c r="B25" s="535"/>
      <c r="C25" s="280" t="s">
        <v>399</v>
      </c>
      <c r="D25" s="283">
        <v>1</v>
      </c>
      <c r="E25" s="303">
        <v>0</v>
      </c>
      <c r="F25" s="303">
        <v>0</v>
      </c>
      <c r="G25" s="303">
        <v>0</v>
      </c>
      <c r="H25" s="303">
        <v>2</v>
      </c>
      <c r="I25" s="303">
        <v>0</v>
      </c>
      <c r="J25" s="303">
        <v>0</v>
      </c>
      <c r="K25" s="303">
        <v>1</v>
      </c>
      <c r="L25" s="303">
        <v>0</v>
      </c>
      <c r="M25" s="303">
        <v>1</v>
      </c>
      <c r="N25" s="303">
        <v>0</v>
      </c>
      <c r="O25" s="304">
        <v>0</v>
      </c>
      <c r="P25" s="303">
        <v>0</v>
      </c>
      <c r="Q25" s="303">
        <v>0</v>
      </c>
      <c r="R25" s="303">
        <v>0</v>
      </c>
      <c r="S25" s="303">
        <v>1</v>
      </c>
      <c r="T25" s="303">
        <v>0</v>
      </c>
      <c r="U25" s="303">
        <v>0</v>
      </c>
      <c r="V25" s="303">
        <v>1</v>
      </c>
      <c r="W25" s="303">
        <v>1</v>
      </c>
      <c r="X25" s="303">
        <v>0</v>
      </c>
      <c r="Y25" s="303">
        <v>0</v>
      </c>
      <c r="Z25" s="303">
        <v>0</v>
      </c>
      <c r="AA25" s="304">
        <v>0</v>
      </c>
      <c r="AB25" s="303">
        <v>0</v>
      </c>
      <c r="AC25" s="303">
        <v>0</v>
      </c>
      <c r="AD25" s="303">
        <v>0</v>
      </c>
      <c r="AE25" s="303">
        <v>0</v>
      </c>
      <c r="AF25" s="303">
        <v>1</v>
      </c>
      <c r="AG25" s="303">
        <v>0</v>
      </c>
      <c r="AH25" s="303">
        <v>1</v>
      </c>
      <c r="AI25" s="303">
        <v>0</v>
      </c>
      <c r="AJ25" s="303">
        <v>0</v>
      </c>
      <c r="AK25" s="303">
        <v>0</v>
      </c>
      <c r="AL25" s="303">
        <v>0</v>
      </c>
      <c r="AM25" s="304">
        <v>0</v>
      </c>
      <c r="AN25" s="305">
        <v>1</v>
      </c>
      <c r="AO25" s="303">
        <v>0</v>
      </c>
      <c r="AP25" s="303">
        <v>0</v>
      </c>
      <c r="AQ25" s="303">
        <v>0</v>
      </c>
      <c r="AR25" s="303">
        <v>0</v>
      </c>
      <c r="AS25" s="303">
        <v>0</v>
      </c>
      <c r="AT25" s="303">
        <v>0</v>
      </c>
      <c r="AU25" s="303">
        <v>0</v>
      </c>
      <c r="AV25" s="303">
        <v>0</v>
      </c>
      <c r="AW25" s="303">
        <v>0</v>
      </c>
      <c r="AX25" s="303">
        <v>0</v>
      </c>
      <c r="AY25" s="304">
        <v>0</v>
      </c>
      <c r="AZ25" s="305">
        <v>0</v>
      </c>
      <c r="BA25" s="336"/>
      <c r="BB25" s="340"/>
      <c r="BC25" s="341"/>
      <c r="BD25" s="303">
        <v>0</v>
      </c>
      <c r="BE25" s="303">
        <v>0</v>
      </c>
      <c r="BF25" s="303">
        <v>0</v>
      </c>
      <c r="BG25" s="303">
        <v>0</v>
      </c>
      <c r="BH25" s="303">
        <v>0</v>
      </c>
      <c r="BI25" s="303">
        <v>0</v>
      </c>
      <c r="BJ25" s="303">
        <v>1</v>
      </c>
      <c r="BK25" s="303">
        <v>0</v>
      </c>
      <c r="BL25" s="305">
        <v>0</v>
      </c>
      <c r="BM25" s="303">
        <v>0</v>
      </c>
      <c r="BN25" s="303">
        <v>0</v>
      </c>
      <c r="BO25" s="303">
        <v>0</v>
      </c>
      <c r="BP25" s="303">
        <v>0</v>
      </c>
      <c r="BQ25" s="303">
        <v>1</v>
      </c>
      <c r="BR25" s="303">
        <v>0</v>
      </c>
      <c r="BS25" s="303">
        <v>0</v>
      </c>
      <c r="BT25" s="303">
        <v>1</v>
      </c>
      <c r="BU25" s="303">
        <v>0</v>
      </c>
      <c r="BV25" s="303">
        <v>0</v>
      </c>
      <c r="BW25" s="306">
        <v>1</v>
      </c>
    </row>
    <row r="26" spans="1:75" s="294" customFormat="1" ht="17" thickBot="1" x14ac:dyDescent="0.35">
      <c r="A26" s="464"/>
      <c r="B26" s="535"/>
      <c r="C26" s="280" t="s">
        <v>400</v>
      </c>
      <c r="D26" s="284">
        <v>1</v>
      </c>
      <c r="E26" s="307">
        <v>0</v>
      </c>
      <c r="F26" s="307">
        <v>0</v>
      </c>
      <c r="G26" s="307">
        <v>0</v>
      </c>
      <c r="H26" s="307">
        <v>0</v>
      </c>
      <c r="I26" s="307">
        <v>0</v>
      </c>
      <c r="J26" s="307">
        <v>0</v>
      </c>
      <c r="K26" s="307">
        <v>0</v>
      </c>
      <c r="L26" s="307">
        <v>0</v>
      </c>
      <c r="M26" s="307">
        <v>1</v>
      </c>
      <c r="N26" s="307">
        <v>0</v>
      </c>
      <c r="O26" s="308">
        <v>0</v>
      </c>
      <c r="P26" s="307">
        <v>0</v>
      </c>
      <c r="Q26" s="307">
        <v>0</v>
      </c>
      <c r="R26" s="307">
        <v>0</v>
      </c>
      <c r="S26" s="307">
        <v>1</v>
      </c>
      <c r="T26" s="307">
        <v>0</v>
      </c>
      <c r="U26" s="307">
        <v>0</v>
      </c>
      <c r="V26" s="307">
        <v>0</v>
      </c>
      <c r="W26" s="307">
        <v>1</v>
      </c>
      <c r="X26" s="307">
        <v>0</v>
      </c>
      <c r="Y26" s="307">
        <v>0</v>
      </c>
      <c r="Z26" s="307">
        <v>0</v>
      </c>
      <c r="AA26" s="308">
        <v>0</v>
      </c>
      <c r="AB26" s="307">
        <v>0</v>
      </c>
      <c r="AC26" s="307">
        <v>0</v>
      </c>
      <c r="AD26" s="307">
        <v>0</v>
      </c>
      <c r="AE26" s="307">
        <v>0</v>
      </c>
      <c r="AF26" s="307">
        <v>1</v>
      </c>
      <c r="AG26" s="307">
        <v>0</v>
      </c>
      <c r="AH26" s="307">
        <v>0</v>
      </c>
      <c r="AI26" s="307">
        <v>0</v>
      </c>
      <c r="AJ26" s="307">
        <v>0</v>
      </c>
      <c r="AK26" s="307">
        <v>0</v>
      </c>
      <c r="AL26" s="307">
        <v>0</v>
      </c>
      <c r="AM26" s="308">
        <v>0</v>
      </c>
      <c r="AN26" s="309">
        <v>1</v>
      </c>
      <c r="AO26" s="307">
        <v>0</v>
      </c>
      <c r="AP26" s="307">
        <v>0</v>
      </c>
      <c r="AQ26" s="307">
        <v>0</v>
      </c>
      <c r="AR26" s="307">
        <v>0</v>
      </c>
      <c r="AS26" s="307">
        <v>0</v>
      </c>
      <c r="AT26" s="307">
        <v>0</v>
      </c>
      <c r="AU26" s="307">
        <v>0</v>
      </c>
      <c r="AV26" s="307">
        <v>0</v>
      </c>
      <c r="AW26" s="307">
        <v>0</v>
      </c>
      <c r="AX26" s="307">
        <v>0</v>
      </c>
      <c r="AY26" s="308">
        <v>0</v>
      </c>
      <c r="AZ26" s="309">
        <v>0</v>
      </c>
      <c r="BA26" s="336"/>
      <c r="BB26" s="340"/>
      <c r="BC26" s="341"/>
      <c r="BD26" s="307">
        <v>0</v>
      </c>
      <c r="BE26" s="307">
        <v>0</v>
      </c>
      <c r="BF26" s="307">
        <v>0</v>
      </c>
      <c r="BG26" s="307">
        <v>0</v>
      </c>
      <c r="BH26" s="307">
        <v>0</v>
      </c>
      <c r="BI26" s="307">
        <v>0</v>
      </c>
      <c r="BJ26" s="307">
        <v>1</v>
      </c>
      <c r="BK26" s="307">
        <v>0</v>
      </c>
      <c r="BL26" s="309">
        <v>0</v>
      </c>
      <c r="BM26" s="307">
        <v>0</v>
      </c>
      <c r="BN26" s="307">
        <v>0</v>
      </c>
      <c r="BO26" s="307">
        <v>0</v>
      </c>
      <c r="BP26" s="307">
        <v>0</v>
      </c>
      <c r="BQ26" s="307">
        <v>1</v>
      </c>
      <c r="BR26" s="307">
        <v>0</v>
      </c>
      <c r="BS26" s="307">
        <v>0</v>
      </c>
      <c r="BT26" s="307">
        <v>0</v>
      </c>
      <c r="BU26" s="307">
        <v>0</v>
      </c>
      <c r="BV26" s="307">
        <v>0</v>
      </c>
      <c r="BW26" s="310">
        <v>0</v>
      </c>
    </row>
    <row r="27" spans="1:75" s="294" customFormat="1" ht="17" thickBot="1" x14ac:dyDescent="0.35">
      <c r="A27" s="464"/>
      <c r="B27" s="536"/>
      <c r="C27" s="280" t="s">
        <v>401</v>
      </c>
      <c r="D27" s="285">
        <v>1</v>
      </c>
      <c r="E27" s="311">
        <v>0</v>
      </c>
      <c r="F27" s="311">
        <v>0</v>
      </c>
      <c r="G27" s="311">
        <v>0</v>
      </c>
      <c r="H27" s="311">
        <v>0</v>
      </c>
      <c r="I27" s="311">
        <v>0</v>
      </c>
      <c r="J27" s="311">
        <v>0</v>
      </c>
      <c r="K27" s="311">
        <v>0</v>
      </c>
      <c r="L27" s="311">
        <v>0</v>
      </c>
      <c r="M27" s="311">
        <v>1</v>
      </c>
      <c r="N27" s="311">
        <v>0</v>
      </c>
      <c r="O27" s="312">
        <v>0</v>
      </c>
      <c r="P27" s="311">
        <v>0</v>
      </c>
      <c r="Q27" s="311">
        <v>0</v>
      </c>
      <c r="R27" s="311">
        <v>0</v>
      </c>
      <c r="S27" s="311">
        <v>1</v>
      </c>
      <c r="T27" s="311">
        <v>0</v>
      </c>
      <c r="U27" s="311">
        <v>0</v>
      </c>
      <c r="V27" s="311">
        <v>0</v>
      </c>
      <c r="W27" s="311">
        <v>1</v>
      </c>
      <c r="X27" s="311">
        <v>0</v>
      </c>
      <c r="Y27" s="311">
        <v>0</v>
      </c>
      <c r="Z27" s="311">
        <v>0</v>
      </c>
      <c r="AA27" s="312">
        <v>0</v>
      </c>
      <c r="AB27" s="311">
        <v>0</v>
      </c>
      <c r="AC27" s="311">
        <v>0</v>
      </c>
      <c r="AD27" s="311">
        <v>0</v>
      </c>
      <c r="AE27" s="311">
        <v>0</v>
      </c>
      <c r="AF27" s="311">
        <v>1</v>
      </c>
      <c r="AG27" s="311">
        <v>0</v>
      </c>
      <c r="AH27" s="311">
        <v>0</v>
      </c>
      <c r="AI27" s="311">
        <v>0</v>
      </c>
      <c r="AJ27" s="311">
        <v>0</v>
      </c>
      <c r="AK27" s="311">
        <v>0</v>
      </c>
      <c r="AL27" s="311">
        <v>0</v>
      </c>
      <c r="AM27" s="312">
        <v>0</v>
      </c>
      <c r="AN27" s="313">
        <v>1</v>
      </c>
      <c r="AO27" s="311">
        <v>0</v>
      </c>
      <c r="AP27" s="311">
        <v>0</v>
      </c>
      <c r="AQ27" s="311">
        <v>0</v>
      </c>
      <c r="AR27" s="311">
        <v>0</v>
      </c>
      <c r="AS27" s="311">
        <v>0</v>
      </c>
      <c r="AT27" s="311">
        <v>0</v>
      </c>
      <c r="AU27" s="311">
        <v>0</v>
      </c>
      <c r="AV27" s="311">
        <v>0</v>
      </c>
      <c r="AW27" s="311">
        <v>0</v>
      </c>
      <c r="AX27" s="311">
        <v>0</v>
      </c>
      <c r="AY27" s="312">
        <v>0</v>
      </c>
      <c r="AZ27" s="313">
        <v>0</v>
      </c>
      <c r="BA27" s="337"/>
      <c r="BB27" s="342"/>
      <c r="BC27" s="343"/>
      <c r="BD27" s="311">
        <v>0</v>
      </c>
      <c r="BE27" s="311">
        <v>0</v>
      </c>
      <c r="BF27" s="311">
        <v>0</v>
      </c>
      <c r="BG27" s="311">
        <v>0</v>
      </c>
      <c r="BH27" s="311">
        <v>0</v>
      </c>
      <c r="BI27" s="311">
        <v>0</v>
      </c>
      <c r="BJ27" s="311">
        <v>1</v>
      </c>
      <c r="BK27" s="311">
        <v>0</v>
      </c>
      <c r="BL27" s="313">
        <v>0</v>
      </c>
      <c r="BM27" s="311">
        <v>0</v>
      </c>
      <c r="BN27" s="311">
        <v>0</v>
      </c>
      <c r="BO27" s="311">
        <v>0</v>
      </c>
      <c r="BP27" s="311">
        <v>0</v>
      </c>
      <c r="BQ27" s="311">
        <v>1</v>
      </c>
      <c r="BR27" s="311">
        <v>0</v>
      </c>
      <c r="BS27" s="311">
        <v>0</v>
      </c>
      <c r="BT27" s="311">
        <v>0</v>
      </c>
      <c r="BU27" s="311">
        <v>0</v>
      </c>
      <c r="BV27" s="311">
        <v>0</v>
      </c>
      <c r="BW27" s="314">
        <v>0</v>
      </c>
    </row>
    <row r="28" spans="1:75" ht="17" thickBot="1" x14ac:dyDescent="0.5">
      <c r="A28" s="464"/>
      <c r="B28" s="535" t="s">
        <v>31</v>
      </c>
      <c r="C28" s="239" t="s">
        <v>403</v>
      </c>
      <c r="D28" s="207">
        <v>2</v>
      </c>
      <c r="E28" s="208">
        <v>0</v>
      </c>
      <c r="F28" s="208">
        <v>0</v>
      </c>
      <c r="G28" s="208">
        <v>0</v>
      </c>
      <c r="H28" s="208">
        <v>0</v>
      </c>
      <c r="I28" s="208">
        <v>1</v>
      </c>
      <c r="J28" s="208">
        <v>0</v>
      </c>
      <c r="K28" s="208">
        <v>1</v>
      </c>
      <c r="L28" s="208">
        <v>0</v>
      </c>
      <c r="M28" s="208">
        <v>1</v>
      </c>
      <c r="N28" s="208">
        <v>0</v>
      </c>
      <c r="O28" s="209">
        <v>0</v>
      </c>
      <c r="P28" s="208">
        <v>0</v>
      </c>
      <c r="Q28" s="208">
        <v>0</v>
      </c>
      <c r="R28" s="208">
        <v>0</v>
      </c>
      <c r="S28" s="208">
        <v>1</v>
      </c>
      <c r="T28" s="208">
        <v>0</v>
      </c>
      <c r="U28" s="208">
        <v>0</v>
      </c>
      <c r="V28" s="208">
        <v>0</v>
      </c>
      <c r="W28" s="208">
        <v>1</v>
      </c>
      <c r="X28" s="208">
        <v>0</v>
      </c>
      <c r="Y28" s="210">
        <v>1</v>
      </c>
      <c r="Z28" s="210">
        <v>1</v>
      </c>
      <c r="AA28" s="211">
        <v>0</v>
      </c>
      <c r="AB28" s="212">
        <v>0</v>
      </c>
      <c r="AC28" s="210">
        <v>0</v>
      </c>
      <c r="AD28" s="210">
        <v>0</v>
      </c>
      <c r="AE28" s="210">
        <v>0</v>
      </c>
      <c r="AF28" s="210">
        <v>0</v>
      </c>
      <c r="AG28" s="210">
        <v>0</v>
      </c>
      <c r="AH28" s="210">
        <v>1</v>
      </c>
      <c r="AI28" s="210">
        <v>0</v>
      </c>
      <c r="AJ28" s="210">
        <v>0</v>
      </c>
      <c r="AK28" s="210">
        <v>1</v>
      </c>
      <c r="AL28" s="210">
        <v>0</v>
      </c>
      <c r="AM28" s="211">
        <v>0</v>
      </c>
      <c r="AN28" s="242">
        <v>1</v>
      </c>
      <c r="AO28" s="208">
        <v>1</v>
      </c>
      <c r="AP28" s="208">
        <v>0</v>
      </c>
      <c r="AQ28" s="208">
        <v>1</v>
      </c>
      <c r="AR28" s="208">
        <v>0</v>
      </c>
      <c r="AS28" s="208">
        <v>1</v>
      </c>
      <c r="AT28" s="208">
        <v>0</v>
      </c>
      <c r="AU28" s="208">
        <v>0</v>
      </c>
      <c r="AV28" s="208">
        <v>1</v>
      </c>
      <c r="AW28" s="208">
        <v>1</v>
      </c>
      <c r="AX28" s="208">
        <v>1</v>
      </c>
      <c r="AY28" s="209">
        <v>1</v>
      </c>
      <c r="AZ28" s="242">
        <v>1</v>
      </c>
      <c r="BA28" s="208">
        <v>0</v>
      </c>
      <c r="BB28" s="208">
        <v>0</v>
      </c>
      <c r="BC28" s="208">
        <v>1</v>
      </c>
      <c r="BD28" s="208">
        <v>0</v>
      </c>
      <c r="BE28" s="208">
        <v>0</v>
      </c>
      <c r="BF28" s="208">
        <v>0</v>
      </c>
      <c r="BG28" s="208">
        <v>0</v>
      </c>
      <c r="BH28" s="208">
        <v>0</v>
      </c>
      <c r="BI28" s="344" t="s">
        <v>57</v>
      </c>
      <c r="BJ28" s="345"/>
      <c r="BK28" s="338" t="s">
        <v>30</v>
      </c>
      <c r="BL28" s="339"/>
      <c r="BM28" s="208">
        <v>0</v>
      </c>
      <c r="BN28" s="208">
        <v>0</v>
      </c>
      <c r="BO28" s="208">
        <v>1</v>
      </c>
      <c r="BP28" s="208">
        <v>0</v>
      </c>
      <c r="BQ28" s="208">
        <v>0</v>
      </c>
      <c r="BR28" s="208">
        <v>0</v>
      </c>
      <c r="BS28" s="208">
        <v>1</v>
      </c>
      <c r="BT28" s="208">
        <v>1</v>
      </c>
      <c r="BU28" s="208">
        <v>0</v>
      </c>
      <c r="BV28" s="208">
        <v>0</v>
      </c>
      <c r="BW28" s="278">
        <v>0</v>
      </c>
    </row>
    <row r="29" spans="1:75" s="294" customFormat="1" ht="17" thickBot="1" x14ac:dyDescent="0.5">
      <c r="A29" s="464"/>
      <c r="B29" s="535"/>
      <c r="C29" s="280" t="s">
        <v>398</v>
      </c>
      <c r="D29" s="281">
        <v>2</v>
      </c>
      <c r="E29" s="286">
        <v>0</v>
      </c>
      <c r="F29" s="286">
        <v>0</v>
      </c>
      <c r="G29" s="286">
        <v>0</v>
      </c>
      <c r="H29" s="286">
        <v>0</v>
      </c>
      <c r="I29" s="286">
        <v>1</v>
      </c>
      <c r="J29" s="286">
        <v>0</v>
      </c>
      <c r="K29" s="286">
        <v>0</v>
      </c>
      <c r="L29" s="286">
        <v>0</v>
      </c>
      <c r="M29" s="286">
        <v>1</v>
      </c>
      <c r="N29" s="286">
        <v>0</v>
      </c>
      <c r="O29" s="287">
        <v>0</v>
      </c>
      <c r="P29" s="286">
        <v>0</v>
      </c>
      <c r="Q29" s="286">
        <v>0</v>
      </c>
      <c r="R29" s="286">
        <v>0</v>
      </c>
      <c r="S29" s="286">
        <v>1</v>
      </c>
      <c r="T29" s="286">
        <v>0</v>
      </c>
      <c r="U29" s="286">
        <v>0</v>
      </c>
      <c r="V29" s="286">
        <v>0</v>
      </c>
      <c r="W29" s="286">
        <v>1</v>
      </c>
      <c r="X29" s="286">
        <v>0</v>
      </c>
      <c r="Y29" s="288">
        <v>1</v>
      </c>
      <c r="Z29" s="288">
        <v>1</v>
      </c>
      <c r="AA29" s="289">
        <v>0</v>
      </c>
      <c r="AB29" s="290">
        <v>0</v>
      </c>
      <c r="AC29" s="288">
        <v>0</v>
      </c>
      <c r="AD29" s="288">
        <v>0</v>
      </c>
      <c r="AE29" s="288">
        <v>0</v>
      </c>
      <c r="AF29" s="288">
        <v>0</v>
      </c>
      <c r="AG29" s="288">
        <v>0</v>
      </c>
      <c r="AH29" s="288">
        <v>1</v>
      </c>
      <c r="AI29" s="288">
        <v>0</v>
      </c>
      <c r="AJ29" s="288">
        <v>0</v>
      </c>
      <c r="AK29" s="288">
        <v>1</v>
      </c>
      <c r="AL29" s="288">
        <v>0</v>
      </c>
      <c r="AM29" s="289">
        <v>0</v>
      </c>
      <c r="AN29" s="291">
        <v>1</v>
      </c>
      <c r="AO29" s="286">
        <v>0</v>
      </c>
      <c r="AP29" s="286">
        <v>0</v>
      </c>
      <c r="AQ29" s="286">
        <v>0</v>
      </c>
      <c r="AR29" s="286">
        <v>0</v>
      </c>
      <c r="AS29" s="286">
        <v>0</v>
      </c>
      <c r="AT29" s="286">
        <v>0</v>
      </c>
      <c r="AU29" s="286">
        <v>0</v>
      </c>
      <c r="AV29" s="286">
        <v>1</v>
      </c>
      <c r="AW29" s="286">
        <v>0</v>
      </c>
      <c r="AX29" s="286">
        <v>1</v>
      </c>
      <c r="AY29" s="287">
        <v>0</v>
      </c>
      <c r="AZ29" s="291">
        <v>1</v>
      </c>
      <c r="BA29" s="286">
        <v>0</v>
      </c>
      <c r="BB29" s="286">
        <v>0</v>
      </c>
      <c r="BC29" s="286">
        <v>1</v>
      </c>
      <c r="BD29" s="286">
        <v>0</v>
      </c>
      <c r="BE29" s="286">
        <v>0</v>
      </c>
      <c r="BF29" s="286">
        <v>0</v>
      </c>
      <c r="BG29" s="286">
        <v>0</v>
      </c>
      <c r="BH29" s="286">
        <v>0</v>
      </c>
      <c r="BI29" s="346"/>
      <c r="BJ29" s="347"/>
      <c r="BK29" s="340"/>
      <c r="BL29" s="341"/>
      <c r="BM29" s="286">
        <v>0</v>
      </c>
      <c r="BN29" s="286">
        <v>0</v>
      </c>
      <c r="BO29" s="286">
        <v>1</v>
      </c>
      <c r="BP29" s="286">
        <v>0</v>
      </c>
      <c r="BQ29" s="286">
        <v>0</v>
      </c>
      <c r="BR29" s="286">
        <v>0</v>
      </c>
      <c r="BS29" s="286">
        <v>1</v>
      </c>
      <c r="BT29" s="286">
        <v>0</v>
      </c>
      <c r="BU29" s="286">
        <v>0</v>
      </c>
      <c r="BV29" s="286">
        <v>0</v>
      </c>
      <c r="BW29" s="292">
        <v>0</v>
      </c>
    </row>
    <row r="30" spans="1:75" s="294" customFormat="1" ht="17" thickBot="1" x14ac:dyDescent="0.5">
      <c r="A30" s="464"/>
      <c r="B30" s="535"/>
      <c r="C30" s="280" t="s">
        <v>404</v>
      </c>
      <c r="D30" s="282">
        <v>1</v>
      </c>
      <c r="E30" s="295">
        <v>0</v>
      </c>
      <c r="F30" s="295">
        <v>0</v>
      </c>
      <c r="G30" s="295">
        <v>0</v>
      </c>
      <c r="H30" s="295">
        <v>0</v>
      </c>
      <c r="I30" s="295">
        <v>0</v>
      </c>
      <c r="J30" s="295">
        <v>0</v>
      </c>
      <c r="K30" s="295">
        <v>0</v>
      </c>
      <c r="L30" s="295">
        <v>0</v>
      </c>
      <c r="M30" s="295">
        <v>0</v>
      </c>
      <c r="N30" s="295">
        <v>0</v>
      </c>
      <c r="O30" s="296">
        <v>0</v>
      </c>
      <c r="P30" s="295">
        <v>0</v>
      </c>
      <c r="Q30" s="295">
        <v>0</v>
      </c>
      <c r="R30" s="295">
        <v>0</v>
      </c>
      <c r="S30" s="295">
        <v>0</v>
      </c>
      <c r="T30" s="295">
        <v>0</v>
      </c>
      <c r="U30" s="295">
        <v>0</v>
      </c>
      <c r="V30" s="295">
        <v>0</v>
      </c>
      <c r="W30" s="295">
        <v>0</v>
      </c>
      <c r="X30" s="295">
        <v>0</v>
      </c>
      <c r="Y30" s="297">
        <v>0</v>
      </c>
      <c r="Z30" s="297">
        <v>0</v>
      </c>
      <c r="AA30" s="298">
        <v>0</v>
      </c>
      <c r="AB30" s="299">
        <v>0</v>
      </c>
      <c r="AC30" s="297">
        <v>0</v>
      </c>
      <c r="AD30" s="297">
        <v>0</v>
      </c>
      <c r="AE30" s="297">
        <v>0</v>
      </c>
      <c r="AF30" s="297">
        <v>0</v>
      </c>
      <c r="AG30" s="297">
        <v>0</v>
      </c>
      <c r="AH30" s="297">
        <v>1</v>
      </c>
      <c r="AI30" s="297">
        <v>0</v>
      </c>
      <c r="AJ30" s="297">
        <v>0</v>
      </c>
      <c r="AK30" s="297">
        <v>0</v>
      </c>
      <c r="AL30" s="297">
        <v>0</v>
      </c>
      <c r="AM30" s="298">
        <v>0</v>
      </c>
      <c r="AN30" s="300">
        <v>1</v>
      </c>
      <c r="AO30" s="295">
        <v>0</v>
      </c>
      <c r="AP30" s="295">
        <v>0</v>
      </c>
      <c r="AQ30" s="295">
        <v>0</v>
      </c>
      <c r="AR30" s="295">
        <v>0</v>
      </c>
      <c r="AS30" s="295">
        <v>0</v>
      </c>
      <c r="AT30" s="295">
        <v>0</v>
      </c>
      <c r="AU30" s="295">
        <v>0</v>
      </c>
      <c r="AV30" s="295">
        <v>0</v>
      </c>
      <c r="AW30" s="295">
        <v>0</v>
      </c>
      <c r="AX30" s="295">
        <v>0</v>
      </c>
      <c r="AY30" s="296">
        <v>0</v>
      </c>
      <c r="AZ30" s="300">
        <v>0</v>
      </c>
      <c r="BA30" s="295">
        <v>0</v>
      </c>
      <c r="BB30" s="295">
        <v>0</v>
      </c>
      <c r="BC30" s="295">
        <v>0</v>
      </c>
      <c r="BD30" s="295">
        <v>0</v>
      </c>
      <c r="BE30" s="295">
        <v>0</v>
      </c>
      <c r="BF30" s="295">
        <v>0</v>
      </c>
      <c r="BG30" s="295">
        <v>0</v>
      </c>
      <c r="BH30" s="295">
        <v>0</v>
      </c>
      <c r="BI30" s="346"/>
      <c r="BJ30" s="347"/>
      <c r="BK30" s="340"/>
      <c r="BL30" s="341"/>
      <c r="BM30" s="295">
        <v>0</v>
      </c>
      <c r="BN30" s="295">
        <v>0</v>
      </c>
      <c r="BO30" s="295">
        <v>0</v>
      </c>
      <c r="BP30" s="295">
        <v>0</v>
      </c>
      <c r="BQ30" s="295">
        <v>0</v>
      </c>
      <c r="BR30" s="295">
        <v>0</v>
      </c>
      <c r="BS30" s="295">
        <v>0</v>
      </c>
      <c r="BT30" s="295">
        <v>0</v>
      </c>
      <c r="BU30" s="295">
        <v>0</v>
      </c>
      <c r="BV30" s="295">
        <v>0</v>
      </c>
      <c r="BW30" s="301">
        <v>0</v>
      </c>
    </row>
    <row r="31" spans="1:75" s="294" customFormat="1" ht="14.5" customHeight="1" thickBot="1" x14ac:dyDescent="0.35">
      <c r="A31" s="464"/>
      <c r="B31" s="535"/>
      <c r="C31" s="280" t="s">
        <v>399</v>
      </c>
      <c r="D31" s="283">
        <v>2</v>
      </c>
      <c r="E31" s="303">
        <v>0</v>
      </c>
      <c r="F31" s="303">
        <v>0</v>
      </c>
      <c r="G31" s="303">
        <v>0</v>
      </c>
      <c r="H31" s="303">
        <v>0</v>
      </c>
      <c r="I31" s="303">
        <v>1</v>
      </c>
      <c r="J31" s="303">
        <v>0</v>
      </c>
      <c r="K31" s="303">
        <v>0</v>
      </c>
      <c r="L31" s="303">
        <v>0</v>
      </c>
      <c r="M31" s="303">
        <v>1</v>
      </c>
      <c r="N31" s="303">
        <v>0</v>
      </c>
      <c r="O31" s="304">
        <v>0</v>
      </c>
      <c r="P31" s="303">
        <v>0</v>
      </c>
      <c r="Q31" s="303">
        <v>0</v>
      </c>
      <c r="R31" s="303">
        <v>0</v>
      </c>
      <c r="S31" s="303">
        <v>1</v>
      </c>
      <c r="T31" s="303">
        <v>0</v>
      </c>
      <c r="U31" s="303">
        <v>0</v>
      </c>
      <c r="V31" s="303">
        <v>0</v>
      </c>
      <c r="W31" s="303">
        <v>1</v>
      </c>
      <c r="X31" s="303">
        <v>0</v>
      </c>
      <c r="Y31" s="303">
        <v>1</v>
      </c>
      <c r="Z31" s="303">
        <v>1</v>
      </c>
      <c r="AA31" s="304">
        <v>0</v>
      </c>
      <c r="AB31" s="303">
        <v>0</v>
      </c>
      <c r="AC31" s="303">
        <v>0</v>
      </c>
      <c r="AD31" s="303">
        <v>0</v>
      </c>
      <c r="AE31" s="303">
        <v>0</v>
      </c>
      <c r="AF31" s="303">
        <v>0</v>
      </c>
      <c r="AG31" s="303">
        <v>0</v>
      </c>
      <c r="AH31" s="303">
        <v>1</v>
      </c>
      <c r="AI31" s="303">
        <v>0</v>
      </c>
      <c r="AJ31" s="303">
        <v>0</v>
      </c>
      <c r="AK31" s="303">
        <v>1</v>
      </c>
      <c r="AL31" s="303">
        <v>0</v>
      </c>
      <c r="AM31" s="304">
        <v>0</v>
      </c>
      <c r="AN31" s="305">
        <v>1</v>
      </c>
      <c r="AO31" s="303">
        <v>0</v>
      </c>
      <c r="AP31" s="303">
        <v>0</v>
      </c>
      <c r="AQ31" s="303">
        <v>0</v>
      </c>
      <c r="AR31" s="303">
        <v>0</v>
      </c>
      <c r="AS31" s="303">
        <v>0</v>
      </c>
      <c r="AT31" s="303">
        <v>0</v>
      </c>
      <c r="AU31" s="303">
        <v>0</v>
      </c>
      <c r="AV31" s="303">
        <v>1</v>
      </c>
      <c r="AW31" s="303">
        <v>0</v>
      </c>
      <c r="AX31" s="303">
        <v>1</v>
      </c>
      <c r="AY31" s="304">
        <v>0</v>
      </c>
      <c r="AZ31" s="305">
        <v>1</v>
      </c>
      <c r="BA31" s="303">
        <v>0</v>
      </c>
      <c r="BB31" s="303">
        <v>0</v>
      </c>
      <c r="BC31" s="303">
        <v>1</v>
      </c>
      <c r="BD31" s="303">
        <v>0</v>
      </c>
      <c r="BE31" s="303">
        <v>0</v>
      </c>
      <c r="BF31" s="303">
        <v>0</v>
      </c>
      <c r="BG31" s="303">
        <v>0</v>
      </c>
      <c r="BH31" s="303">
        <v>0</v>
      </c>
      <c r="BI31" s="346"/>
      <c r="BJ31" s="347"/>
      <c r="BK31" s="340"/>
      <c r="BL31" s="341"/>
      <c r="BM31" s="303">
        <v>0</v>
      </c>
      <c r="BN31" s="303">
        <v>0</v>
      </c>
      <c r="BO31" s="303">
        <v>1</v>
      </c>
      <c r="BP31" s="303">
        <v>0</v>
      </c>
      <c r="BQ31" s="303">
        <v>0</v>
      </c>
      <c r="BR31" s="303">
        <v>0</v>
      </c>
      <c r="BS31" s="303">
        <v>1</v>
      </c>
      <c r="BT31" s="303">
        <v>0</v>
      </c>
      <c r="BU31" s="303">
        <v>0</v>
      </c>
      <c r="BV31" s="303">
        <v>0</v>
      </c>
      <c r="BW31" s="306">
        <v>0</v>
      </c>
    </row>
    <row r="32" spans="1:75" s="294" customFormat="1" ht="17" thickBot="1" x14ac:dyDescent="0.35">
      <c r="A32" s="464"/>
      <c r="B32" s="535"/>
      <c r="C32" s="280" t="s">
        <v>400</v>
      </c>
      <c r="D32" s="284">
        <v>1</v>
      </c>
      <c r="E32" s="307">
        <v>0</v>
      </c>
      <c r="F32" s="307">
        <v>0</v>
      </c>
      <c r="G32" s="307">
        <v>0</v>
      </c>
      <c r="H32" s="307">
        <v>0</v>
      </c>
      <c r="I32" s="307">
        <v>1</v>
      </c>
      <c r="J32" s="307">
        <v>0</v>
      </c>
      <c r="K32" s="307">
        <v>1</v>
      </c>
      <c r="L32" s="307">
        <v>0</v>
      </c>
      <c r="M32" s="307">
        <v>1</v>
      </c>
      <c r="N32" s="307">
        <v>0</v>
      </c>
      <c r="O32" s="308">
        <v>0</v>
      </c>
      <c r="P32" s="307">
        <v>0</v>
      </c>
      <c r="Q32" s="307">
        <v>0</v>
      </c>
      <c r="R32" s="307">
        <v>0</v>
      </c>
      <c r="S32" s="307">
        <v>0</v>
      </c>
      <c r="T32" s="307">
        <v>0</v>
      </c>
      <c r="U32" s="307">
        <v>0</v>
      </c>
      <c r="V32" s="307">
        <v>0</v>
      </c>
      <c r="W32" s="307">
        <v>1</v>
      </c>
      <c r="X32" s="307">
        <v>0</v>
      </c>
      <c r="Y32" s="307">
        <v>1</v>
      </c>
      <c r="Z32" s="307">
        <v>1</v>
      </c>
      <c r="AA32" s="308">
        <v>0</v>
      </c>
      <c r="AB32" s="307">
        <v>0</v>
      </c>
      <c r="AC32" s="307">
        <v>0</v>
      </c>
      <c r="AD32" s="307">
        <v>0</v>
      </c>
      <c r="AE32" s="307">
        <v>0</v>
      </c>
      <c r="AF32" s="307">
        <v>0</v>
      </c>
      <c r="AG32" s="307">
        <v>0</v>
      </c>
      <c r="AH32" s="307">
        <v>0</v>
      </c>
      <c r="AI32" s="307">
        <v>0</v>
      </c>
      <c r="AJ32" s="307">
        <v>0</v>
      </c>
      <c r="AK32" s="307">
        <v>1</v>
      </c>
      <c r="AL32" s="307">
        <v>0</v>
      </c>
      <c r="AM32" s="308">
        <v>0</v>
      </c>
      <c r="AN32" s="309">
        <v>0</v>
      </c>
      <c r="AO32" s="307">
        <v>1</v>
      </c>
      <c r="AP32" s="307">
        <v>0</v>
      </c>
      <c r="AQ32" s="307">
        <v>1</v>
      </c>
      <c r="AR32" s="307">
        <v>0</v>
      </c>
      <c r="AS32" s="307">
        <v>1</v>
      </c>
      <c r="AT32" s="307">
        <v>0</v>
      </c>
      <c r="AU32" s="307">
        <v>0</v>
      </c>
      <c r="AV32" s="307">
        <v>1</v>
      </c>
      <c r="AW32" s="307">
        <v>1</v>
      </c>
      <c r="AX32" s="307">
        <v>1</v>
      </c>
      <c r="AY32" s="308">
        <v>1</v>
      </c>
      <c r="AZ32" s="309">
        <v>1</v>
      </c>
      <c r="BA32" s="307">
        <v>0</v>
      </c>
      <c r="BB32" s="307">
        <v>0</v>
      </c>
      <c r="BC32" s="307">
        <v>1</v>
      </c>
      <c r="BD32" s="307">
        <v>0</v>
      </c>
      <c r="BE32" s="307">
        <v>0</v>
      </c>
      <c r="BF32" s="307">
        <v>0</v>
      </c>
      <c r="BG32" s="307">
        <v>0</v>
      </c>
      <c r="BH32" s="307">
        <v>0</v>
      </c>
      <c r="BI32" s="346"/>
      <c r="BJ32" s="347"/>
      <c r="BK32" s="340"/>
      <c r="BL32" s="341"/>
      <c r="BM32" s="307">
        <v>0</v>
      </c>
      <c r="BN32" s="307">
        <v>0</v>
      </c>
      <c r="BO32" s="307">
        <v>1</v>
      </c>
      <c r="BP32" s="307">
        <v>0</v>
      </c>
      <c r="BQ32" s="307">
        <v>0</v>
      </c>
      <c r="BR32" s="307">
        <v>0</v>
      </c>
      <c r="BS32" s="307">
        <v>1</v>
      </c>
      <c r="BT32" s="307">
        <v>1</v>
      </c>
      <c r="BU32" s="307">
        <v>0</v>
      </c>
      <c r="BV32" s="307">
        <v>0</v>
      </c>
      <c r="BW32" s="310">
        <v>0</v>
      </c>
    </row>
    <row r="33" spans="1:75" s="294" customFormat="1" ht="17" thickBot="1" x14ac:dyDescent="0.35">
      <c r="A33" s="464"/>
      <c r="B33" s="536"/>
      <c r="C33" s="280" t="s">
        <v>401</v>
      </c>
      <c r="D33" s="285">
        <v>1</v>
      </c>
      <c r="E33" s="311">
        <v>0</v>
      </c>
      <c r="F33" s="311">
        <v>0</v>
      </c>
      <c r="G33" s="311">
        <v>0</v>
      </c>
      <c r="H33" s="311">
        <v>0</v>
      </c>
      <c r="I33" s="311">
        <v>1</v>
      </c>
      <c r="J33" s="311">
        <v>0</v>
      </c>
      <c r="K33" s="311">
        <v>1</v>
      </c>
      <c r="L33" s="311">
        <v>0</v>
      </c>
      <c r="M33" s="311">
        <v>1</v>
      </c>
      <c r="N33" s="311">
        <v>0</v>
      </c>
      <c r="O33" s="312">
        <v>0</v>
      </c>
      <c r="P33" s="311">
        <v>0</v>
      </c>
      <c r="Q33" s="311">
        <v>0</v>
      </c>
      <c r="R33" s="311">
        <v>0</v>
      </c>
      <c r="S33" s="311">
        <v>0</v>
      </c>
      <c r="T33" s="311">
        <v>0</v>
      </c>
      <c r="U33" s="311">
        <v>0</v>
      </c>
      <c r="V33" s="311">
        <v>0</v>
      </c>
      <c r="W33" s="311">
        <v>1</v>
      </c>
      <c r="X33" s="311">
        <v>0</v>
      </c>
      <c r="Y33" s="311">
        <v>1</v>
      </c>
      <c r="Z33" s="311">
        <v>1</v>
      </c>
      <c r="AA33" s="312">
        <v>0</v>
      </c>
      <c r="AB33" s="311">
        <v>0</v>
      </c>
      <c r="AC33" s="311">
        <v>0</v>
      </c>
      <c r="AD33" s="311">
        <v>0</v>
      </c>
      <c r="AE33" s="311">
        <v>0</v>
      </c>
      <c r="AF33" s="311">
        <v>0</v>
      </c>
      <c r="AG33" s="311">
        <v>0</v>
      </c>
      <c r="AH33" s="311">
        <v>0</v>
      </c>
      <c r="AI33" s="311">
        <v>0</v>
      </c>
      <c r="AJ33" s="311">
        <v>0</v>
      </c>
      <c r="AK33" s="311">
        <v>1</v>
      </c>
      <c r="AL33" s="311">
        <v>0</v>
      </c>
      <c r="AM33" s="312">
        <v>0</v>
      </c>
      <c r="AN33" s="313">
        <v>0</v>
      </c>
      <c r="AO33" s="311">
        <v>1</v>
      </c>
      <c r="AP33" s="311">
        <v>0</v>
      </c>
      <c r="AQ33" s="311">
        <v>1</v>
      </c>
      <c r="AR33" s="311">
        <v>0</v>
      </c>
      <c r="AS33" s="311">
        <v>1</v>
      </c>
      <c r="AT33" s="311">
        <v>0</v>
      </c>
      <c r="AU33" s="311">
        <v>0</v>
      </c>
      <c r="AV33" s="311">
        <v>1</v>
      </c>
      <c r="AW33" s="311">
        <v>1</v>
      </c>
      <c r="AX33" s="311">
        <v>1</v>
      </c>
      <c r="AY33" s="312">
        <v>1</v>
      </c>
      <c r="AZ33" s="313">
        <v>1</v>
      </c>
      <c r="BA33" s="311">
        <v>0</v>
      </c>
      <c r="BB33" s="311">
        <v>0</v>
      </c>
      <c r="BC33" s="311">
        <v>1</v>
      </c>
      <c r="BD33" s="311">
        <v>0</v>
      </c>
      <c r="BE33" s="311">
        <v>0</v>
      </c>
      <c r="BF33" s="311">
        <v>0</v>
      </c>
      <c r="BG33" s="311">
        <v>0</v>
      </c>
      <c r="BH33" s="311">
        <v>0</v>
      </c>
      <c r="BI33" s="348"/>
      <c r="BJ33" s="349"/>
      <c r="BK33" s="342"/>
      <c r="BL33" s="343"/>
      <c r="BM33" s="311">
        <v>0</v>
      </c>
      <c r="BN33" s="311">
        <v>0</v>
      </c>
      <c r="BO33" s="311">
        <v>1</v>
      </c>
      <c r="BP33" s="311">
        <v>0</v>
      </c>
      <c r="BQ33" s="311">
        <v>0</v>
      </c>
      <c r="BR33" s="311">
        <v>0</v>
      </c>
      <c r="BS33" s="311">
        <v>1</v>
      </c>
      <c r="BT33" s="311">
        <v>1</v>
      </c>
      <c r="BU33" s="311">
        <v>0</v>
      </c>
      <c r="BV33" s="311">
        <v>0</v>
      </c>
      <c r="BW33" s="314">
        <v>0</v>
      </c>
    </row>
    <row r="34" spans="1:75" ht="17" thickBot="1" x14ac:dyDescent="0.5">
      <c r="A34" s="464"/>
      <c r="B34" s="535" t="s">
        <v>70</v>
      </c>
      <c r="C34" s="239" t="s">
        <v>403</v>
      </c>
      <c r="D34" s="207">
        <v>0</v>
      </c>
      <c r="E34" s="208">
        <v>0</v>
      </c>
      <c r="F34" s="208">
        <v>0</v>
      </c>
      <c r="G34" s="208">
        <v>0</v>
      </c>
      <c r="H34" s="208">
        <v>2</v>
      </c>
      <c r="I34" s="208">
        <v>0</v>
      </c>
      <c r="J34" s="208">
        <v>0</v>
      </c>
      <c r="K34" s="208">
        <v>0</v>
      </c>
      <c r="L34" s="208">
        <v>0</v>
      </c>
      <c r="M34" s="208">
        <v>0</v>
      </c>
      <c r="N34" s="208">
        <v>0</v>
      </c>
      <c r="O34" s="209">
        <v>1</v>
      </c>
      <c r="P34" s="208">
        <v>1</v>
      </c>
      <c r="Q34" s="208">
        <v>0</v>
      </c>
      <c r="R34" s="208">
        <v>0</v>
      </c>
      <c r="S34" s="208">
        <v>0</v>
      </c>
      <c r="T34" s="208">
        <v>0</v>
      </c>
      <c r="U34" s="208">
        <v>0</v>
      </c>
      <c r="V34" s="208">
        <v>2</v>
      </c>
      <c r="W34" s="208">
        <v>1</v>
      </c>
      <c r="X34" s="208">
        <v>0</v>
      </c>
      <c r="Y34" s="210">
        <v>0</v>
      </c>
      <c r="Z34" s="210">
        <v>0</v>
      </c>
      <c r="AA34" s="211">
        <v>1</v>
      </c>
      <c r="AB34" s="212">
        <v>0</v>
      </c>
      <c r="AC34" s="210">
        <v>1</v>
      </c>
      <c r="AD34" s="210">
        <v>1</v>
      </c>
      <c r="AE34" s="210">
        <v>2</v>
      </c>
      <c r="AF34" s="210">
        <v>0</v>
      </c>
      <c r="AG34" s="210">
        <v>1</v>
      </c>
      <c r="AH34" s="210">
        <v>0</v>
      </c>
      <c r="AI34" s="210">
        <v>0</v>
      </c>
      <c r="AJ34" s="210">
        <v>0</v>
      </c>
      <c r="AK34" s="210">
        <v>1</v>
      </c>
      <c r="AL34" s="210">
        <v>0</v>
      </c>
      <c r="AM34" s="211">
        <v>0</v>
      </c>
      <c r="AN34" s="242">
        <v>1</v>
      </c>
      <c r="AO34" s="208">
        <v>0</v>
      </c>
      <c r="AP34" s="208">
        <v>1</v>
      </c>
      <c r="AQ34" s="208">
        <v>0</v>
      </c>
      <c r="AR34" s="208">
        <v>0</v>
      </c>
      <c r="AS34" s="208">
        <v>1</v>
      </c>
      <c r="AT34" s="208">
        <v>0</v>
      </c>
      <c r="AU34" s="208">
        <v>0</v>
      </c>
      <c r="AV34" s="208">
        <v>1</v>
      </c>
      <c r="AW34" s="208">
        <v>0</v>
      </c>
      <c r="AX34" s="208">
        <v>0</v>
      </c>
      <c r="AY34" s="209">
        <v>1</v>
      </c>
      <c r="AZ34" s="212">
        <v>0</v>
      </c>
      <c r="BA34" s="210">
        <v>1</v>
      </c>
      <c r="BB34" s="208">
        <v>0</v>
      </c>
      <c r="BC34" s="208">
        <v>0</v>
      </c>
      <c r="BD34" s="208">
        <v>0</v>
      </c>
      <c r="BE34" s="208">
        <v>0</v>
      </c>
      <c r="BF34" s="208">
        <v>0</v>
      </c>
      <c r="BG34" s="208">
        <v>0</v>
      </c>
      <c r="BH34" s="210">
        <v>1</v>
      </c>
      <c r="BI34" s="210">
        <v>0</v>
      </c>
      <c r="BJ34" s="344" t="s">
        <v>57</v>
      </c>
      <c r="BK34" s="345"/>
      <c r="BL34" s="338" t="s">
        <v>30</v>
      </c>
      <c r="BM34" s="339"/>
      <c r="BN34" s="208">
        <v>1</v>
      </c>
      <c r="BO34" s="208">
        <v>0</v>
      </c>
      <c r="BP34" s="208">
        <v>1</v>
      </c>
      <c r="BQ34" s="208">
        <v>0</v>
      </c>
      <c r="BR34" s="208">
        <v>0</v>
      </c>
      <c r="BS34" s="208">
        <v>0</v>
      </c>
      <c r="BT34" s="208">
        <v>0</v>
      </c>
      <c r="BU34" s="208">
        <v>0</v>
      </c>
      <c r="BV34" s="208">
        <v>0</v>
      </c>
      <c r="BW34" s="278">
        <v>0</v>
      </c>
    </row>
    <row r="35" spans="1:75" s="294" customFormat="1" ht="17" thickBot="1" x14ac:dyDescent="0.5">
      <c r="A35" s="464"/>
      <c r="B35" s="535"/>
      <c r="C35" s="280" t="s">
        <v>398</v>
      </c>
      <c r="D35" s="281">
        <v>0</v>
      </c>
      <c r="E35" s="286">
        <v>0</v>
      </c>
      <c r="F35" s="286">
        <v>0</v>
      </c>
      <c r="G35" s="286">
        <v>0</v>
      </c>
      <c r="H35" s="286">
        <v>2</v>
      </c>
      <c r="I35" s="286">
        <v>0</v>
      </c>
      <c r="J35" s="286">
        <v>0</v>
      </c>
      <c r="K35" s="286">
        <v>0</v>
      </c>
      <c r="L35" s="286">
        <v>0</v>
      </c>
      <c r="M35" s="286">
        <v>0</v>
      </c>
      <c r="N35" s="286">
        <v>0</v>
      </c>
      <c r="O35" s="287">
        <v>1</v>
      </c>
      <c r="P35" s="286">
        <v>1</v>
      </c>
      <c r="Q35" s="286">
        <v>0</v>
      </c>
      <c r="R35" s="286">
        <v>0</v>
      </c>
      <c r="S35" s="286">
        <v>0</v>
      </c>
      <c r="T35" s="286">
        <v>0</v>
      </c>
      <c r="U35" s="286">
        <v>0</v>
      </c>
      <c r="V35" s="286">
        <v>2</v>
      </c>
      <c r="W35" s="286">
        <v>0</v>
      </c>
      <c r="X35" s="286">
        <v>0</v>
      </c>
      <c r="Y35" s="288">
        <v>0</v>
      </c>
      <c r="Z35" s="288">
        <v>0</v>
      </c>
      <c r="AA35" s="289">
        <v>1</v>
      </c>
      <c r="AB35" s="290">
        <v>0</v>
      </c>
      <c r="AC35" s="288">
        <v>1</v>
      </c>
      <c r="AD35" s="288">
        <v>1</v>
      </c>
      <c r="AE35" s="288">
        <v>2</v>
      </c>
      <c r="AF35" s="288">
        <v>0</v>
      </c>
      <c r="AG35" s="288">
        <v>1</v>
      </c>
      <c r="AH35" s="288">
        <v>0</v>
      </c>
      <c r="AI35" s="288">
        <v>0</v>
      </c>
      <c r="AJ35" s="288">
        <v>0</v>
      </c>
      <c r="AK35" s="288">
        <v>1</v>
      </c>
      <c r="AL35" s="288">
        <v>0</v>
      </c>
      <c r="AM35" s="289">
        <v>0</v>
      </c>
      <c r="AN35" s="291">
        <v>1</v>
      </c>
      <c r="AO35" s="286">
        <v>0</v>
      </c>
      <c r="AP35" s="286">
        <v>1</v>
      </c>
      <c r="AQ35" s="286">
        <v>0</v>
      </c>
      <c r="AR35" s="286">
        <v>0</v>
      </c>
      <c r="AS35" s="286">
        <v>1</v>
      </c>
      <c r="AT35" s="286">
        <v>0</v>
      </c>
      <c r="AU35" s="286">
        <v>0</v>
      </c>
      <c r="AV35" s="286">
        <v>1</v>
      </c>
      <c r="AW35" s="286">
        <v>0</v>
      </c>
      <c r="AX35" s="286">
        <v>0</v>
      </c>
      <c r="AY35" s="287">
        <v>1</v>
      </c>
      <c r="AZ35" s="290">
        <v>0</v>
      </c>
      <c r="BA35" s="288">
        <v>1</v>
      </c>
      <c r="BB35" s="286">
        <v>0</v>
      </c>
      <c r="BC35" s="286">
        <v>0</v>
      </c>
      <c r="BD35" s="286">
        <v>0</v>
      </c>
      <c r="BE35" s="286">
        <v>0</v>
      </c>
      <c r="BF35" s="286">
        <v>0</v>
      </c>
      <c r="BG35" s="286">
        <v>0</v>
      </c>
      <c r="BH35" s="288">
        <v>1</v>
      </c>
      <c r="BI35" s="288">
        <v>0</v>
      </c>
      <c r="BJ35" s="346"/>
      <c r="BK35" s="347"/>
      <c r="BL35" s="340"/>
      <c r="BM35" s="341"/>
      <c r="BN35" s="286">
        <v>1</v>
      </c>
      <c r="BO35" s="286">
        <v>0</v>
      </c>
      <c r="BP35" s="286">
        <v>1</v>
      </c>
      <c r="BQ35" s="286">
        <v>0</v>
      </c>
      <c r="BR35" s="286">
        <v>0</v>
      </c>
      <c r="BS35" s="286">
        <v>0</v>
      </c>
      <c r="BT35" s="286">
        <v>0</v>
      </c>
      <c r="BU35" s="286">
        <v>0</v>
      </c>
      <c r="BV35" s="286">
        <v>0</v>
      </c>
      <c r="BW35" s="292">
        <v>0</v>
      </c>
    </row>
    <row r="36" spans="1:75" s="294" customFormat="1" ht="17" thickBot="1" x14ac:dyDescent="0.5">
      <c r="A36" s="464"/>
      <c r="B36" s="535"/>
      <c r="C36" s="280" t="s">
        <v>404</v>
      </c>
      <c r="D36" s="282">
        <v>0</v>
      </c>
      <c r="E36" s="295">
        <v>0</v>
      </c>
      <c r="F36" s="295">
        <v>0</v>
      </c>
      <c r="G36" s="295">
        <v>0</v>
      </c>
      <c r="H36" s="295">
        <v>0</v>
      </c>
      <c r="I36" s="295">
        <v>0</v>
      </c>
      <c r="J36" s="295">
        <v>0</v>
      </c>
      <c r="K36" s="295">
        <v>0</v>
      </c>
      <c r="L36" s="295">
        <v>0</v>
      </c>
      <c r="M36" s="295">
        <v>0</v>
      </c>
      <c r="N36" s="295">
        <v>0</v>
      </c>
      <c r="O36" s="296">
        <v>1</v>
      </c>
      <c r="P36" s="295">
        <v>0</v>
      </c>
      <c r="Q36" s="295">
        <v>0</v>
      </c>
      <c r="R36" s="295">
        <v>0</v>
      </c>
      <c r="S36" s="295">
        <v>0</v>
      </c>
      <c r="T36" s="295">
        <v>0</v>
      </c>
      <c r="U36" s="295">
        <v>0</v>
      </c>
      <c r="V36" s="295">
        <v>2</v>
      </c>
      <c r="W36" s="295">
        <v>0</v>
      </c>
      <c r="X36" s="295">
        <v>0</v>
      </c>
      <c r="Y36" s="297">
        <v>0</v>
      </c>
      <c r="Z36" s="297">
        <v>0</v>
      </c>
      <c r="AA36" s="298">
        <v>0</v>
      </c>
      <c r="AB36" s="299">
        <v>0</v>
      </c>
      <c r="AC36" s="297">
        <v>0</v>
      </c>
      <c r="AD36" s="297">
        <v>1</v>
      </c>
      <c r="AE36" s="297">
        <v>1</v>
      </c>
      <c r="AF36" s="297">
        <v>0</v>
      </c>
      <c r="AG36" s="297">
        <v>0</v>
      </c>
      <c r="AH36" s="297">
        <v>0</v>
      </c>
      <c r="AI36" s="297">
        <v>0</v>
      </c>
      <c r="AJ36" s="297">
        <v>0</v>
      </c>
      <c r="AK36" s="297">
        <v>0</v>
      </c>
      <c r="AL36" s="297">
        <v>0</v>
      </c>
      <c r="AM36" s="298">
        <v>0</v>
      </c>
      <c r="AN36" s="300">
        <v>1</v>
      </c>
      <c r="AO36" s="295">
        <v>0</v>
      </c>
      <c r="AP36" s="295">
        <v>1</v>
      </c>
      <c r="AQ36" s="295">
        <v>0</v>
      </c>
      <c r="AR36" s="295">
        <v>0</v>
      </c>
      <c r="AS36" s="295">
        <v>0</v>
      </c>
      <c r="AT36" s="295">
        <v>0</v>
      </c>
      <c r="AU36" s="295">
        <v>0</v>
      </c>
      <c r="AV36" s="295">
        <v>0</v>
      </c>
      <c r="AW36" s="295">
        <v>0</v>
      </c>
      <c r="AX36" s="295">
        <v>0</v>
      </c>
      <c r="AY36" s="296">
        <v>0</v>
      </c>
      <c r="AZ36" s="299">
        <v>0</v>
      </c>
      <c r="BA36" s="297">
        <v>0</v>
      </c>
      <c r="BB36" s="295">
        <v>0</v>
      </c>
      <c r="BC36" s="295">
        <v>0</v>
      </c>
      <c r="BD36" s="295">
        <v>0</v>
      </c>
      <c r="BE36" s="295">
        <v>0</v>
      </c>
      <c r="BF36" s="295">
        <v>0</v>
      </c>
      <c r="BG36" s="295">
        <v>0</v>
      </c>
      <c r="BH36" s="297">
        <v>1</v>
      </c>
      <c r="BI36" s="297">
        <v>0</v>
      </c>
      <c r="BJ36" s="346"/>
      <c r="BK36" s="347"/>
      <c r="BL36" s="340"/>
      <c r="BM36" s="341"/>
      <c r="BN36" s="295">
        <v>1</v>
      </c>
      <c r="BO36" s="295">
        <v>0</v>
      </c>
      <c r="BP36" s="295">
        <v>1</v>
      </c>
      <c r="BQ36" s="295">
        <v>0</v>
      </c>
      <c r="BR36" s="295">
        <v>0</v>
      </c>
      <c r="BS36" s="295">
        <v>0</v>
      </c>
      <c r="BT36" s="295">
        <v>0</v>
      </c>
      <c r="BU36" s="295">
        <v>0</v>
      </c>
      <c r="BV36" s="295">
        <v>0</v>
      </c>
      <c r="BW36" s="301">
        <v>0</v>
      </c>
    </row>
    <row r="37" spans="1:75" s="294" customFormat="1" ht="17" thickBot="1" x14ac:dyDescent="0.35">
      <c r="A37" s="464"/>
      <c r="B37" s="535"/>
      <c r="C37" s="280" t="s">
        <v>399</v>
      </c>
      <c r="D37" s="283">
        <v>0</v>
      </c>
      <c r="E37" s="303">
        <v>0</v>
      </c>
      <c r="F37" s="303">
        <v>0</v>
      </c>
      <c r="G37" s="303">
        <v>0</v>
      </c>
      <c r="H37" s="303">
        <v>2</v>
      </c>
      <c r="I37" s="303">
        <v>0</v>
      </c>
      <c r="J37" s="303">
        <v>0</v>
      </c>
      <c r="K37" s="303">
        <v>0</v>
      </c>
      <c r="L37" s="303">
        <v>0</v>
      </c>
      <c r="M37" s="303">
        <v>0</v>
      </c>
      <c r="N37" s="303">
        <v>0</v>
      </c>
      <c r="O37" s="304">
        <v>1</v>
      </c>
      <c r="P37" s="303">
        <v>1</v>
      </c>
      <c r="Q37" s="303">
        <v>0</v>
      </c>
      <c r="R37" s="303">
        <v>0</v>
      </c>
      <c r="S37" s="303">
        <v>0</v>
      </c>
      <c r="T37" s="303">
        <v>0</v>
      </c>
      <c r="U37" s="303">
        <v>0</v>
      </c>
      <c r="V37" s="303">
        <v>2</v>
      </c>
      <c r="W37" s="303">
        <v>0</v>
      </c>
      <c r="X37" s="303">
        <v>0</v>
      </c>
      <c r="Y37" s="303">
        <v>0</v>
      </c>
      <c r="Z37" s="303">
        <v>0</v>
      </c>
      <c r="AA37" s="304">
        <v>1</v>
      </c>
      <c r="AB37" s="303">
        <v>0</v>
      </c>
      <c r="AC37" s="303">
        <v>1</v>
      </c>
      <c r="AD37" s="303">
        <v>1</v>
      </c>
      <c r="AE37" s="303">
        <v>2</v>
      </c>
      <c r="AF37" s="303">
        <v>0</v>
      </c>
      <c r="AG37" s="303">
        <v>1</v>
      </c>
      <c r="AH37" s="303">
        <v>0</v>
      </c>
      <c r="AI37" s="303">
        <v>0</v>
      </c>
      <c r="AJ37" s="303">
        <v>0</v>
      </c>
      <c r="AK37" s="303">
        <v>1</v>
      </c>
      <c r="AL37" s="303">
        <v>0</v>
      </c>
      <c r="AM37" s="304">
        <v>0</v>
      </c>
      <c r="AN37" s="305">
        <v>1</v>
      </c>
      <c r="AO37" s="303">
        <v>0</v>
      </c>
      <c r="AP37" s="303">
        <v>1</v>
      </c>
      <c r="AQ37" s="303">
        <v>0</v>
      </c>
      <c r="AR37" s="303">
        <v>0</v>
      </c>
      <c r="AS37" s="303">
        <v>1</v>
      </c>
      <c r="AT37" s="303">
        <v>0</v>
      </c>
      <c r="AU37" s="303">
        <v>0</v>
      </c>
      <c r="AV37" s="303">
        <v>1</v>
      </c>
      <c r="AW37" s="303">
        <v>0</v>
      </c>
      <c r="AX37" s="303">
        <v>0</v>
      </c>
      <c r="AY37" s="304">
        <v>1</v>
      </c>
      <c r="AZ37" s="303">
        <v>0</v>
      </c>
      <c r="BA37" s="303">
        <v>1</v>
      </c>
      <c r="BB37" s="303">
        <v>0</v>
      </c>
      <c r="BC37" s="303">
        <v>0</v>
      </c>
      <c r="BD37" s="303">
        <v>0</v>
      </c>
      <c r="BE37" s="303">
        <v>0</v>
      </c>
      <c r="BF37" s="303">
        <v>0</v>
      </c>
      <c r="BG37" s="303">
        <v>0</v>
      </c>
      <c r="BH37" s="303">
        <v>1</v>
      </c>
      <c r="BI37" s="303">
        <v>0</v>
      </c>
      <c r="BJ37" s="346"/>
      <c r="BK37" s="347"/>
      <c r="BL37" s="340"/>
      <c r="BM37" s="341"/>
      <c r="BN37" s="303">
        <v>1</v>
      </c>
      <c r="BO37" s="303">
        <v>0</v>
      </c>
      <c r="BP37" s="303">
        <v>1</v>
      </c>
      <c r="BQ37" s="303">
        <v>0</v>
      </c>
      <c r="BR37" s="303">
        <v>0</v>
      </c>
      <c r="BS37" s="303">
        <v>0</v>
      </c>
      <c r="BT37" s="303">
        <v>0</v>
      </c>
      <c r="BU37" s="303">
        <v>0</v>
      </c>
      <c r="BV37" s="303">
        <v>0</v>
      </c>
      <c r="BW37" s="306">
        <v>0</v>
      </c>
    </row>
    <row r="38" spans="1:75" s="294" customFormat="1" ht="17" thickBot="1" x14ac:dyDescent="0.35">
      <c r="A38" s="464"/>
      <c r="B38" s="535"/>
      <c r="C38" s="280" t="s">
        <v>400</v>
      </c>
      <c r="D38" s="284">
        <v>0</v>
      </c>
      <c r="E38" s="307">
        <v>0</v>
      </c>
      <c r="F38" s="307">
        <v>0</v>
      </c>
      <c r="G38" s="307">
        <v>0</v>
      </c>
      <c r="H38" s="307">
        <v>1</v>
      </c>
      <c r="I38" s="307">
        <v>0</v>
      </c>
      <c r="J38" s="307">
        <v>0</v>
      </c>
      <c r="K38" s="307">
        <v>0</v>
      </c>
      <c r="L38" s="307">
        <v>0</v>
      </c>
      <c r="M38" s="307">
        <v>0</v>
      </c>
      <c r="N38" s="307">
        <v>0</v>
      </c>
      <c r="O38" s="308">
        <v>0</v>
      </c>
      <c r="P38" s="307">
        <v>1</v>
      </c>
      <c r="Q38" s="307">
        <v>0</v>
      </c>
      <c r="R38" s="307">
        <v>0</v>
      </c>
      <c r="S38" s="307">
        <v>0</v>
      </c>
      <c r="T38" s="307">
        <v>0</v>
      </c>
      <c r="U38" s="307">
        <v>0</v>
      </c>
      <c r="V38" s="307">
        <v>0</v>
      </c>
      <c r="W38" s="307">
        <v>1</v>
      </c>
      <c r="X38" s="307">
        <v>0</v>
      </c>
      <c r="Y38" s="307">
        <v>0</v>
      </c>
      <c r="Z38" s="307">
        <v>0</v>
      </c>
      <c r="AA38" s="308">
        <v>0</v>
      </c>
      <c r="AB38" s="307">
        <v>0</v>
      </c>
      <c r="AC38" s="307">
        <v>1</v>
      </c>
      <c r="AD38" s="307">
        <v>0</v>
      </c>
      <c r="AE38" s="307">
        <v>1</v>
      </c>
      <c r="AF38" s="307">
        <v>0</v>
      </c>
      <c r="AG38" s="307">
        <v>1</v>
      </c>
      <c r="AH38" s="307">
        <v>0</v>
      </c>
      <c r="AI38" s="307">
        <v>0</v>
      </c>
      <c r="AJ38" s="307">
        <v>0</v>
      </c>
      <c r="AK38" s="307">
        <v>1</v>
      </c>
      <c r="AL38" s="307">
        <v>0</v>
      </c>
      <c r="AM38" s="308">
        <v>0</v>
      </c>
      <c r="AN38" s="309">
        <v>0</v>
      </c>
      <c r="AO38" s="307">
        <v>0</v>
      </c>
      <c r="AP38" s="307">
        <v>0</v>
      </c>
      <c r="AQ38" s="307">
        <v>0</v>
      </c>
      <c r="AR38" s="307">
        <v>0</v>
      </c>
      <c r="AS38" s="307">
        <v>1</v>
      </c>
      <c r="AT38" s="307">
        <v>0</v>
      </c>
      <c r="AU38" s="307">
        <v>0</v>
      </c>
      <c r="AV38" s="307">
        <v>0</v>
      </c>
      <c r="AW38" s="307">
        <v>0</v>
      </c>
      <c r="AX38" s="307">
        <v>0</v>
      </c>
      <c r="AY38" s="308">
        <v>0</v>
      </c>
      <c r="AZ38" s="307">
        <v>0</v>
      </c>
      <c r="BA38" s="307">
        <v>0</v>
      </c>
      <c r="BB38" s="307">
        <v>0</v>
      </c>
      <c r="BC38" s="307">
        <v>0</v>
      </c>
      <c r="BD38" s="307">
        <v>0</v>
      </c>
      <c r="BE38" s="307">
        <v>0</v>
      </c>
      <c r="BF38" s="307">
        <v>0</v>
      </c>
      <c r="BG38" s="307">
        <v>0</v>
      </c>
      <c r="BH38" s="307">
        <v>0</v>
      </c>
      <c r="BI38" s="307">
        <v>0</v>
      </c>
      <c r="BJ38" s="346"/>
      <c r="BK38" s="347"/>
      <c r="BL38" s="340"/>
      <c r="BM38" s="341"/>
      <c r="BN38" s="307">
        <v>0</v>
      </c>
      <c r="BO38" s="307">
        <v>0</v>
      </c>
      <c r="BP38" s="307">
        <v>0</v>
      </c>
      <c r="BQ38" s="307">
        <v>0</v>
      </c>
      <c r="BR38" s="307">
        <v>0</v>
      </c>
      <c r="BS38" s="307">
        <v>0</v>
      </c>
      <c r="BT38" s="307">
        <v>0</v>
      </c>
      <c r="BU38" s="307">
        <v>0</v>
      </c>
      <c r="BV38" s="307">
        <v>0</v>
      </c>
      <c r="BW38" s="310">
        <v>0</v>
      </c>
    </row>
    <row r="39" spans="1:75" s="294" customFormat="1" ht="17" thickBot="1" x14ac:dyDescent="0.35">
      <c r="A39" s="464"/>
      <c r="B39" s="536"/>
      <c r="C39" s="280" t="s">
        <v>401</v>
      </c>
      <c r="D39" s="285">
        <v>0</v>
      </c>
      <c r="E39" s="311">
        <v>0</v>
      </c>
      <c r="F39" s="311">
        <v>0</v>
      </c>
      <c r="G39" s="311">
        <v>0</v>
      </c>
      <c r="H39" s="311">
        <v>1</v>
      </c>
      <c r="I39" s="311">
        <v>0</v>
      </c>
      <c r="J39" s="311">
        <v>0</v>
      </c>
      <c r="K39" s="311">
        <v>0</v>
      </c>
      <c r="L39" s="311">
        <v>0</v>
      </c>
      <c r="M39" s="311">
        <v>0</v>
      </c>
      <c r="N39" s="311">
        <v>0</v>
      </c>
      <c r="O39" s="312">
        <v>0</v>
      </c>
      <c r="P39" s="311">
        <v>1</v>
      </c>
      <c r="Q39" s="311">
        <v>0</v>
      </c>
      <c r="R39" s="311">
        <v>0</v>
      </c>
      <c r="S39" s="311">
        <v>0</v>
      </c>
      <c r="T39" s="311">
        <v>0</v>
      </c>
      <c r="U39" s="311">
        <v>0</v>
      </c>
      <c r="V39" s="311">
        <v>0</v>
      </c>
      <c r="W39" s="311">
        <v>1</v>
      </c>
      <c r="X39" s="311">
        <v>0</v>
      </c>
      <c r="Y39" s="311">
        <v>0</v>
      </c>
      <c r="Z39" s="311">
        <v>0</v>
      </c>
      <c r="AA39" s="312">
        <v>0</v>
      </c>
      <c r="AB39" s="311">
        <v>0</v>
      </c>
      <c r="AC39" s="311">
        <v>1</v>
      </c>
      <c r="AD39" s="311">
        <v>0</v>
      </c>
      <c r="AE39" s="311">
        <v>1</v>
      </c>
      <c r="AF39" s="311">
        <v>0</v>
      </c>
      <c r="AG39" s="311">
        <v>1</v>
      </c>
      <c r="AH39" s="311">
        <v>0</v>
      </c>
      <c r="AI39" s="311">
        <v>0</v>
      </c>
      <c r="AJ39" s="311">
        <v>0</v>
      </c>
      <c r="AK39" s="311">
        <v>1</v>
      </c>
      <c r="AL39" s="311">
        <v>0</v>
      </c>
      <c r="AM39" s="312">
        <v>0</v>
      </c>
      <c r="AN39" s="313">
        <v>0</v>
      </c>
      <c r="AO39" s="311">
        <v>0</v>
      </c>
      <c r="AP39" s="311">
        <v>0</v>
      </c>
      <c r="AQ39" s="311">
        <v>0</v>
      </c>
      <c r="AR39" s="311">
        <v>0</v>
      </c>
      <c r="AS39" s="311">
        <v>1</v>
      </c>
      <c r="AT39" s="311">
        <v>0</v>
      </c>
      <c r="AU39" s="311">
        <v>0</v>
      </c>
      <c r="AV39" s="311">
        <v>0</v>
      </c>
      <c r="AW39" s="311">
        <v>0</v>
      </c>
      <c r="AX39" s="311">
        <v>0</v>
      </c>
      <c r="AY39" s="312">
        <v>0</v>
      </c>
      <c r="AZ39" s="311">
        <v>0</v>
      </c>
      <c r="BA39" s="311">
        <v>0</v>
      </c>
      <c r="BB39" s="311">
        <v>0</v>
      </c>
      <c r="BC39" s="311">
        <v>0</v>
      </c>
      <c r="BD39" s="311">
        <v>0</v>
      </c>
      <c r="BE39" s="311">
        <v>0</v>
      </c>
      <c r="BF39" s="311">
        <v>0</v>
      </c>
      <c r="BG39" s="311">
        <v>0</v>
      </c>
      <c r="BH39" s="311">
        <v>0</v>
      </c>
      <c r="BI39" s="311">
        <v>0</v>
      </c>
      <c r="BJ39" s="348"/>
      <c r="BK39" s="349"/>
      <c r="BL39" s="342"/>
      <c r="BM39" s="343"/>
      <c r="BN39" s="311">
        <v>0</v>
      </c>
      <c r="BO39" s="311">
        <v>0</v>
      </c>
      <c r="BP39" s="311">
        <v>0</v>
      </c>
      <c r="BQ39" s="311">
        <v>0</v>
      </c>
      <c r="BR39" s="311">
        <v>0</v>
      </c>
      <c r="BS39" s="311">
        <v>0</v>
      </c>
      <c r="BT39" s="311">
        <v>0</v>
      </c>
      <c r="BU39" s="311">
        <v>0</v>
      </c>
      <c r="BV39" s="311">
        <v>0</v>
      </c>
      <c r="BW39" s="314">
        <v>0</v>
      </c>
    </row>
    <row r="40" spans="1:75" ht="17" thickBot="1" x14ac:dyDescent="0.5">
      <c r="A40" s="464"/>
      <c r="B40" s="535" t="s">
        <v>67</v>
      </c>
      <c r="C40" s="239" t="s">
        <v>403</v>
      </c>
      <c r="D40" s="207">
        <v>0</v>
      </c>
      <c r="E40" s="208">
        <v>0</v>
      </c>
      <c r="F40" s="208">
        <v>0</v>
      </c>
      <c r="G40" s="208">
        <v>0</v>
      </c>
      <c r="H40" s="208">
        <v>0</v>
      </c>
      <c r="I40" s="208">
        <v>0</v>
      </c>
      <c r="J40" s="208">
        <v>1</v>
      </c>
      <c r="K40" s="208">
        <v>0</v>
      </c>
      <c r="L40" s="208">
        <v>0</v>
      </c>
      <c r="M40" s="208">
        <v>0</v>
      </c>
      <c r="N40" s="208">
        <v>1</v>
      </c>
      <c r="O40" s="209">
        <v>0</v>
      </c>
      <c r="P40" s="208">
        <v>2</v>
      </c>
      <c r="Q40" s="208">
        <v>0</v>
      </c>
      <c r="R40" s="208">
        <v>1</v>
      </c>
      <c r="S40" s="208">
        <v>0</v>
      </c>
      <c r="T40" s="208">
        <v>0</v>
      </c>
      <c r="U40" s="208">
        <v>0</v>
      </c>
      <c r="V40" s="208">
        <v>0</v>
      </c>
      <c r="W40" s="208">
        <v>0</v>
      </c>
      <c r="X40" s="208">
        <v>0</v>
      </c>
      <c r="Y40" s="210">
        <v>0</v>
      </c>
      <c r="Z40" s="210">
        <v>0</v>
      </c>
      <c r="AA40" s="211">
        <v>0</v>
      </c>
      <c r="AB40" s="212">
        <v>1</v>
      </c>
      <c r="AC40" s="210">
        <v>0</v>
      </c>
      <c r="AD40" s="210">
        <v>0</v>
      </c>
      <c r="AE40" s="210">
        <v>0</v>
      </c>
      <c r="AF40" s="210">
        <v>0</v>
      </c>
      <c r="AG40" s="210">
        <v>0</v>
      </c>
      <c r="AH40" s="210">
        <v>0</v>
      </c>
      <c r="AI40" s="210">
        <v>1</v>
      </c>
      <c r="AJ40" s="210">
        <v>0</v>
      </c>
      <c r="AK40" s="210">
        <v>0</v>
      </c>
      <c r="AL40" s="210">
        <v>0</v>
      </c>
      <c r="AM40" s="211">
        <v>1</v>
      </c>
      <c r="AN40" s="242">
        <v>0</v>
      </c>
      <c r="AO40" s="208">
        <v>0</v>
      </c>
      <c r="AP40" s="208">
        <v>0</v>
      </c>
      <c r="AQ40" s="208">
        <v>0</v>
      </c>
      <c r="AR40" s="208">
        <v>0</v>
      </c>
      <c r="AS40" s="208">
        <v>0</v>
      </c>
      <c r="AT40" s="208">
        <v>0</v>
      </c>
      <c r="AU40" s="208">
        <v>0</v>
      </c>
      <c r="AV40" s="208">
        <v>1</v>
      </c>
      <c r="AW40" s="208">
        <v>0</v>
      </c>
      <c r="AX40" s="208">
        <v>0</v>
      </c>
      <c r="AY40" s="209">
        <v>0</v>
      </c>
      <c r="AZ40" s="212">
        <v>0</v>
      </c>
      <c r="BA40" s="210">
        <v>0</v>
      </c>
      <c r="BB40" s="210">
        <v>0</v>
      </c>
      <c r="BC40" s="210">
        <v>0</v>
      </c>
      <c r="BD40" s="210">
        <v>0</v>
      </c>
      <c r="BE40" s="210">
        <v>0</v>
      </c>
      <c r="BF40" s="210">
        <v>0</v>
      </c>
      <c r="BG40" s="210">
        <v>0</v>
      </c>
      <c r="BH40" s="210">
        <v>0</v>
      </c>
      <c r="BI40" s="210">
        <v>0</v>
      </c>
      <c r="BJ40" s="210">
        <v>0</v>
      </c>
      <c r="BK40" s="211">
        <v>0</v>
      </c>
      <c r="BL40" s="242">
        <v>0</v>
      </c>
      <c r="BM40" s="335" t="s">
        <v>57</v>
      </c>
      <c r="BN40" s="338" t="s">
        <v>30</v>
      </c>
      <c r="BO40" s="339"/>
      <c r="BP40" s="208">
        <v>1</v>
      </c>
      <c r="BQ40" s="210">
        <v>0</v>
      </c>
      <c r="BR40" s="210">
        <v>0</v>
      </c>
      <c r="BS40" s="210">
        <v>0</v>
      </c>
      <c r="BT40" s="208">
        <v>1</v>
      </c>
      <c r="BU40" s="208">
        <v>0</v>
      </c>
      <c r="BV40" s="208">
        <v>0</v>
      </c>
      <c r="BW40" s="278">
        <v>0</v>
      </c>
    </row>
    <row r="41" spans="1:75" s="294" customFormat="1" ht="17" thickBot="1" x14ac:dyDescent="0.5">
      <c r="A41" s="464"/>
      <c r="B41" s="535"/>
      <c r="C41" s="280" t="s">
        <v>398</v>
      </c>
      <c r="D41" s="281">
        <v>0</v>
      </c>
      <c r="E41" s="286">
        <v>0</v>
      </c>
      <c r="F41" s="286">
        <v>0</v>
      </c>
      <c r="G41" s="286">
        <v>0</v>
      </c>
      <c r="H41" s="286">
        <v>0</v>
      </c>
      <c r="I41" s="286">
        <v>0</v>
      </c>
      <c r="J41" s="286">
        <v>1</v>
      </c>
      <c r="K41" s="286">
        <v>0</v>
      </c>
      <c r="L41" s="286">
        <v>0</v>
      </c>
      <c r="M41" s="286">
        <v>0</v>
      </c>
      <c r="N41" s="286">
        <v>1</v>
      </c>
      <c r="O41" s="287">
        <v>0</v>
      </c>
      <c r="P41" s="286">
        <v>2</v>
      </c>
      <c r="Q41" s="286">
        <v>0</v>
      </c>
      <c r="R41" s="286">
        <v>1</v>
      </c>
      <c r="S41" s="286">
        <v>0</v>
      </c>
      <c r="T41" s="286">
        <v>0</v>
      </c>
      <c r="U41" s="286">
        <v>0</v>
      </c>
      <c r="V41" s="286">
        <v>0</v>
      </c>
      <c r="W41" s="286">
        <v>0</v>
      </c>
      <c r="X41" s="286">
        <v>0</v>
      </c>
      <c r="Y41" s="288">
        <v>0</v>
      </c>
      <c r="Z41" s="288">
        <v>0</v>
      </c>
      <c r="AA41" s="289">
        <v>0</v>
      </c>
      <c r="AB41" s="290">
        <v>1</v>
      </c>
      <c r="AC41" s="288">
        <v>0</v>
      </c>
      <c r="AD41" s="288">
        <v>0</v>
      </c>
      <c r="AE41" s="288">
        <v>0</v>
      </c>
      <c r="AF41" s="288">
        <v>0</v>
      </c>
      <c r="AG41" s="288">
        <v>0</v>
      </c>
      <c r="AH41" s="288">
        <v>0</v>
      </c>
      <c r="AI41" s="288">
        <v>1</v>
      </c>
      <c r="AJ41" s="288">
        <v>0</v>
      </c>
      <c r="AK41" s="288">
        <v>0</v>
      </c>
      <c r="AL41" s="288">
        <v>0</v>
      </c>
      <c r="AM41" s="289">
        <v>1</v>
      </c>
      <c r="AN41" s="291">
        <v>0</v>
      </c>
      <c r="AO41" s="286">
        <v>0</v>
      </c>
      <c r="AP41" s="286">
        <v>0</v>
      </c>
      <c r="AQ41" s="286">
        <v>0</v>
      </c>
      <c r="AR41" s="286">
        <v>0</v>
      </c>
      <c r="AS41" s="286">
        <v>0</v>
      </c>
      <c r="AT41" s="286">
        <v>0</v>
      </c>
      <c r="AU41" s="286">
        <v>0</v>
      </c>
      <c r="AV41" s="286">
        <v>0</v>
      </c>
      <c r="AW41" s="286">
        <v>0</v>
      </c>
      <c r="AX41" s="286">
        <v>0</v>
      </c>
      <c r="AY41" s="287">
        <v>0</v>
      </c>
      <c r="AZ41" s="290">
        <v>0</v>
      </c>
      <c r="BA41" s="288">
        <v>0</v>
      </c>
      <c r="BB41" s="288">
        <v>0</v>
      </c>
      <c r="BC41" s="288">
        <v>0</v>
      </c>
      <c r="BD41" s="288">
        <v>0</v>
      </c>
      <c r="BE41" s="288">
        <v>0</v>
      </c>
      <c r="BF41" s="288">
        <v>0</v>
      </c>
      <c r="BG41" s="288">
        <v>0</v>
      </c>
      <c r="BH41" s="288">
        <v>0</v>
      </c>
      <c r="BI41" s="288">
        <v>0</v>
      </c>
      <c r="BJ41" s="288">
        <v>0</v>
      </c>
      <c r="BK41" s="289">
        <v>0</v>
      </c>
      <c r="BL41" s="291">
        <v>0</v>
      </c>
      <c r="BM41" s="336"/>
      <c r="BN41" s="340"/>
      <c r="BO41" s="341"/>
      <c r="BP41" s="286">
        <v>1</v>
      </c>
      <c r="BQ41" s="288">
        <v>0</v>
      </c>
      <c r="BR41" s="288">
        <v>0</v>
      </c>
      <c r="BS41" s="288">
        <v>0</v>
      </c>
      <c r="BT41" s="286">
        <v>1</v>
      </c>
      <c r="BU41" s="286">
        <v>0</v>
      </c>
      <c r="BV41" s="286">
        <v>0</v>
      </c>
      <c r="BW41" s="292">
        <v>0</v>
      </c>
    </row>
    <row r="42" spans="1:75" s="294" customFormat="1" ht="17" thickBot="1" x14ac:dyDescent="0.5">
      <c r="A42" s="464"/>
      <c r="B42" s="535"/>
      <c r="C42" s="280" t="s">
        <v>404</v>
      </c>
      <c r="D42" s="282">
        <v>0</v>
      </c>
      <c r="E42" s="295">
        <v>0</v>
      </c>
      <c r="F42" s="295">
        <v>0</v>
      </c>
      <c r="G42" s="295">
        <v>0</v>
      </c>
      <c r="H42" s="295">
        <v>0</v>
      </c>
      <c r="I42" s="295">
        <v>0</v>
      </c>
      <c r="J42" s="295">
        <v>1</v>
      </c>
      <c r="K42" s="295">
        <v>0</v>
      </c>
      <c r="L42" s="295">
        <v>0</v>
      </c>
      <c r="M42" s="295">
        <v>0</v>
      </c>
      <c r="N42" s="295">
        <v>0</v>
      </c>
      <c r="O42" s="296">
        <v>0</v>
      </c>
      <c r="P42" s="295">
        <v>0</v>
      </c>
      <c r="Q42" s="295">
        <v>0</v>
      </c>
      <c r="R42" s="295">
        <v>1</v>
      </c>
      <c r="S42" s="295">
        <v>0</v>
      </c>
      <c r="T42" s="295">
        <v>0</v>
      </c>
      <c r="U42" s="295">
        <v>0</v>
      </c>
      <c r="V42" s="295">
        <v>0</v>
      </c>
      <c r="W42" s="295">
        <v>0</v>
      </c>
      <c r="X42" s="295">
        <v>0</v>
      </c>
      <c r="Y42" s="297">
        <v>0</v>
      </c>
      <c r="Z42" s="297">
        <v>0</v>
      </c>
      <c r="AA42" s="298">
        <v>0</v>
      </c>
      <c r="AB42" s="299">
        <v>1</v>
      </c>
      <c r="AC42" s="297">
        <v>0</v>
      </c>
      <c r="AD42" s="297">
        <v>0</v>
      </c>
      <c r="AE42" s="297">
        <v>0</v>
      </c>
      <c r="AF42" s="297">
        <v>0</v>
      </c>
      <c r="AG42" s="297">
        <v>0</v>
      </c>
      <c r="AH42" s="297">
        <v>0</v>
      </c>
      <c r="AI42" s="297">
        <v>0</v>
      </c>
      <c r="AJ42" s="297">
        <v>0</v>
      </c>
      <c r="AK42" s="297">
        <v>0</v>
      </c>
      <c r="AL42" s="297">
        <v>0</v>
      </c>
      <c r="AM42" s="298">
        <v>1</v>
      </c>
      <c r="AN42" s="300">
        <v>0</v>
      </c>
      <c r="AO42" s="295">
        <v>0</v>
      </c>
      <c r="AP42" s="295">
        <v>0</v>
      </c>
      <c r="AQ42" s="295">
        <v>0</v>
      </c>
      <c r="AR42" s="295">
        <v>0</v>
      </c>
      <c r="AS42" s="295">
        <v>0</v>
      </c>
      <c r="AT42" s="295">
        <v>0</v>
      </c>
      <c r="AU42" s="295">
        <v>0</v>
      </c>
      <c r="AV42" s="295">
        <v>0</v>
      </c>
      <c r="AW42" s="295">
        <v>0</v>
      </c>
      <c r="AX42" s="295">
        <v>0</v>
      </c>
      <c r="AY42" s="296">
        <v>0</v>
      </c>
      <c r="AZ42" s="299">
        <v>0</v>
      </c>
      <c r="BA42" s="297">
        <v>0</v>
      </c>
      <c r="BB42" s="297">
        <v>0</v>
      </c>
      <c r="BC42" s="297">
        <v>0</v>
      </c>
      <c r="BD42" s="297">
        <v>0</v>
      </c>
      <c r="BE42" s="297">
        <v>0</v>
      </c>
      <c r="BF42" s="297">
        <v>0</v>
      </c>
      <c r="BG42" s="297">
        <v>0</v>
      </c>
      <c r="BH42" s="297">
        <v>0</v>
      </c>
      <c r="BI42" s="297">
        <v>0</v>
      </c>
      <c r="BJ42" s="297">
        <v>0</v>
      </c>
      <c r="BK42" s="298">
        <v>0</v>
      </c>
      <c r="BL42" s="300">
        <v>0</v>
      </c>
      <c r="BM42" s="336"/>
      <c r="BN42" s="340"/>
      <c r="BO42" s="341"/>
      <c r="BP42" s="295">
        <v>1</v>
      </c>
      <c r="BQ42" s="297">
        <v>0</v>
      </c>
      <c r="BR42" s="297">
        <v>0</v>
      </c>
      <c r="BS42" s="297">
        <v>0</v>
      </c>
      <c r="BT42" s="295">
        <v>0</v>
      </c>
      <c r="BU42" s="295">
        <v>0</v>
      </c>
      <c r="BV42" s="295">
        <v>0</v>
      </c>
      <c r="BW42" s="301">
        <v>0</v>
      </c>
    </row>
    <row r="43" spans="1:75" s="294" customFormat="1" ht="17" thickBot="1" x14ac:dyDescent="0.35">
      <c r="A43" s="464"/>
      <c r="B43" s="535"/>
      <c r="C43" s="280" t="s">
        <v>399</v>
      </c>
      <c r="D43" s="283">
        <v>0</v>
      </c>
      <c r="E43" s="303">
        <v>0</v>
      </c>
      <c r="F43" s="303">
        <v>0</v>
      </c>
      <c r="G43" s="303">
        <v>0</v>
      </c>
      <c r="H43" s="303">
        <v>0</v>
      </c>
      <c r="I43" s="303">
        <v>0</v>
      </c>
      <c r="J43" s="303">
        <v>1</v>
      </c>
      <c r="K43" s="303">
        <v>0</v>
      </c>
      <c r="L43" s="303">
        <v>0</v>
      </c>
      <c r="M43" s="303">
        <v>0</v>
      </c>
      <c r="N43" s="303">
        <v>1</v>
      </c>
      <c r="O43" s="304">
        <v>0</v>
      </c>
      <c r="P43" s="303">
        <v>2</v>
      </c>
      <c r="Q43" s="303">
        <v>0</v>
      </c>
      <c r="R43" s="303">
        <v>1</v>
      </c>
      <c r="S43" s="303">
        <v>0</v>
      </c>
      <c r="T43" s="303">
        <v>0</v>
      </c>
      <c r="U43" s="303">
        <v>0</v>
      </c>
      <c r="V43" s="303">
        <v>0</v>
      </c>
      <c r="W43" s="303">
        <v>0</v>
      </c>
      <c r="X43" s="303">
        <v>0</v>
      </c>
      <c r="Y43" s="303">
        <v>0</v>
      </c>
      <c r="Z43" s="303">
        <v>0</v>
      </c>
      <c r="AA43" s="304">
        <v>0</v>
      </c>
      <c r="AB43" s="303">
        <v>1</v>
      </c>
      <c r="AC43" s="303">
        <v>0</v>
      </c>
      <c r="AD43" s="303">
        <v>0</v>
      </c>
      <c r="AE43" s="303">
        <v>0</v>
      </c>
      <c r="AF43" s="303">
        <v>0</v>
      </c>
      <c r="AG43" s="303">
        <v>0</v>
      </c>
      <c r="AH43" s="303">
        <v>0</v>
      </c>
      <c r="AI43" s="303">
        <v>1</v>
      </c>
      <c r="AJ43" s="303">
        <v>0</v>
      </c>
      <c r="AK43" s="303">
        <v>0</v>
      </c>
      <c r="AL43" s="303">
        <v>0</v>
      </c>
      <c r="AM43" s="304">
        <v>1</v>
      </c>
      <c r="AN43" s="305">
        <v>0</v>
      </c>
      <c r="AO43" s="303">
        <v>0</v>
      </c>
      <c r="AP43" s="303">
        <v>0</v>
      </c>
      <c r="AQ43" s="303">
        <v>0</v>
      </c>
      <c r="AR43" s="303">
        <v>0</v>
      </c>
      <c r="AS43" s="303">
        <v>0</v>
      </c>
      <c r="AT43" s="303">
        <v>0</v>
      </c>
      <c r="AU43" s="303">
        <v>0</v>
      </c>
      <c r="AV43" s="303">
        <v>0</v>
      </c>
      <c r="AW43" s="303">
        <v>0</v>
      </c>
      <c r="AX43" s="303">
        <v>0</v>
      </c>
      <c r="AY43" s="304">
        <v>0</v>
      </c>
      <c r="AZ43" s="303">
        <v>0</v>
      </c>
      <c r="BA43" s="303">
        <v>0</v>
      </c>
      <c r="BB43" s="303">
        <v>0</v>
      </c>
      <c r="BC43" s="303">
        <v>0</v>
      </c>
      <c r="BD43" s="303">
        <v>0</v>
      </c>
      <c r="BE43" s="303">
        <v>0</v>
      </c>
      <c r="BF43" s="303">
        <v>0</v>
      </c>
      <c r="BG43" s="303">
        <v>0</v>
      </c>
      <c r="BH43" s="303">
        <v>0</v>
      </c>
      <c r="BI43" s="303">
        <v>0</v>
      </c>
      <c r="BJ43" s="303">
        <v>0</v>
      </c>
      <c r="BK43" s="304">
        <v>0</v>
      </c>
      <c r="BL43" s="305">
        <v>0</v>
      </c>
      <c r="BM43" s="336"/>
      <c r="BN43" s="340"/>
      <c r="BO43" s="341"/>
      <c r="BP43" s="303">
        <v>1</v>
      </c>
      <c r="BQ43" s="303">
        <v>0</v>
      </c>
      <c r="BR43" s="303">
        <v>0</v>
      </c>
      <c r="BS43" s="303">
        <v>0</v>
      </c>
      <c r="BT43" s="303">
        <v>1</v>
      </c>
      <c r="BU43" s="303">
        <v>0</v>
      </c>
      <c r="BV43" s="303">
        <v>0</v>
      </c>
      <c r="BW43" s="306">
        <v>0</v>
      </c>
    </row>
    <row r="44" spans="1:75" s="294" customFormat="1" ht="17" thickBot="1" x14ac:dyDescent="0.35">
      <c r="A44" s="464"/>
      <c r="B44" s="535"/>
      <c r="C44" s="280" t="s">
        <v>400</v>
      </c>
      <c r="D44" s="284">
        <v>0</v>
      </c>
      <c r="E44" s="307">
        <v>0</v>
      </c>
      <c r="F44" s="307">
        <v>0</v>
      </c>
      <c r="G44" s="307">
        <v>0</v>
      </c>
      <c r="H44" s="307">
        <v>0</v>
      </c>
      <c r="I44" s="307">
        <v>0</v>
      </c>
      <c r="J44" s="307">
        <v>0</v>
      </c>
      <c r="K44" s="307">
        <v>0</v>
      </c>
      <c r="L44" s="307">
        <v>0</v>
      </c>
      <c r="M44" s="307">
        <v>0</v>
      </c>
      <c r="N44" s="307">
        <v>1</v>
      </c>
      <c r="O44" s="308">
        <v>0</v>
      </c>
      <c r="P44" s="307">
        <v>2</v>
      </c>
      <c r="Q44" s="307">
        <v>0</v>
      </c>
      <c r="R44" s="307">
        <v>0</v>
      </c>
      <c r="S44" s="307">
        <v>0</v>
      </c>
      <c r="T44" s="307">
        <v>0</v>
      </c>
      <c r="U44" s="307">
        <v>0</v>
      </c>
      <c r="V44" s="307">
        <v>0</v>
      </c>
      <c r="W44" s="307">
        <v>0</v>
      </c>
      <c r="X44" s="307">
        <v>0</v>
      </c>
      <c r="Y44" s="307">
        <v>0</v>
      </c>
      <c r="Z44" s="307">
        <v>0</v>
      </c>
      <c r="AA44" s="308">
        <v>0</v>
      </c>
      <c r="AB44" s="307">
        <v>0</v>
      </c>
      <c r="AC44" s="307">
        <v>0</v>
      </c>
      <c r="AD44" s="307">
        <v>0</v>
      </c>
      <c r="AE44" s="307">
        <v>0</v>
      </c>
      <c r="AF44" s="307">
        <v>0</v>
      </c>
      <c r="AG44" s="307">
        <v>0</v>
      </c>
      <c r="AH44" s="307">
        <v>0</v>
      </c>
      <c r="AI44" s="307">
        <v>1</v>
      </c>
      <c r="AJ44" s="307">
        <v>0</v>
      </c>
      <c r="AK44" s="307">
        <v>0</v>
      </c>
      <c r="AL44" s="307">
        <v>0</v>
      </c>
      <c r="AM44" s="308">
        <v>0</v>
      </c>
      <c r="AN44" s="309">
        <v>0</v>
      </c>
      <c r="AO44" s="307">
        <v>0</v>
      </c>
      <c r="AP44" s="307">
        <v>0</v>
      </c>
      <c r="AQ44" s="307">
        <v>0</v>
      </c>
      <c r="AR44" s="307">
        <v>0</v>
      </c>
      <c r="AS44" s="307">
        <v>0</v>
      </c>
      <c r="AT44" s="307">
        <v>0</v>
      </c>
      <c r="AU44" s="307">
        <v>0</v>
      </c>
      <c r="AV44" s="307">
        <v>0</v>
      </c>
      <c r="AW44" s="307">
        <v>0</v>
      </c>
      <c r="AX44" s="307">
        <v>0</v>
      </c>
      <c r="AY44" s="308">
        <v>0</v>
      </c>
      <c r="AZ44" s="307">
        <v>0</v>
      </c>
      <c r="BA44" s="307">
        <v>0</v>
      </c>
      <c r="BB44" s="307">
        <v>0</v>
      </c>
      <c r="BC44" s="307">
        <v>0</v>
      </c>
      <c r="BD44" s="307">
        <v>0</v>
      </c>
      <c r="BE44" s="307">
        <v>0</v>
      </c>
      <c r="BF44" s="307">
        <v>0</v>
      </c>
      <c r="BG44" s="307">
        <v>0</v>
      </c>
      <c r="BH44" s="307">
        <v>0</v>
      </c>
      <c r="BI44" s="307">
        <v>0</v>
      </c>
      <c r="BJ44" s="307">
        <v>0</v>
      </c>
      <c r="BK44" s="308">
        <v>0</v>
      </c>
      <c r="BL44" s="309">
        <v>0</v>
      </c>
      <c r="BM44" s="336"/>
      <c r="BN44" s="340"/>
      <c r="BO44" s="341"/>
      <c r="BP44" s="307">
        <v>0</v>
      </c>
      <c r="BQ44" s="307">
        <v>0</v>
      </c>
      <c r="BR44" s="307">
        <v>0</v>
      </c>
      <c r="BS44" s="307">
        <v>0</v>
      </c>
      <c r="BT44" s="307">
        <v>0</v>
      </c>
      <c r="BU44" s="307">
        <v>0</v>
      </c>
      <c r="BV44" s="307">
        <v>0</v>
      </c>
      <c r="BW44" s="310">
        <v>0</v>
      </c>
    </row>
    <row r="45" spans="1:75" s="294" customFormat="1" ht="17" thickBot="1" x14ac:dyDescent="0.35">
      <c r="A45" s="465"/>
      <c r="B45" s="536"/>
      <c r="C45" s="315" t="s">
        <v>401</v>
      </c>
      <c r="D45" s="285">
        <v>0</v>
      </c>
      <c r="E45" s="311">
        <v>0</v>
      </c>
      <c r="F45" s="311">
        <v>0</v>
      </c>
      <c r="G45" s="311">
        <v>0</v>
      </c>
      <c r="H45" s="311">
        <v>0</v>
      </c>
      <c r="I45" s="311">
        <v>0</v>
      </c>
      <c r="J45" s="311">
        <v>0</v>
      </c>
      <c r="K45" s="311">
        <v>0</v>
      </c>
      <c r="L45" s="311">
        <v>0</v>
      </c>
      <c r="M45" s="311">
        <v>0</v>
      </c>
      <c r="N45" s="311">
        <v>1</v>
      </c>
      <c r="O45" s="312">
        <v>0</v>
      </c>
      <c r="P45" s="311">
        <v>2</v>
      </c>
      <c r="Q45" s="311">
        <v>0</v>
      </c>
      <c r="R45" s="311">
        <v>0</v>
      </c>
      <c r="S45" s="311">
        <v>0</v>
      </c>
      <c r="T45" s="311">
        <v>0</v>
      </c>
      <c r="U45" s="311">
        <v>0</v>
      </c>
      <c r="V45" s="311">
        <v>0</v>
      </c>
      <c r="W45" s="311">
        <v>0</v>
      </c>
      <c r="X45" s="311">
        <v>0</v>
      </c>
      <c r="Y45" s="311">
        <v>0</v>
      </c>
      <c r="Z45" s="311">
        <v>0</v>
      </c>
      <c r="AA45" s="312">
        <v>0</v>
      </c>
      <c r="AB45" s="311">
        <v>0</v>
      </c>
      <c r="AC45" s="311">
        <v>0</v>
      </c>
      <c r="AD45" s="311">
        <v>0</v>
      </c>
      <c r="AE45" s="311">
        <v>0</v>
      </c>
      <c r="AF45" s="311">
        <v>0</v>
      </c>
      <c r="AG45" s="311">
        <v>0</v>
      </c>
      <c r="AH45" s="311">
        <v>0</v>
      </c>
      <c r="AI45" s="311">
        <v>1</v>
      </c>
      <c r="AJ45" s="311">
        <v>0</v>
      </c>
      <c r="AK45" s="311">
        <v>0</v>
      </c>
      <c r="AL45" s="311">
        <v>0</v>
      </c>
      <c r="AM45" s="312">
        <v>0</v>
      </c>
      <c r="AN45" s="313">
        <v>0</v>
      </c>
      <c r="AO45" s="311">
        <v>0</v>
      </c>
      <c r="AP45" s="311">
        <v>0</v>
      </c>
      <c r="AQ45" s="311">
        <v>0</v>
      </c>
      <c r="AR45" s="311">
        <v>0</v>
      </c>
      <c r="AS45" s="311">
        <v>0</v>
      </c>
      <c r="AT45" s="311">
        <v>0</v>
      </c>
      <c r="AU45" s="311">
        <v>0</v>
      </c>
      <c r="AV45" s="311">
        <v>0</v>
      </c>
      <c r="AW45" s="311">
        <v>0</v>
      </c>
      <c r="AX45" s="311">
        <v>0</v>
      </c>
      <c r="AY45" s="312">
        <v>0</v>
      </c>
      <c r="AZ45" s="311">
        <v>0</v>
      </c>
      <c r="BA45" s="311">
        <v>0</v>
      </c>
      <c r="BB45" s="311">
        <v>0</v>
      </c>
      <c r="BC45" s="311">
        <v>0</v>
      </c>
      <c r="BD45" s="311">
        <v>0</v>
      </c>
      <c r="BE45" s="311">
        <v>0</v>
      </c>
      <c r="BF45" s="311">
        <v>0</v>
      </c>
      <c r="BG45" s="311">
        <v>0</v>
      </c>
      <c r="BH45" s="311">
        <v>0</v>
      </c>
      <c r="BI45" s="311">
        <v>0</v>
      </c>
      <c r="BJ45" s="311">
        <v>0</v>
      </c>
      <c r="BK45" s="312">
        <v>0</v>
      </c>
      <c r="BL45" s="313">
        <v>0</v>
      </c>
      <c r="BM45" s="337"/>
      <c r="BN45" s="342"/>
      <c r="BO45" s="343"/>
      <c r="BP45" s="311">
        <v>0</v>
      </c>
      <c r="BQ45" s="311">
        <v>0</v>
      </c>
      <c r="BR45" s="311">
        <v>0</v>
      </c>
      <c r="BS45" s="311">
        <v>0</v>
      </c>
      <c r="BT45" s="311">
        <v>0</v>
      </c>
      <c r="BU45" s="311">
        <v>0</v>
      </c>
      <c r="BV45" s="311">
        <v>0</v>
      </c>
      <c r="BW45" s="314">
        <v>0</v>
      </c>
    </row>
    <row r="46" spans="1:75" ht="17" thickBot="1" x14ac:dyDescent="0.5">
      <c r="A46" s="461" t="s">
        <v>406</v>
      </c>
      <c r="B46" s="535" t="s">
        <v>266</v>
      </c>
      <c r="C46" s="239" t="s">
        <v>403</v>
      </c>
      <c r="D46" s="207">
        <v>1</v>
      </c>
      <c r="E46" s="208">
        <v>3</v>
      </c>
      <c r="F46" s="208">
        <v>2</v>
      </c>
      <c r="G46" s="208">
        <v>1</v>
      </c>
      <c r="H46" s="208">
        <v>0</v>
      </c>
      <c r="I46" s="208">
        <v>1</v>
      </c>
      <c r="J46" s="208">
        <v>3</v>
      </c>
      <c r="K46" s="208">
        <v>0</v>
      </c>
      <c r="L46" s="208">
        <v>1</v>
      </c>
      <c r="M46" s="208">
        <v>0</v>
      </c>
      <c r="N46" s="208">
        <v>0</v>
      </c>
      <c r="O46" s="209">
        <v>3</v>
      </c>
      <c r="P46" s="208">
        <v>4</v>
      </c>
      <c r="Q46" s="208">
        <v>1</v>
      </c>
      <c r="R46" s="208">
        <v>0</v>
      </c>
      <c r="S46" s="208">
        <v>3</v>
      </c>
      <c r="T46" s="208">
        <v>4</v>
      </c>
      <c r="U46" s="208">
        <v>2</v>
      </c>
      <c r="V46" s="208">
        <v>1</v>
      </c>
      <c r="W46" s="208">
        <v>1</v>
      </c>
      <c r="X46" s="208">
        <v>1</v>
      </c>
      <c r="Y46" s="210">
        <v>1</v>
      </c>
      <c r="Z46" s="210">
        <v>0</v>
      </c>
      <c r="AA46" s="211">
        <v>1</v>
      </c>
      <c r="AB46" s="207">
        <v>2</v>
      </c>
      <c r="AC46" s="208">
        <v>1</v>
      </c>
      <c r="AD46" s="208">
        <v>1</v>
      </c>
      <c r="AE46" s="208">
        <v>0</v>
      </c>
      <c r="AF46" s="208">
        <v>2</v>
      </c>
      <c r="AG46" s="208">
        <v>3</v>
      </c>
      <c r="AH46" s="208">
        <v>2</v>
      </c>
      <c r="AI46" s="208">
        <v>0</v>
      </c>
      <c r="AJ46" s="208">
        <v>2</v>
      </c>
      <c r="AK46" s="208">
        <v>0</v>
      </c>
      <c r="AL46" s="208">
        <v>0</v>
      </c>
      <c r="AM46" s="209">
        <v>1</v>
      </c>
      <c r="AN46" s="208">
        <v>3</v>
      </c>
      <c r="AO46" s="208">
        <v>2</v>
      </c>
      <c r="AP46" s="208">
        <v>3</v>
      </c>
      <c r="AQ46" s="208">
        <v>2</v>
      </c>
      <c r="AR46" s="208">
        <v>1</v>
      </c>
      <c r="AS46" s="208">
        <v>0</v>
      </c>
      <c r="AT46" s="208">
        <v>2</v>
      </c>
      <c r="AU46" s="208">
        <v>1</v>
      </c>
      <c r="AV46" s="208">
        <v>0</v>
      </c>
      <c r="AW46" s="210">
        <v>0</v>
      </c>
      <c r="AX46" s="210">
        <v>3</v>
      </c>
      <c r="AY46" s="211">
        <v>3</v>
      </c>
      <c r="AZ46" s="242">
        <v>2</v>
      </c>
      <c r="BA46" s="208">
        <v>1</v>
      </c>
      <c r="BB46" s="208">
        <v>2</v>
      </c>
      <c r="BC46" s="208">
        <v>1</v>
      </c>
      <c r="BD46" s="208">
        <v>4</v>
      </c>
      <c r="BE46" s="208">
        <v>0</v>
      </c>
      <c r="BF46" s="208">
        <v>1</v>
      </c>
      <c r="BG46" s="208">
        <v>0</v>
      </c>
      <c r="BH46" s="208">
        <v>2</v>
      </c>
      <c r="BI46" s="208">
        <v>0</v>
      </c>
      <c r="BJ46" s="208">
        <v>2</v>
      </c>
      <c r="BK46" s="209">
        <v>0</v>
      </c>
      <c r="BL46" s="208">
        <v>0</v>
      </c>
      <c r="BM46" s="208">
        <v>5</v>
      </c>
      <c r="BN46" s="208">
        <v>3</v>
      </c>
      <c r="BO46" s="208">
        <v>1</v>
      </c>
      <c r="BP46" s="208">
        <v>2</v>
      </c>
      <c r="BQ46" s="208">
        <v>1</v>
      </c>
      <c r="BR46" s="208">
        <v>2</v>
      </c>
      <c r="BS46" s="208">
        <v>4</v>
      </c>
      <c r="BT46" s="208">
        <v>4</v>
      </c>
      <c r="BU46" s="210">
        <v>2</v>
      </c>
      <c r="BV46" s="210">
        <v>1</v>
      </c>
      <c r="BW46" s="213">
        <v>2</v>
      </c>
    </row>
    <row r="47" spans="1:75" s="294" customFormat="1" ht="17" thickBot="1" x14ac:dyDescent="0.5">
      <c r="A47" s="462"/>
      <c r="B47" s="535"/>
      <c r="C47" s="280" t="s">
        <v>398</v>
      </c>
      <c r="D47" s="281">
        <v>1</v>
      </c>
      <c r="E47" s="286">
        <v>3</v>
      </c>
      <c r="F47" s="286">
        <v>2</v>
      </c>
      <c r="G47" s="286">
        <v>1</v>
      </c>
      <c r="H47" s="286">
        <v>0</v>
      </c>
      <c r="I47" s="286">
        <v>1</v>
      </c>
      <c r="J47" s="286">
        <v>3</v>
      </c>
      <c r="K47" s="286">
        <v>0</v>
      </c>
      <c r="L47" s="286">
        <v>1</v>
      </c>
      <c r="M47" s="286">
        <v>0</v>
      </c>
      <c r="N47" s="286">
        <v>0</v>
      </c>
      <c r="O47" s="287">
        <v>2</v>
      </c>
      <c r="P47" s="286">
        <v>4</v>
      </c>
      <c r="Q47" s="286">
        <v>1</v>
      </c>
      <c r="R47" s="286">
        <v>0</v>
      </c>
      <c r="S47" s="286">
        <v>3</v>
      </c>
      <c r="T47" s="286">
        <v>3</v>
      </c>
      <c r="U47" s="286">
        <v>2</v>
      </c>
      <c r="V47" s="286">
        <v>1</v>
      </c>
      <c r="W47" s="286">
        <v>1</v>
      </c>
      <c r="X47" s="286">
        <v>1</v>
      </c>
      <c r="Y47" s="288">
        <v>1</v>
      </c>
      <c r="Z47" s="288">
        <v>0</v>
      </c>
      <c r="AA47" s="289">
        <v>1</v>
      </c>
      <c r="AB47" s="281">
        <v>2</v>
      </c>
      <c r="AC47" s="286">
        <v>1</v>
      </c>
      <c r="AD47" s="286">
        <v>1</v>
      </c>
      <c r="AE47" s="286">
        <v>0</v>
      </c>
      <c r="AF47" s="286">
        <v>2</v>
      </c>
      <c r="AG47" s="286">
        <v>3</v>
      </c>
      <c r="AH47" s="286">
        <v>1</v>
      </c>
      <c r="AI47" s="286">
        <v>0</v>
      </c>
      <c r="AJ47" s="286">
        <v>2</v>
      </c>
      <c r="AK47" s="286">
        <v>0</v>
      </c>
      <c r="AL47" s="286">
        <v>0</v>
      </c>
      <c r="AM47" s="287">
        <v>1</v>
      </c>
      <c r="AN47" s="286">
        <v>3</v>
      </c>
      <c r="AO47" s="286">
        <v>1</v>
      </c>
      <c r="AP47" s="286">
        <v>3</v>
      </c>
      <c r="AQ47" s="286">
        <v>2</v>
      </c>
      <c r="AR47" s="286">
        <v>1</v>
      </c>
      <c r="AS47" s="286">
        <v>0</v>
      </c>
      <c r="AT47" s="286">
        <v>2</v>
      </c>
      <c r="AU47" s="286">
        <v>1</v>
      </c>
      <c r="AV47" s="286">
        <v>0</v>
      </c>
      <c r="AW47" s="288">
        <v>0</v>
      </c>
      <c r="AX47" s="288">
        <v>3</v>
      </c>
      <c r="AY47" s="289">
        <v>3</v>
      </c>
      <c r="AZ47" s="291">
        <v>1</v>
      </c>
      <c r="BA47" s="286">
        <v>1</v>
      </c>
      <c r="BB47" s="286">
        <v>1</v>
      </c>
      <c r="BC47" s="286">
        <v>1</v>
      </c>
      <c r="BD47" s="286">
        <v>4</v>
      </c>
      <c r="BE47" s="286">
        <v>0</v>
      </c>
      <c r="BF47" s="286">
        <v>1</v>
      </c>
      <c r="BG47" s="286">
        <v>0</v>
      </c>
      <c r="BH47" s="286">
        <v>2</v>
      </c>
      <c r="BI47" s="286">
        <v>0</v>
      </c>
      <c r="BJ47" s="286">
        <v>2</v>
      </c>
      <c r="BK47" s="287">
        <v>0</v>
      </c>
      <c r="BL47" s="286">
        <v>0</v>
      </c>
      <c r="BM47" s="286">
        <v>4</v>
      </c>
      <c r="BN47" s="286">
        <v>3</v>
      </c>
      <c r="BO47" s="286">
        <v>1</v>
      </c>
      <c r="BP47" s="286">
        <v>1</v>
      </c>
      <c r="BQ47" s="286">
        <v>1</v>
      </c>
      <c r="BR47" s="286">
        <v>2</v>
      </c>
      <c r="BS47" s="286">
        <v>2</v>
      </c>
      <c r="BT47" s="286">
        <v>4</v>
      </c>
      <c r="BU47" s="288">
        <v>2</v>
      </c>
      <c r="BV47" s="288">
        <v>0</v>
      </c>
      <c r="BW47" s="293">
        <v>2</v>
      </c>
    </row>
    <row r="48" spans="1:75" s="294" customFormat="1" ht="17" thickBot="1" x14ac:dyDescent="0.5">
      <c r="A48" s="462"/>
      <c r="B48" s="535"/>
      <c r="C48" s="280" t="s">
        <v>404</v>
      </c>
      <c r="D48" s="282">
        <v>0</v>
      </c>
      <c r="E48" s="295">
        <v>0</v>
      </c>
      <c r="F48" s="295">
        <v>0</v>
      </c>
      <c r="G48" s="295">
        <v>0</v>
      </c>
      <c r="H48" s="295">
        <v>0</v>
      </c>
      <c r="I48" s="295">
        <v>0</v>
      </c>
      <c r="J48" s="295">
        <v>1</v>
      </c>
      <c r="K48" s="295">
        <v>0</v>
      </c>
      <c r="L48" s="295">
        <v>0</v>
      </c>
      <c r="M48" s="295">
        <v>0</v>
      </c>
      <c r="N48" s="295">
        <v>0</v>
      </c>
      <c r="O48" s="296">
        <v>0</v>
      </c>
      <c r="P48" s="295">
        <v>0</v>
      </c>
      <c r="Q48" s="295">
        <v>1</v>
      </c>
      <c r="R48" s="295">
        <v>0</v>
      </c>
      <c r="S48" s="295">
        <v>0</v>
      </c>
      <c r="T48" s="295">
        <v>1</v>
      </c>
      <c r="U48" s="295">
        <v>0</v>
      </c>
      <c r="V48" s="295">
        <v>0</v>
      </c>
      <c r="W48" s="295">
        <v>0</v>
      </c>
      <c r="X48" s="295">
        <v>0</v>
      </c>
      <c r="Y48" s="297">
        <v>0</v>
      </c>
      <c r="Z48" s="297">
        <v>0</v>
      </c>
      <c r="AA48" s="298">
        <v>0</v>
      </c>
      <c r="AB48" s="282">
        <v>0</v>
      </c>
      <c r="AC48" s="295">
        <v>0</v>
      </c>
      <c r="AD48" s="295">
        <v>0</v>
      </c>
      <c r="AE48" s="295">
        <v>0</v>
      </c>
      <c r="AF48" s="295">
        <v>0</v>
      </c>
      <c r="AG48" s="295">
        <v>0</v>
      </c>
      <c r="AH48" s="295">
        <v>1</v>
      </c>
      <c r="AI48" s="295">
        <v>0</v>
      </c>
      <c r="AJ48" s="295">
        <v>0</v>
      </c>
      <c r="AK48" s="295">
        <v>0</v>
      </c>
      <c r="AL48" s="295">
        <v>0</v>
      </c>
      <c r="AM48" s="296">
        <v>0</v>
      </c>
      <c r="AN48" s="295">
        <v>0</v>
      </c>
      <c r="AO48" s="295">
        <v>0</v>
      </c>
      <c r="AP48" s="295">
        <v>0</v>
      </c>
      <c r="AQ48" s="295">
        <v>1</v>
      </c>
      <c r="AR48" s="295">
        <v>0</v>
      </c>
      <c r="AS48" s="295">
        <v>0</v>
      </c>
      <c r="AT48" s="295">
        <v>1</v>
      </c>
      <c r="AU48" s="295">
        <v>0</v>
      </c>
      <c r="AV48" s="295">
        <v>0</v>
      </c>
      <c r="AW48" s="297">
        <v>0</v>
      </c>
      <c r="AX48" s="297">
        <v>0</v>
      </c>
      <c r="AY48" s="298">
        <v>0</v>
      </c>
      <c r="AZ48" s="300">
        <v>0</v>
      </c>
      <c r="BA48" s="295">
        <v>0</v>
      </c>
      <c r="BB48" s="295">
        <v>0</v>
      </c>
      <c r="BC48" s="295">
        <v>0</v>
      </c>
      <c r="BD48" s="295">
        <v>1</v>
      </c>
      <c r="BE48" s="295">
        <v>0</v>
      </c>
      <c r="BF48" s="295">
        <v>0</v>
      </c>
      <c r="BG48" s="295">
        <v>0</v>
      </c>
      <c r="BH48" s="295">
        <v>0</v>
      </c>
      <c r="BI48" s="295">
        <v>0</v>
      </c>
      <c r="BJ48" s="295">
        <v>0</v>
      </c>
      <c r="BK48" s="296">
        <v>0</v>
      </c>
      <c r="BL48" s="295">
        <v>0</v>
      </c>
      <c r="BM48" s="295">
        <v>0</v>
      </c>
      <c r="BN48" s="295">
        <v>1</v>
      </c>
      <c r="BO48" s="295">
        <v>1</v>
      </c>
      <c r="BP48" s="295">
        <v>0</v>
      </c>
      <c r="BQ48" s="295">
        <v>0</v>
      </c>
      <c r="BR48" s="295">
        <v>1</v>
      </c>
      <c r="BS48" s="295">
        <v>0</v>
      </c>
      <c r="BT48" s="295">
        <v>2</v>
      </c>
      <c r="BU48" s="297">
        <v>0</v>
      </c>
      <c r="BV48" s="297">
        <v>0</v>
      </c>
      <c r="BW48" s="302">
        <v>0</v>
      </c>
    </row>
    <row r="49" spans="1:75" s="294" customFormat="1" ht="17" thickBot="1" x14ac:dyDescent="0.35">
      <c r="A49" s="462"/>
      <c r="B49" s="535"/>
      <c r="C49" s="280" t="s">
        <v>399</v>
      </c>
      <c r="D49" s="283">
        <v>1</v>
      </c>
      <c r="E49" s="303">
        <v>3</v>
      </c>
      <c r="F49" s="303">
        <v>2</v>
      </c>
      <c r="G49" s="303">
        <v>1</v>
      </c>
      <c r="H49" s="303">
        <v>0</v>
      </c>
      <c r="I49" s="303">
        <v>1</v>
      </c>
      <c r="J49" s="303">
        <v>3</v>
      </c>
      <c r="K49" s="303">
        <v>0</v>
      </c>
      <c r="L49" s="303">
        <v>1</v>
      </c>
      <c r="M49" s="303">
        <v>0</v>
      </c>
      <c r="N49" s="303">
        <v>0</v>
      </c>
      <c r="O49" s="304">
        <v>2</v>
      </c>
      <c r="P49" s="303">
        <v>4</v>
      </c>
      <c r="Q49" s="303">
        <v>1</v>
      </c>
      <c r="R49" s="303">
        <v>0</v>
      </c>
      <c r="S49" s="303">
        <v>3</v>
      </c>
      <c r="T49" s="303">
        <v>3</v>
      </c>
      <c r="U49" s="303">
        <v>2</v>
      </c>
      <c r="V49" s="303">
        <v>1</v>
      </c>
      <c r="W49" s="303">
        <v>1</v>
      </c>
      <c r="X49" s="303">
        <v>1</v>
      </c>
      <c r="Y49" s="303">
        <v>1</v>
      </c>
      <c r="Z49" s="303">
        <v>0</v>
      </c>
      <c r="AA49" s="304">
        <v>1</v>
      </c>
      <c r="AB49" s="283">
        <v>2</v>
      </c>
      <c r="AC49" s="303">
        <v>1</v>
      </c>
      <c r="AD49" s="303">
        <v>1</v>
      </c>
      <c r="AE49" s="303">
        <v>0</v>
      </c>
      <c r="AF49" s="303">
        <v>2</v>
      </c>
      <c r="AG49" s="303">
        <v>3</v>
      </c>
      <c r="AH49" s="303">
        <v>1</v>
      </c>
      <c r="AI49" s="303">
        <v>0</v>
      </c>
      <c r="AJ49" s="303">
        <v>2</v>
      </c>
      <c r="AK49" s="303">
        <v>0</v>
      </c>
      <c r="AL49" s="303">
        <v>0</v>
      </c>
      <c r="AM49" s="304">
        <v>1</v>
      </c>
      <c r="AN49" s="303">
        <v>3</v>
      </c>
      <c r="AO49" s="303">
        <v>1</v>
      </c>
      <c r="AP49" s="303">
        <v>3</v>
      </c>
      <c r="AQ49" s="303">
        <v>2</v>
      </c>
      <c r="AR49" s="303">
        <v>1</v>
      </c>
      <c r="AS49" s="303">
        <v>0</v>
      </c>
      <c r="AT49" s="303">
        <v>2</v>
      </c>
      <c r="AU49" s="303">
        <v>1</v>
      </c>
      <c r="AV49" s="303">
        <v>0</v>
      </c>
      <c r="AW49" s="303">
        <v>0</v>
      </c>
      <c r="AX49" s="303">
        <v>3</v>
      </c>
      <c r="AY49" s="304">
        <v>3</v>
      </c>
      <c r="AZ49" s="305">
        <v>1</v>
      </c>
      <c r="BA49" s="303">
        <v>1</v>
      </c>
      <c r="BB49" s="303">
        <v>1</v>
      </c>
      <c r="BC49" s="303">
        <v>1</v>
      </c>
      <c r="BD49" s="303">
        <v>4</v>
      </c>
      <c r="BE49" s="303">
        <v>0</v>
      </c>
      <c r="BF49" s="303">
        <v>1</v>
      </c>
      <c r="BG49" s="303">
        <v>0</v>
      </c>
      <c r="BH49" s="303">
        <v>2</v>
      </c>
      <c r="BI49" s="303">
        <v>0</v>
      </c>
      <c r="BJ49" s="303">
        <v>2</v>
      </c>
      <c r="BK49" s="304">
        <v>0</v>
      </c>
      <c r="BL49" s="303">
        <v>0</v>
      </c>
      <c r="BM49" s="303">
        <v>4</v>
      </c>
      <c r="BN49" s="303">
        <v>3</v>
      </c>
      <c r="BO49" s="303">
        <v>1</v>
      </c>
      <c r="BP49" s="303">
        <v>1</v>
      </c>
      <c r="BQ49" s="303">
        <v>1</v>
      </c>
      <c r="BR49" s="303">
        <v>2</v>
      </c>
      <c r="BS49" s="303">
        <v>2</v>
      </c>
      <c r="BT49" s="303">
        <v>4</v>
      </c>
      <c r="BU49" s="303">
        <v>2</v>
      </c>
      <c r="BV49" s="303">
        <v>0</v>
      </c>
      <c r="BW49" s="306">
        <v>2</v>
      </c>
    </row>
    <row r="50" spans="1:75" s="294" customFormat="1" ht="17" thickBot="1" x14ac:dyDescent="0.35">
      <c r="A50" s="462"/>
      <c r="B50" s="535"/>
      <c r="C50" s="280" t="s">
        <v>400</v>
      </c>
      <c r="D50" s="284">
        <v>1</v>
      </c>
      <c r="E50" s="307">
        <v>3</v>
      </c>
      <c r="F50" s="307">
        <v>2</v>
      </c>
      <c r="G50" s="307">
        <v>1</v>
      </c>
      <c r="H50" s="307">
        <v>0</v>
      </c>
      <c r="I50" s="307">
        <v>0</v>
      </c>
      <c r="J50" s="307">
        <v>1</v>
      </c>
      <c r="K50" s="307">
        <v>0</v>
      </c>
      <c r="L50" s="307">
        <v>1</v>
      </c>
      <c r="M50" s="307">
        <v>0</v>
      </c>
      <c r="N50" s="307">
        <v>0</v>
      </c>
      <c r="O50" s="308">
        <v>3</v>
      </c>
      <c r="P50" s="307">
        <v>3</v>
      </c>
      <c r="Q50" s="307">
        <v>0</v>
      </c>
      <c r="R50" s="307">
        <v>0</v>
      </c>
      <c r="S50" s="307">
        <v>3</v>
      </c>
      <c r="T50" s="307">
        <v>3</v>
      </c>
      <c r="U50" s="307">
        <v>2</v>
      </c>
      <c r="V50" s="307">
        <v>1</v>
      </c>
      <c r="W50" s="307">
        <v>1</v>
      </c>
      <c r="X50" s="307">
        <v>1</v>
      </c>
      <c r="Y50" s="307">
        <v>1</v>
      </c>
      <c r="Z50" s="307">
        <v>0</v>
      </c>
      <c r="AA50" s="308">
        <v>1</v>
      </c>
      <c r="AB50" s="284">
        <v>2</v>
      </c>
      <c r="AC50" s="307">
        <v>1</v>
      </c>
      <c r="AD50" s="307">
        <v>1</v>
      </c>
      <c r="AE50" s="307">
        <v>0</v>
      </c>
      <c r="AF50" s="307">
        <v>2</v>
      </c>
      <c r="AG50" s="307">
        <v>3</v>
      </c>
      <c r="AH50" s="307">
        <v>1</v>
      </c>
      <c r="AI50" s="307">
        <v>0</v>
      </c>
      <c r="AJ50" s="307">
        <v>2</v>
      </c>
      <c r="AK50" s="307">
        <v>0</v>
      </c>
      <c r="AL50" s="307">
        <v>0</v>
      </c>
      <c r="AM50" s="308">
        <v>1</v>
      </c>
      <c r="AN50" s="307">
        <v>3</v>
      </c>
      <c r="AO50" s="307">
        <v>2</v>
      </c>
      <c r="AP50" s="307">
        <v>3</v>
      </c>
      <c r="AQ50" s="307">
        <v>1</v>
      </c>
      <c r="AR50" s="307">
        <v>1</v>
      </c>
      <c r="AS50" s="307">
        <v>0</v>
      </c>
      <c r="AT50" s="307">
        <v>1</v>
      </c>
      <c r="AU50" s="307">
        <v>0</v>
      </c>
      <c r="AV50" s="307">
        <v>0</v>
      </c>
      <c r="AW50" s="307">
        <v>0</v>
      </c>
      <c r="AX50" s="307">
        <v>2</v>
      </c>
      <c r="AY50" s="308">
        <v>3</v>
      </c>
      <c r="AZ50" s="309">
        <v>2</v>
      </c>
      <c r="BA50" s="307">
        <v>1</v>
      </c>
      <c r="BB50" s="307">
        <v>2</v>
      </c>
      <c r="BC50" s="307">
        <v>1</v>
      </c>
      <c r="BD50" s="307">
        <v>3</v>
      </c>
      <c r="BE50" s="307">
        <v>0</v>
      </c>
      <c r="BF50" s="307">
        <v>1</v>
      </c>
      <c r="BG50" s="307">
        <v>0</v>
      </c>
      <c r="BH50" s="307">
        <v>1</v>
      </c>
      <c r="BI50" s="307">
        <v>0</v>
      </c>
      <c r="BJ50" s="307">
        <v>2</v>
      </c>
      <c r="BK50" s="308">
        <v>0</v>
      </c>
      <c r="BL50" s="307">
        <v>0</v>
      </c>
      <c r="BM50" s="307">
        <v>5</v>
      </c>
      <c r="BN50" s="307">
        <v>2</v>
      </c>
      <c r="BO50" s="307">
        <v>0</v>
      </c>
      <c r="BP50" s="307">
        <v>2</v>
      </c>
      <c r="BQ50" s="307">
        <v>1</v>
      </c>
      <c r="BR50" s="307">
        <v>1</v>
      </c>
      <c r="BS50" s="307">
        <v>4</v>
      </c>
      <c r="BT50" s="307">
        <v>2</v>
      </c>
      <c r="BU50" s="307">
        <v>1</v>
      </c>
      <c r="BV50" s="307">
        <v>1</v>
      </c>
      <c r="BW50" s="310">
        <v>2</v>
      </c>
    </row>
    <row r="51" spans="1:75" s="294" customFormat="1" ht="17" thickBot="1" x14ac:dyDescent="0.35">
      <c r="A51" s="462"/>
      <c r="B51" s="536"/>
      <c r="C51" s="280" t="s">
        <v>401</v>
      </c>
      <c r="D51" s="285">
        <v>1</v>
      </c>
      <c r="E51" s="311">
        <v>3</v>
      </c>
      <c r="F51" s="311">
        <v>2</v>
      </c>
      <c r="G51" s="311">
        <v>1</v>
      </c>
      <c r="H51" s="311">
        <v>0</v>
      </c>
      <c r="I51" s="311">
        <v>0</v>
      </c>
      <c r="J51" s="311">
        <v>1</v>
      </c>
      <c r="K51" s="311">
        <v>0</v>
      </c>
      <c r="L51" s="311">
        <v>1</v>
      </c>
      <c r="M51" s="311">
        <v>0</v>
      </c>
      <c r="N51" s="311">
        <v>0</v>
      </c>
      <c r="O51" s="312">
        <v>3</v>
      </c>
      <c r="P51" s="311">
        <v>3</v>
      </c>
      <c r="Q51" s="311">
        <v>0</v>
      </c>
      <c r="R51" s="311">
        <v>0</v>
      </c>
      <c r="S51" s="311">
        <v>3</v>
      </c>
      <c r="T51" s="311">
        <v>3</v>
      </c>
      <c r="U51" s="311">
        <v>2</v>
      </c>
      <c r="V51" s="311">
        <v>1</v>
      </c>
      <c r="W51" s="311">
        <v>1</v>
      </c>
      <c r="X51" s="311">
        <v>1</v>
      </c>
      <c r="Y51" s="311">
        <v>1</v>
      </c>
      <c r="Z51" s="311">
        <v>0</v>
      </c>
      <c r="AA51" s="312">
        <v>1</v>
      </c>
      <c r="AB51" s="285">
        <v>2</v>
      </c>
      <c r="AC51" s="311">
        <v>1</v>
      </c>
      <c r="AD51" s="311">
        <v>1</v>
      </c>
      <c r="AE51" s="311">
        <v>0</v>
      </c>
      <c r="AF51" s="311">
        <v>2</v>
      </c>
      <c r="AG51" s="311">
        <v>3</v>
      </c>
      <c r="AH51" s="311">
        <v>1</v>
      </c>
      <c r="AI51" s="311">
        <v>0</v>
      </c>
      <c r="AJ51" s="311">
        <v>2</v>
      </c>
      <c r="AK51" s="311">
        <v>0</v>
      </c>
      <c r="AL51" s="311">
        <v>0</v>
      </c>
      <c r="AM51" s="312">
        <v>1</v>
      </c>
      <c r="AN51" s="311">
        <v>3</v>
      </c>
      <c r="AO51" s="311">
        <v>2</v>
      </c>
      <c r="AP51" s="311">
        <v>3</v>
      </c>
      <c r="AQ51" s="311">
        <v>1</v>
      </c>
      <c r="AR51" s="311">
        <v>1</v>
      </c>
      <c r="AS51" s="311">
        <v>0</v>
      </c>
      <c r="AT51" s="311">
        <v>1</v>
      </c>
      <c r="AU51" s="311">
        <v>0</v>
      </c>
      <c r="AV51" s="311">
        <v>0</v>
      </c>
      <c r="AW51" s="311">
        <v>0</v>
      </c>
      <c r="AX51" s="311">
        <v>2</v>
      </c>
      <c r="AY51" s="312">
        <v>3</v>
      </c>
      <c r="AZ51" s="313">
        <v>2</v>
      </c>
      <c r="BA51" s="311">
        <v>1</v>
      </c>
      <c r="BB51" s="311">
        <v>2</v>
      </c>
      <c r="BC51" s="311">
        <v>1</v>
      </c>
      <c r="BD51" s="311">
        <v>3</v>
      </c>
      <c r="BE51" s="311">
        <v>0</v>
      </c>
      <c r="BF51" s="311">
        <v>1</v>
      </c>
      <c r="BG51" s="311">
        <v>0</v>
      </c>
      <c r="BH51" s="311">
        <v>1</v>
      </c>
      <c r="BI51" s="311">
        <v>0</v>
      </c>
      <c r="BJ51" s="311">
        <v>2</v>
      </c>
      <c r="BK51" s="312">
        <v>0</v>
      </c>
      <c r="BL51" s="311">
        <v>0</v>
      </c>
      <c r="BM51" s="311">
        <v>5</v>
      </c>
      <c r="BN51" s="311">
        <v>2</v>
      </c>
      <c r="BO51" s="311">
        <v>0</v>
      </c>
      <c r="BP51" s="311">
        <v>2</v>
      </c>
      <c r="BQ51" s="311">
        <v>1</v>
      </c>
      <c r="BR51" s="311">
        <v>1</v>
      </c>
      <c r="BS51" s="311">
        <v>4</v>
      </c>
      <c r="BT51" s="311">
        <v>2</v>
      </c>
      <c r="BU51" s="311">
        <v>1</v>
      </c>
      <c r="BV51" s="311">
        <v>1</v>
      </c>
      <c r="BW51" s="314">
        <v>2</v>
      </c>
    </row>
    <row r="52" spans="1:75" ht="17" thickBot="1" x14ac:dyDescent="0.5">
      <c r="A52" s="462"/>
      <c r="B52" s="535" t="s">
        <v>205</v>
      </c>
      <c r="C52" s="239" t="s">
        <v>403</v>
      </c>
      <c r="D52" s="207">
        <v>7</v>
      </c>
      <c r="E52" s="208">
        <v>3</v>
      </c>
      <c r="F52" s="208">
        <v>7</v>
      </c>
      <c r="G52" s="208">
        <v>2</v>
      </c>
      <c r="H52" s="208">
        <v>5</v>
      </c>
      <c r="I52" s="208">
        <v>4</v>
      </c>
      <c r="J52" s="208">
        <v>4</v>
      </c>
      <c r="K52" s="208">
        <v>8</v>
      </c>
      <c r="L52" s="208">
        <v>8</v>
      </c>
      <c r="M52" s="208">
        <v>5</v>
      </c>
      <c r="N52" s="208">
        <v>6</v>
      </c>
      <c r="O52" s="209">
        <v>6</v>
      </c>
      <c r="P52" s="208">
        <v>7</v>
      </c>
      <c r="Q52" s="208">
        <v>4</v>
      </c>
      <c r="R52" s="208">
        <v>0</v>
      </c>
      <c r="S52" s="208">
        <v>1</v>
      </c>
      <c r="T52" s="208">
        <v>9</v>
      </c>
      <c r="U52" s="208">
        <v>5</v>
      </c>
      <c r="V52" s="208">
        <v>5</v>
      </c>
      <c r="W52" s="208">
        <v>5</v>
      </c>
      <c r="X52" s="208">
        <v>6</v>
      </c>
      <c r="Y52" s="210">
        <v>6</v>
      </c>
      <c r="Z52" s="210">
        <v>10</v>
      </c>
      <c r="AA52" s="211">
        <v>15</v>
      </c>
      <c r="AB52" s="207">
        <v>12</v>
      </c>
      <c r="AC52" s="208">
        <v>4</v>
      </c>
      <c r="AD52" s="208">
        <v>6</v>
      </c>
      <c r="AE52" s="208">
        <v>9</v>
      </c>
      <c r="AF52" s="208">
        <v>5</v>
      </c>
      <c r="AG52" s="208">
        <v>10</v>
      </c>
      <c r="AH52" s="208">
        <v>7</v>
      </c>
      <c r="AI52" s="208">
        <v>9</v>
      </c>
      <c r="AJ52" s="208">
        <v>8</v>
      </c>
      <c r="AK52" s="208">
        <v>15</v>
      </c>
      <c r="AL52" s="208">
        <v>7</v>
      </c>
      <c r="AM52" s="209">
        <v>8</v>
      </c>
      <c r="AN52" s="208">
        <v>6</v>
      </c>
      <c r="AO52" s="208">
        <v>4</v>
      </c>
      <c r="AP52" s="208">
        <v>10</v>
      </c>
      <c r="AQ52" s="208">
        <v>12</v>
      </c>
      <c r="AR52" s="208">
        <v>4</v>
      </c>
      <c r="AS52" s="208">
        <v>8</v>
      </c>
      <c r="AT52" s="208">
        <v>12</v>
      </c>
      <c r="AU52" s="208">
        <v>6</v>
      </c>
      <c r="AV52" s="208">
        <v>7</v>
      </c>
      <c r="AW52" s="210">
        <v>13</v>
      </c>
      <c r="AX52" s="210">
        <v>8</v>
      </c>
      <c r="AY52" s="211">
        <v>9</v>
      </c>
      <c r="AZ52" s="242">
        <v>9</v>
      </c>
      <c r="BA52" s="208">
        <v>4</v>
      </c>
      <c r="BB52" s="208">
        <v>4</v>
      </c>
      <c r="BC52" s="208">
        <v>6</v>
      </c>
      <c r="BD52" s="208">
        <v>3</v>
      </c>
      <c r="BE52" s="208">
        <v>7</v>
      </c>
      <c r="BF52" s="208">
        <v>4</v>
      </c>
      <c r="BG52" s="208">
        <v>3</v>
      </c>
      <c r="BH52" s="208">
        <v>7</v>
      </c>
      <c r="BI52" s="208">
        <v>5</v>
      </c>
      <c r="BJ52" s="208">
        <v>7</v>
      </c>
      <c r="BK52" s="209">
        <v>6</v>
      </c>
      <c r="BL52" s="208">
        <v>6</v>
      </c>
      <c r="BM52" s="208">
        <v>2</v>
      </c>
      <c r="BN52" s="208">
        <v>6</v>
      </c>
      <c r="BO52" s="208">
        <v>6</v>
      </c>
      <c r="BP52" s="208">
        <v>9</v>
      </c>
      <c r="BQ52" s="208">
        <v>9</v>
      </c>
      <c r="BR52" s="208">
        <v>9</v>
      </c>
      <c r="BS52" s="208">
        <v>2</v>
      </c>
      <c r="BT52" s="208">
        <v>1</v>
      </c>
      <c r="BU52" s="210">
        <v>8</v>
      </c>
      <c r="BV52" s="210">
        <v>2</v>
      </c>
      <c r="BW52" s="213">
        <v>4</v>
      </c>
    </row>
    <row r="53" spans="1:75" s="294" customFormat="1" ht="17" thickBot="1" x14ac:dyDescent="0.5">
      <c r="A53" s="462"/>
      <c r="B53" s="535"/>
      <c r="C53" s="280" t="s">
        <v>398</v>
      </c>
      <c r="D53" s="281">
        <v>6</v>
      </c>
      <c r="E53" s="286">
        <v>2</v>
      </c>
      <c r="F53" s="286">
        <v>7</v>
      </c>
      <c r="G53" s="286">
        <v>2</v>
      </c>
      <c r="H53" s="286">
        <v>5</v>
      </c>
      <c r="I53" s="286">
        <v>3</v>
      </c>
      <c r="J53" s="286">
        <v>3</v>
      </c>
      <c r="K53" s="286">
        <v>8</v>
      </c>
      <c r="L53" s="286">
        <v>7</v>
      </c>
      <c r="M53" s="286">
        <v>4</v>
      </c>
      <c r="N53" s="286">
        <v>6</v>
      </c>
      <c r="O53" s="287">
        <v>6</v>
      </c>
      <c r="P53" s="286">
        <v>7</v>
      </c>
      <c r="Q53" s="286">
        <v>3</v>
      </c>
      <c r="R53" s="286">
        <v>0</v>
      </c>
      <c r="S53" s="286">
        <v>1</v>
      </c>
      <c r="T53" s="286">
        <v>8</v>
      </c>
      <c r="U53" s="286">
        <v>5</v>
      </c>
      <c r="V53" s="286">
        <v>5</v>
      </c>
      <c r="W53" s="286">
        <v>3</v>
      </c>
      <c r="X53" s="286">
        <v>5</v>
      </c>
      <c r="Y53" s="288">
        <v>5</v>
      </c>
      <c r="Z53" s="288">
        <v>9</v>
      </c>
      <c r="AA53" s="289">
        <v>15</v>
      </c>
      <c r="AB53" s="281">
        <v>10</v>
      </c>
      <c r="AC53" s="286">
        <v>4</v>
      </c>
      <c r="AD53" s="286">
        <v>6</v>
      </c>
      <c r="AE53" s="286">
        <v>9</v>
      </c>
      <c r="AF53" s="286">
        <v>4</v>
      </c>
      <c r="AG53" s="286">
        <v>10</v>
      </c>
      <c r="AH53" s="286">
        <v>7</v>
      </c>
      <c r="AI53" s="286">
        <v>8</v>
      </c>
      <c r="AJ53" s="286">
        <v>8</v>
      </c>
      <c r="AK53" s="286">
        <v>14</v>
      </c>
      <c r="AL53" s="286">
        <v>6</v>
      </c>
      <c r="AM53" s="287">
        <v>8</v>
      </c>
      <c r="AN53" s="286">
        <v>6</v>
      </c>
      <c r="AO53" s="286">
        <v>4</v>
      </c>
      <c r="AP53" s="286">
        <v>10</v>
      </c>
      <c r="AQ53" s="286">
        <v>10</v>
      </c>
      <c r="AR53" s="286">
        <v>4</v>
      </c>
      <c r="AS53" s="286">
        <v>8</v>
      </c>
      <c r="AT53" s="286">
        <v>11</v>
      </c>
      <c r="AU53" s="286">
        <v>6</v>
      </c>
      <c r="AV53" s="286">
        <v>4</v>
      </c>
      <c r="AW53" s="288">
        <v>10</v>
      </c>
      <c r="AX53" s="288">
        <v>7</v>
      </c>
      <c r="AY53" s="289">
        <v>7</v>
      </c>
      <c r="AZ53" s="291">
        <v>9</v>
      </c>
      <c r="BA53" s="286">
        <v>3</v>
      </c>
      <c r="BB53" s="286">
        <v>2</v>
      </c>
      <c r="BC53" s="286">
        <v>5</v>
      </c>
      <c r="BD53" s="286">
        <v>2</v>
      </c>
      <c r="BE53" s="286">
        <v>6</v>
      </c>
      <c r="BF53" s="286">
        <v>4</v>
      </c>
      <c r="BG53" s="286">
        <v>2</v>
      </c>
      <c r="BH53" s="286">
        <v>6</v>
      </c>
      <c r="BI53" s="286">
        <v>5</v>
      </c>
      <c r="BJ53" s="286">
        <v>5</v>
      </c>
      <c r="BK53" s="287">
        <v>5</v>
      </c>
      <c r="BL53" s="286">
        <v>5</v>
      </c>
      <c r="BM53" s="286">
        <v>1</v>
      </c>
      <c r="BN53" s="286">
        <v>5</v>
      </c>
      <c r="BO53" s="286">
        <v>6</v>
      </c>
      <c r="BP53" s="286">
        <v>8</v>
      </c>
      <c r="BQ53" s="286">
        <v>8</v>
      </c>
      <c r="BR53" s="286">
        <v>8</v>
      </c>
      <c r="BS53" s="286">
        <v>2</v>
      </c>
      <c r="BT53" s="286">
        <v>0</v>
      </c>
      <c r="BU53" s="288">
        <v>7</v>
      </c>
      <c r="BV53" s="288">
        <v>2</v>
      </c>
      <c r="BW53" s="293">
        <v>4</v>
      </c>
    </row>
    <row r="54" spans="1:75" s="294" customFormat="1" ht="17" thickBot="1" x14ac:dyDescent="0.5">
      <c r="A54" s="462"/>
      <c r="B54" s="535"/>
      <c r="C54" s="280" t="s">
        <v>404</v>
      </c>
      <c r="D54" s="282">
        <v>2</v>
      </c>
      <c r="E54" s="295">
        <v>2</v>
      </c>
      <c r="F54" s="295">
        <v>5</v>
      </c>
      <c r="G54" s="295">
        <v>0</v>
      </c>
      <c r="H54" s="295">
        <v>3</v>
      </c>
      <c r="I54" s="295">
        <v>2</v>
      </c>
      <c r="J54" s="295">
        <v>1</v>
      </c>
      <c r="K54" s="295">
        <v>2</v>
      </c>
      <c r="L54" s="295">
        <v>5</v>
      </c>
      <c r="M54" s="295">
        <v>1</v>
      </c>
      <c r="N54" s="295">
        <v>5</v>
      </c>
      <c r="O54" s="296">
        <v>3</v>
      </c>
      <c r="P54" s="295">
        <v>5</v>
      </c>
      <c r="Q54" s="295">
        <v>0</v>
      </c>
      <c r="R54" s="295">
        <v>0</v>
      </c>
      <c r="S54" s="295">
        <v>1</v>
      </c>
      <c r="T54" s="295">
        <v>5</v>
      </c>
      <c r="U54" s="295">
        <v>3</v>
      </c>
      <c r="V54" s="295">
        <v>1</v>
      </c>
      <c r="W54" s="295">
        <v>1</v>
      </c>
      <c r="X54" s="295">
        <v>1</v>
      </c>
      <c r="Y54" s="297">
        <v>3</v>
      </c>
      <c r="Z54" s="297">
        <v>6</v>
      </c>
      <c r="AA54" s="298">
        <v>9</v>
      </c>
      <c r="AB54" s="282">
        <v>6</v>
      </c>
      <c r="AC54" s="295">
        <v>2</v>
      </c>
      <c r="AD54" s="295">
        <v>3</v>
      </c>
      <c r="AE54" s="295">
        <v>5</v>
      </c>
      <c r="AF54" s="295">
        <v>0</v>
      </c>
      <c r="AG54" s="295">
        <v>3</v>
      </c>
      <c r="AH54" s="295">
        <v>3</v>
      </c>
      <c r="AI54" s="295">
        <v>5</v>
      </c>
      <c r="AJ54" s="295">
        <v>6</v>
      </c>
      <c r="AK54" s="295">
        <v>4</v>
      </c>
      <c r="AL54" s="295">
        <v>4</v>
      </c>
      <c r="AM54" s="296">
        <v>4</v>
      </c>
      <c r="AN54" s="295">
        <v>5</v>
      </c>
      <c r="AO54" s="295">
        <v>2</v>
      </c>
      <c r="AP54" s="295">
        <v>6</v>
      </c>
      <c r="AQ54" s="295">
        <v>8</v>
      </c>
      <c r="AR54" s="295">
        <v>3</v>
      </c>
      <c r="AS54" s="295">
        <v>2</v>
      </c>
      <c r="AT54" s="295">
        <v>4</v>
      </c>
      <c r="AU54" s="295">
        <v>1</v>
      </c>
      <c r="AV54" s="295">
        <v>1</v>
      </c>
      <c r="AW54" s="297">
        <v>7</v>
      </c>
      <c r="AX54" s="297">
        <v>3</v>
      </c>
      <c r="AY54" s="298">
        <v>4</v>
      </c>
      <c r="AZ54" s="300">
        <v>5</v>
      </c>
      <c r="BA54" s="295">
        <v>2</v>
      </c>
      <c r="BB54" s="295">
        <v>1</v>
      </c>
      <c r="BC54" s="295">
        <v>1</v>
      </c>
      <c r="BD54" s="295">
        <v>2</v>
      </c>
      <c r="BE54" s="295">
        <v>2</v>
      </c>
      <c r="BF54" s="295">
        <v>1</v>
      </c>
      <c r="BG54" s="295">
        <v>1</v>
      </c>
      <c r="BH54" s="295">
        <v>3</v>
      </c>
      <c r="BI54" s="295">
        <v>2</v>
      </c>
      <c r="BJ54" s="295">
        <v>3</v>
      </c>
      <c r="BK54" s="296">
        <v>4</v>
      </c>
      <c r="BL54" s="295">
        <v>2</v>
      </c>
      <c r="BM54" s="295">
        <v>1</v>
      </c>
      <c r="BN54" s="295">
        <v>0</v>
      </c>
      <c r="BO54" s="295">
        <v>3</v>
      </c>
      <c r="BP54" s="295">
        <v>7</v>
      </c>
      <c r="BQ54" s="295">
        <v>4</v>
      </c>
      <c r="BR54" s="295">
        <v>4</v>
      </c>
      <c r="BS54" s="295">
        <v>0</v>
      </c>
      <c r="BT54" s="295">
        <v>0</v>
      </c>
      <c r="BU54" s="297">
        <v>4</v>
      </c>
      <c r="BV54" s="297">
        <v>2</v>
      </c>
      <c r="BW54" s="302">
        <v>3</v>
      </c>
    </row>
    <row r="55" spans="1:75" s="294" customFormat="1" ht="17" thickBot="1" x14ac:dyDescent="0.35">
      <c r="A55" s="462"/>
      <c r="B55" s="535"/>
      <c r="C55" s="280" t="s">
        <v>399</v>
      </c>
      <c r="D55" s="283">
        <v>6</v>
      </c>
      <c r="E55" s="303">
        <v>2</v>
      </c>
      <c r="F55" s="303">
        <v>7</v>
      </c>
      <c r="G55" s="303">
        <v>2</v>
      </c>
      <c r="H55" s="303">
        <v>5</v>
      </c>
      <c r="I55" s="303">
        <v>3</v>
      </c>
      <c r="J55" s="303">
        <v>3</v>
      </c>
      <c r="K55" s="303">
        <v>8</v>
      </c>
      <c r="L55" s="303">
        <v>7</v>
      </c>
      <c r="M55" s="303">
        <v>4</v>
      </c>
      <c r="N55" s="303">
        <v>6</v>
      </c>
      <c r="O55" s="304">
        <v>6</v>
      </c>
      <c r="P55" s="303">
        <v>7</v>
      </c>
      <c r="Q55" s="303">
        <v>3</v>
      </c>
      <c r="R55" s="303">
        <v>0</v>
      </c>
      <c r="S55" s="303">
        <v>1</v>
      </c>
      <c r="T55" s="303">
        <v>8</v>
      </c>
      <c r="U55" s="303">
        <v>5</v>
      </c>
      <c r="V55" s="303">
        <v>5</v>
      </c>
      <c r="W55" s="303">
        <v>3</v>
      </c>
      <c r="X55" s="303">
        <v>5</v>
      </c>
      <c r="Y55" s="303">
        <v>5</v>
      </c>
      <c r="Z55" s="303">
        <v>9</v>
      </c>
      <c r="AA55" s="304">
        <v>15</v>
      </c>
      <c r="AB55" s="283">
        <v>10</v>
      </c>
      <c r="AC55" s="303">
        <v>4</v>
      </c>
      <c r="AD55" s="303">
        <v>6</v>
      </c>
      <c r="AE55" s="303">
        <v>9</v>
      </c>
      <c r="AF55" s="303">
        <v>4</v>
      </c>
      <c r="AG55" s="303">
        <v>10</v>
      </c>
      <c r="AH55" s="303">
        <v>7</v>
      </c>
      <c r="AI55" s="303">
        <v>8</v>
      </c>
      <c r="AJ55" s="303">
        <v>8</v>
      </c>
      <c r="AK55" s="303">
        <v>14</v>
      </c>
      <c r="AL55" s="303">
        <v>6</v>
      </c>
      <c r="AM55" s="304">
        <v>8</v>
      </c>
      <c r="AN55" s="303">
        <v>6</v>
      </c>
      <c r="AO55" s="303">
        <v>4</v>
      </c>
      <c r="AP55" s="303">
        <v>10</v>
      </c>
      <c r="AQ55" s="303">
        <v>10</v>
      </c>
      <c r="AR55" s="303">
        <v>4</v>
      </c>
      <c r="AS55" s="303">
        <v>8</v>
      </c>
      <c r="AT55" s="303">
        <v>11</v>
      </c>
      <c r="AU55" s="303">
        <v>6</v>
      </c>
      <c r="AV55" s="303">
        <v>4</v>
      </c>
      <c r="AW55" s="303">
        <v>10</v>
      </c>
      <c r="AX55" s="303">
        <v>7</v>
      </c>
      <c r="AY55" s="304">
        <v>7</v>
      </c>
      <c r="AZ55" s="305">
        <v>9</v>
      </c>
      <c r="BA55" s="303">
        <v>3</v>
      </c>
      <c r="BB55" s="303">
        <v>2</v>
      </c>
      <c r="BC55" s="303">
        <v>5</v>
      </c>
      <c r="BD55" s="303">
        <v>2</v>
      </c>
      <c r="BE55" s="303">
        <v>6</v>
      </c>
      <c r="BF55" s="303">
        <v>4</v>
      </c>
      <c r="BG55" s="303">
        <v>2</v>
      </c>
      <c r="BH55" s="303">
        <v>6</v>
      </c>
      <c r="BI55" s="303">
        <v>5</v>
      </c>
      <c r="BJ55" s="303">
        <v>5</v>
      </c>
      <c r="BK55" s="304">
        <v>5</v>
      </c>
      <c r="BL55" s="303">
        <v>5</v>
      </c>
      <c r="BM55" s="303">
        <v>1</v>
      </c>
      <c r="BN55" s="303">
        <v>5</v>
      </c>
      <c r="BO55" s="303">
        <v>6</v>
      </c>
      <c r="BP55" s="303">
        <v>8</v>
      </c>
      <c r="BQ55" s="303">
        <v>8</v>
      </c>
      <c r="BR55" s="303">
        <v>8</v>
      </c>
      <c r="BS55" s="303">
        <v>2</v>
      </c>
      <c r="BT55" s="303">
        <v>0</v>
      </c>
      <c r="BU55" s="303">
        <v>7</v>
      </c>
      <c r="BV55" s="303">
        <v>2</v>
      </c>
      <c r="BW55" s="306">
        <v>4</v>
      </c>
    </row>
    <row r="56" spans="1:75" s="294" customFormat="1" ht="17" thickBot="1" x14ac:dyDescent="0.35">
      <c r="A56" s="462"/>
      <c r="B56" s="535"/>
      <c r="C56" s="280" t="s">
        <v>400</v>
      </c>
      <c r="D56" s="284">
        <v>4</v>
      </c>
      <c r="E56" s="307">
        <v>1</v>
      </c>
      <c r="F56" s="307">
        <v>1</v>
      </c>
      <c r="G56" s="307">
        <v>1</v>
      </c>
      <c r="H56" s="307">
        <v>2</v>
      </c>
      <c r="I56" s="307">
        <v>1</v>
      </c>
      <c r="J56" s="307">
        <v>3</v>
      </c>
      <c r="K56" s="307">
        <v>3</v>
      </c>
      <c r="L56" s="307">
        <v>3</v>
      </c>
      <c r="M56" s="307">
        <v>3</v>
      </c>
      <c r="N56" s="307">
        <v>0</v>
      </c>
      <c r="O56" s="308">
        <v>2</v>
      </c>
      <c r="P56" s="307">
        <v>2</v>
      </c>
      <c r="Q56" s="307">
        <v>3</v>
      </c>
      <c r="R56" s="307">
        <v>0</v>
      </c>
      <c r="S56" s="307">
        <v>0</v>
      </c>
      <c r="T56" s="307">
        <v>2</v>
      </c>
      <c r="U56" s="307">
        <v>2</v>
      </c>
      <c r="V56" s="307">
        <v>3</v>
      </c>
      <c r="W56" s="307">
        <v>3</v>
      </c>
      <c r="X56" s="307">
        <v>5</v>
      </c>
      <c r="Y56" s="307">
        <v>3</v>
      </c>
      <c r="Z56" s="307">
        <v>2</v>
      </c>
      <c r="AA56" s="308">
        <v>4</v>
      </c>
      <c r="AB56" s="284">
        <v>5</v>
      </c>
      <c r="AC56" s="307">
        <v>1</v>
      </c>
      <c r="AD56" s="307">
        <v>3</v>
      </c>
      <c r="AE56" s="307">
        <v>3</v>
      </c>
      <c r="AF56" s="307">
        <v>5</v>
      </c>
      <c r="AG56" s="307">
        <v>5</v>
      </c>
      <c r="AH56" s="307">
        <v>4</v>
      </c>
      <c r="AI56" s="307">
        <v>3</v>
      </c>
      <c r="AJ56" s="307">
        <v>0</v>
      </c>
      <c r="AK56" s="307">
        <v>7</v>
      </c>
      <c r="AL56" s="307">
        <v>3</v>
      </c>
      <c r="AM56" s="308">
        <v>1</v>
      </c>
      <c r="AN56" s="307">
        <v>1</v>
      </c>
      <c r="AO56" s="307">
        <v>1</v>
      </c>
      <c r="AP56" s="307">
        <v>3</v>
      </c>
      <c r="AQ56" s="307">
        <v>3</v>
      </c>
      <c r="AR56" s="307">
        <v>1</v>
      </c>
      <c r="AS56" s="307">
        <v>2</v>
      </c>
      <c r="AT56" s="307">
        <v>7</v>
      </c>
      <c r="AU56" s="307">
        <v>2</v>
      </c>
      <c r="AV56" s="307">
        <v>6</v>
      </c>
      <c r="AW56" s="307">
        <v>5</v>
      </c>
      <c r="AX56" s="307">
        <v>3</v>
      </c>
      <c r="AY56" s="308">
        <v>4</v>
      </c>
      <c r="AZ56" s="309">
        <v>2</v>
      </c>
      <c r="BA56" s="307">
        <v>1</v>
      </c>
      <c r="BB56" s="307">
        <v>2</v>
      </c>
      <c r="BC56" s="307">
        <v>4</v>
      </c>
      <c r="BD56" s="307">
        <v>1</v>
      </c>
      <c r="BE56" s="307">
        <v>3</v>
      </c>
      <c r="BF56" s="307">
        <v>1</v>
      </c>
      <c r="BG56" s="307">
        <v>2</v>
      </c>
      <c r="BH56" s="307">
        <v>4</v>
      </c>
      <c r="BI56" s="307">
        <v>3</v>
      </c>
      <c r="BJ56" s="307">
        <v>4</v>
      </c>
      <c r="BK56" s="308">
        <v>2</v>
      </c>
      <c r="BL56" s="307">
        <v>2</v>
      </c>
      <c r="BM56" s="307">
        <v>1</v>
      </c>
      <c r="BN56" s="307">
        <v>6</v>
      </c>
      <c r="BO56" s="307">
        <v>2</v>
      </c>
      <c r="BP56" s="307">
        <v>2</v>
      </c>
      <c r="BQ56" s="307">
        <v>3</v>
      </c>
      <c r="BR56" s="307">
        <v>5</v>
      </c>
      <c r="BS56" s="307">
        <v>2</v>
      </c>
      <c r="BT56" s="307">
        <v>1</v>
      </c>
      <c r="BU56" s="307">
        <v>3</v>
      </c>
      <c r="BV56" s="307">
        <v>0</v>
      </c>
      <c r="BW56" s="310">
        <v>1</v>
      </c>
    </row>
    <row r="57" spans="1:75" s="294" customFormat="1" ht="17" thickBot="1" x14ac:dyDescent="0.35">
      <c r="A57" s="462"/>
      <c r="B57" s="536"/>
      <c r="C57" s="280" t="s">
        <v>401</v>
      </c>
      <c r="D57" s="285">
        <v>4</v>
      </c>
      <c r="E57" s="311">
        <v>1</v>
      </c>
      <c r="F57" s="311">
        <v>1</v>
      </c>
      <c r="G57" s="311">
        <v>1</v>
      </c>
      <c r="H57" s="311">
        <v>2</v>
      </c>
      <c r="I57" s="311">
        <v>1</v>
      </c>
      <c r="J57" s="311">
        <v>3</v>
      </c>
      <c r="K57" s="311">
        <v>3</v>
      </c>
      <c r="L57" s="311">
        <v>3</v>
      </c>
      <c r="M57" s="311">
        <v>3</v>
      </c>
      <c r="N57" s="311">
        <v>0</v>
      </c>
      <c r="O57" s="312">
        <v>2</v>
      </c>
      <c r="P57" s="311">
        <v>2</v>
      </c>
      <c r="Q57" s="311">
        <v>3</v>
      </c>
      <c r="R57" s="311">
        <v>0</v>
      </c>
      <c r="S57" s="311">
        <v>0</v>
      </c>
      <c r="T57" s="311">
        <v>2</v>
      </c>
      <c r="U57" s="311">
        <v>2</v>
      </c>
      <c r="V57" s="311">
        <v>3</v>
      </c>
      <c r="W57" s="311">
        <v>3</v>
      </c>
      <c r="X57" s="311">
        <v>5</v>
      </c>
      <c r="Y57" s="311">
        <v>3</v>
      </c>
      <c r="Z57" s="311">
        <v>2</v>
      </c>
      <c r="AA57" s="312">
        <v>4</v>
      </c>
      <c r="AB57" s="285">
        <v>5</v>
      </c>
      <c r="AC57" s="311">
        <v>1</v>
      </c>
      <c r="AD57" s="311">
        <v>3</v>
      </c>
      <c r="AE57" s="311">
        <v>3</v>
      </c>
      <c r="AF57" s="311">
        <v>5</v>
      </c>
      <c r="AG57" s="311">
        <v>5</v>
      </c>
      <c r="AH57" s="311">
        <v>4</v>
      </c>
      <c r="AI57" s="311">
        <v>3</v>
      </c>
      <c r="AJ57" s="311">
        <v>0</v>
      </c>
      <c r="AK57" s="311">
        <v>7</v>
      </c>
      <c r="AL57" s="311">
        <v>3</v>
      </c>
      <c r="AM57" s="312">
        <v>1</v>
      </c>
      <c r="AN57" s="311">
        <v>1</v>
      </c>
      <c r="AO57" s="311">
        <v>1</v>
      </c>
      <c r="AP57" s="311">
        <v>3</v>
      </c>
      <c r="AQ57" s="311">
        <v>3</v>
      </c>
      <c r="AR57" s="311">
        <v>1</v>
      </c>
      <c r="AS57" s="311">
        <v>2</v>
      </c>
      <c r="AT57" s="311">
        <v>7</v>
      </c>
      <c r="AU57" s="311">
        <v>2</v>
      </c>
      <c r="AV57" s="311">
        <v>6</v>
      </c>
      <c r="AW57" s="311">
        <v>5</v>
      </c>
      <c r="AX57" s="311">
        <v>3</v>
      </c>
      <c r="AY57" s="312">
        <v>4</v>
      </c>
      <c r="AZ57" s="313">
        <v>2</v>
      </c>
      <c r="BA57" s="311">
        <v>1</v>
      </c>
      <c r="BB57" s="311">
        <v>2</v>
      </c>
      <c r="BC57" s="311">
        <v>5</v>
      </c>
      <c r="BD57" s="311">
        <v>1</v>
      </c>
      <c r="BE57" s="311">
        <v>4</v>
      </c>
      <c r="BF57" s="311">
        <v>1</v>
      </c>
      <c r="BG57" s="311">
        <v>2</v>
      </c>
      <c r="BH57" s="311">
        <v>4</v>
      </c>
      <c r="BI57" s="311">
        <v>3</v>
      </c>
      <c r="BJ57" s="311">
        <v>4</v>
      </c>
      <c r="BK57" s="312">
        <v>3</v>
      </c>
      <c r="BL57" s="311">
        <v>2</v>
      </c>
      <c r="BM57" s="311">
        <v>1</v>
      </c>
      <c r="BN57" s="311">
        <v>6</v>
      </c>
      <c r="BO57" s="311">
        <v>3</v>
      </c>
      <c r="BP57" s="311">
        <v>2</v>
      </c>
      <c r="BQ57" s="311">
        <v>3</v>
      </c>
      <c r="BR57" s="311">
        <v>5</v>
      </c>
      <c r="BS57" s="311">
        <v>2</v>
      </c>
      <c r="BT57" s="311">
        <v>1</v>
      </c>
      <c r="BU57" s="311">
        <v>3</v>
      </c>
      <c r="BV57" s="311">
        <v>0</v>
      </c>
      <c r="BW57" s="314">
        <v>1</v>
      </c>
    </row>
    <row r="58" spans="1:75" ht="17" thickBot="1" x14ac:dyDescent="0.5">
      <c r="A58" s="462"/>
      <c r="B58" s="535" t="s">
        <v>196</v>
      </c>
      <c r="C58" s="239" t="s">
        <v>403</v>
      </c>
      <c r="D58" s="207">
        <v>0</v>
      </c>
      <c r="E58" s="208">
        <v>0</v>
      </c>
      <c r="F58" s="208">
        <v>1</v>
      </c>
      <c r="G58" s="208">
        <v>0</v>
      </c>
      <c r="H58" s="208">
        <v>0</v>
      </c>
      <c r="I58" s="208">
        <v>0</v>
      </c>
      <c r="J58" s="208">
        <v>2</v>
      </c>
      <c r="K58" s="208">
        <v>0</v>
      </c>
      <c r="L58" s="208">
        <v>1</v>
      </c>
      <c r="M58" s="208">
        <v>0</v>
      </c>
      <c r="N58" s="208">
        <v>0</v>
      </c>
      <c r="O58" s="209">
        <v>0</v>
      </c>
      <c r="P58" s="208">
        <v>0</v>
      </c>
      <c r="Q58" s="208">
        <v>0</v>
      </c>
      <c r="R58" s="208">
        <v>0</v>
      </c>
      <c r="S58" s="208">
        <v>1</v>
      </c>
      <c r="T58" s="208">
        <v>0</v>
      </c>
      <c r="U58" s="208">
        <v>0</v>
      </c>
      <c r="V58" s="208">
        <v>1</v>
      </c>
      <c r="W58" s="208">
        <v>0</v>
      </c>
      <c r="X58" s="208">
        <v>0</v>
      </c>
      <c r="Y58" s="210">
        <v>0</v>
      </c>
      <c r="Z58" s="210">
        <v>2</v>
      </c>
      <c r="AA58" s="211">
        <v>1</v>
      </c>
      <c r="AB58" s="212">
        <v>0</v>
      </c>
      <c r="AC58" s="210">
        <v>0</v>
      </c>
      <c r="AD58" s="210">
        <v>0</v>
      </c>
      <c r="AE58" s="210">
        <v>1</v>
      </c>
      <c r="AF58" s="210">
        <v>1</v>
      </c>
      <c r="AG58" s="210">
        <v>0</v>
      </c>
      <c r="AH58" s="210">
        <v>0</v>
      </c>
      <c r="AI58" s="210">
        <v>0</v>
      </c>
      <c r="AJ58" s="210">
        <v>0</v>
      </c>
      <c r="AK58" s="210">
        <v>0</v>
      </c>
      <c r="AL58" s="210">
        <v>0</v>
      </c>
      <c r="AM58" s="211">
        <v>0</v>
      </c>
      <c r="AN58" s="242">
        <v>0</v>
      </c>
      <c r="AO58" s="208">
        <v>0</v>
      </c>
      <c r="AP58" s="208">
        <v>0</v>
      </c>
      <c r="AQ58" s="208">
        <v>0</v>
      </c>
      <c r="AR58" s="208">
        <v>0</v>
      </c>
      <c r="AS58" s="208">
        <v>0</v>
      </c>
      <c r="AT58" s="208">
        <v>0</v>
      </c>
      <c r="AU58" s="208">
        <v>1</v>
      </c>
      <c r="AV58" s="208">
        <v>0</v>
      </c>
      <c r="AW58" s="208">
        <v>0</v>
      </c>
      <c r="AX58" s="208">
        <v>0</v>
      </c>
      <c r="AY58" s="209">
        <v>0</v>
      </c>
      <c r="AZ58" s="207">
        <v>0</v>
      </c>
      <c r="BA58" s="208">
        <v>1</v>
      </c>
      <c r="BB58" s="208">
        <v>0</v>
      </c>
      <c r="BC58" s="208">
        <v>2</v>
      </c>
      <c r="BD58" s="208">
        <v>0</v>
      </c>
      <c r="BE58" s="208">
        <v>0</v>
      </c>
      <c r="BF58" s="208">
        <v>0</v>
      </c>
      <c r="BG58" s="208">
        <v>0</v>
      </c>
      <c r="BH58" s="208">
        <v>0</v>
      </c>
      <c r="BI58" s="208">
        <v>1</v>
      </c>
      <c r="BJ58" s="208">
        <v>0</v>
      </c>
      <c r="BK58" s="209">
        <v>0</v>
      </c>
      <c r="BL58" s="208">
        <v>1</v>
      </c>
      <c r="BM58" s="208">
        <v>0</v>
      </c>
      <c r="BN58" s="208">
        <v>0</v>
      </c>
      <c r="BO58" s="208">
        <v>0</v>
      </c>
      <c r="BP58" s="208">
        <v>0</v>
      </c>
      <c r="BQ58" s="208">
        <v>0</v>
      </c>
      <c r="BR58" s="208">
        <v>0</v>
      </c>
      <c r="BS58" s="208">
        <v>0</v>
      </c>
      <c r="BT58" s="208">
        <v>0</v>
      </c>
      <c r="BU58" s="210">
        <v>0</v>
      </c>
      <c r="BV58" s="210">
        <v>0</v>
      </c>
      <c r="BW58" s="213">
        <v>1</v>
      </c>
    </row>
    <row r="59" spans="1:75" s="294" customFormat="1" ht="17" thickBot="1" x14ac:dyDescent="0.5">
      <c r="A59" s="462"/>
      <c r="B59" s="535"/>
      <c r="C59" s="280" t="s">
        <v>398</v>
      </c>
      <c r="D59" s="281">
        <v>0</v>
      </c>
      <c r="E59" s="286">
        <v>0</v>
      </c>
      <c r="F59" s="286">
        <v>1</v>
      </c>
      <c r="G59" s="286">
        <v>0</v>
      </c>
      <c r="H59" s="286">
        <v>0</v>
      </c>
      <c r="I59" s="286">
        <v>0</v>
      </c>
      <c r="J59" s="286">
        <v>1</v>
      </c>
      <c r="K59" s="286">
        <v>0</v>
      </c>
      <c r="L59" s="286">
        <v>1</v>
      </c>
      <c r="M59" s="286">
        <v>0</v>
      </c>
      <c r="N59" s="286">
        <v>0</v>
      </c>
      <c r="O59" s="287">
        <v>0</v>
      </c>
      <c r="P59" s="286">
        <v>0</v>
      </c>
      <c r="Q59" s="286">
        <v>0</v>
      </c>
      <c r="R59" s="286">
        <v>0</v>
      </c>
      <c r="S59" s="286">
        <v>1</v>
      </c>
      <c r="T59" s="286">
        <v>0</v>
      </c>
      <c r="U59" s="286">
        <v>0</v>
      </c>
      <c r="V59" s="286">
        <v>1</v>
      </c>
      <c r="W59" s="286">
        <v>0</v>
      </c>
      <c r="X59" s="286">
        <v>0</v>
      </c>
      <c r="Y59" s="288">
        <v>0</v>
      </c>
      <c r="Z59" s="288">
        <v>2</v>
      </c>
      <c r="AA59" s="289">
        <v>1</v>
      </c>
      <c r="AB59" s="290">
        <v>0</v>
      </c>
      <c r="AC59" s="288">
        <v>0</v>
      </c>
      <c r="AD59" s="288">
        <v>0</v>
      </c>
      <c r="AE59" s="288">
        <v>1</v>
      </c>
      <c r="AF59" s="288">
        <v>1</v>
      </c>
      <c r="AG59" s="288">
        <v>0</v>
      </c>
      <c r="AH59" s="288">
        <v>0</v>
      </c>
      <c r="AI59" s="288">
        <v>0</v>
      </c>
      <c r="AJ59" s="288">
        <v>0</v>
      </c>
      <c r="AK59" s="288">
        <v>0</v>
      </c>
      <c r="AL59" s="288">
        <v>0</v>
      </c>
      <c r="AM59" s="289">
        <v>0</v>
      </c>
      <c r="AN59" s="291">
        <v>0</v>
      </c>
      <c r="AO59" s="286">
        <v>0</v>
      </c>
      <c r="AP59" s="286">
        <v>0</v>
      </c>
      <c r="AQ59" s="286">
        <v>0</v>
      </c>
      <c r="AR59" s="286">
        <v>0</v>
      </c>
      <c r="AS59" s="286">
        <v>0</v>
      </c>
      <c r="AT59" s="286">
        <v>0</v>
      </c>
      <c r="AU59" s="286">
        <v>1</v>
      </c>
      <c r="AV59" s="286">
        <v>0</v>
      </c>
      <c r="AW59" s="286">
        <v>0</v>
      </c>
      <c r="AX59" s="286">
        <v>0</v>
      </c>
      <c r="AY59" s="287">
        <v>0</v>
      </c>
      <c r="AZ59" s="281">
        <v>0</v>
      </c>
      <c r="BA59" s="286">
        <v>0</v>
      </c>
      <c r="BB59" s="286">
        <v>0</v>
      </c>
      <c r="BC59" s="286">
        <v>2</v>
      </c>
      <c r="BD59" s="286">
        <v>0</v>
      </c>
      <c r="BE59" s="286">
        <v>0</v>
      </c>
      <c r="BF59" s="286">
        <v>0</v>
      </c>
      <c r="BG59" s="286">
        <v>0</v>
      </c>
      <c r="BH59" s="286">
        <v>0</v>
      </c>
      <c r="BI59" s="286">
        <v>1</v>
      </c>
      <c r="BJ59" s="286">
        <v>0</v>
      </c>
      <c r="BK59" s="287">
        <v>0</v>
      </c>
      <c r="BL59" s="286">
        <v>0</v>
      </c>
      <c r="BM59" s="286">
        <v>0</v>
      </c>
      <c r="BN59" s="286">
        <v>0</v>
      </c>
      <c r="BO59" s="286">
        <v>0</v>
      </c>
      <c r="BP59" s="286">
        <v>0</v>
      </c>
      <c r="BQ59" s="286">
        <v>0</v>
      </c>
      <c r="BR59" s="286">
        <v>0</v>
      </c>
      <c r="BS59" s="286">
        <v>0</v>
      </c>
      <c r="BT59" s="286">
        <v>0</v>
      </c>
      <c r="BU59" s="288">
        <v>0</v>
      </c>
      <c r="BV59" s="288">
        <v>0</v>
      </c>
      <c r="BW59" s="293">
        <v>1</v>
      </c>
    </row>
    <row r="60" spans="1:75" s="294" customFormat="1" ht="17" thickBot="1" x14ac:dyDescent="0.5">
      <c r="A60" s="462"/>
      <c r="B60" s="535"/>
      <c r="C60" s="280" t="s">
        <v>404</v>
      </c>
      <c r="D60" s="282">
        <v>0</v>
      </c>
      <c r="E60" s="295">
        <v>0</v>
      </c>
      <c r="F60" s="295">
        <v>0</v>
      </c>
      <c r="G60" s="295">
        <v>0</v>
      </c>
      <c r="H60" s="295">
        <v>0</v>
      </c>
      <c r="I60" s="295">
        <v>0</v>
      </c>
      <c r="J60" s="295">
        <v>0</v>
      </c>
      <c r="K60" s="295">
        <v>0</v>
      </c>
      <c r="L60" s="295">
        <v>0</v>
      </c>
      <c r="M60" s="295">
        <v>0</v>
      </c>
      <c r="N60" s="295">
        <v>0</v>
      </c>
      <c r="O60" s="296">
        <v>0</v>
      </c>
      <c r="P60" s="295">
        <v>0</v>
      </c>
      <c r="Q60" s="295">
        <v>0</v>
      </c>
      <c r="R60" s="295">
        <v>0</v>
      </c>
      <c r="S60" s="295">
        <v>0</v>
      </c>
      <c r="T60" s="295">
        <v>0</v>
      </c>
      <c r="U60" s="295">
        <v>0</v>
      </c>
      <c r="V60" s="295">
        <v>1</v>
      </c>
      <c r="W60" s="295">
        <v>0</v>
      </c>
      <c r="X60" s="295">
        <v>0</v>
      </c>
      <c r="Y60" s="297">
        <v>0</v>
      </c>
      <c r="Z60" s="297">
        <v>2</v>
      </c>
      <c r="AA60" s="298">
        <v>0</v>
      </c>
      <c r="AB60" s="299">
        <v>0</v>
      </c>
      <c r="AC60" s="297">
        <v>0</v>
      </c>
      <c r="AD60" s="297">
        <v>0</v>
      </c>
      <c r="AE60" s="297">
        <v>0</v>
      </c>
      <c r="AF60" s="297">
        <v>0</v>
      </c>
      <c r="AG60" s="297">
        <v>0</v>
      </c>
      <c r="AH60" s="297">
        <v>0</v>
      </c>
      <c r="AI60" s="297">
        <v>0</v>
      </c>
      <c r="AJ60" s="297">
        <v>0</v>
      </c>
      <c r="AK60" s="297">
        <v>0</v>
      </c>
      <c r="AL60" s="297">
        <v>0</v>
      </c>
      <c r="AM60" s="298">
        <v>0</v>
      </c>
      <c r="AN60" s="300">
        <v>0</v>
      </c>
      <c r="AO60" s="295">
        <v>0</v>
      </c>
      <c r="AP60" s="295">
        <v>0</v>
      </c>
      <c r="AQ60" s="295">
        <v>0</v>
      </c>
      <c r="AR60" s="295">
        <v>0</v>
      </c>
      <c r="AS60" s="295">
        <v>0</v>
      </c>
      <c r="AT60" s="295">
        <v>0</v>
      </c>
      <c r="AU60" s="295">
        <v>0</v>
      </c>
      <c r="AV60" s="295">
        <v>0</v>
      </c>
      <c r="AW60" s="295">
        <v>0</v>
      </c>
      <c r="AX60" s="295">
        <v>0</v>
      </c>
      <c r="AY60" s="296">
        <v>0</v>
      </c>
      <c r="AZ60" s="282">
        <v>0</v>
      </c>
      <c r="BA60" s="295">
        <v>0</v>
      </c>
      <c r="BB60" s="295">
        <v>0</v>
      </c>
      <c r="BC60" s="295">
        <v>0</v>
      </c>
      <c r="BD60" s="295">
        <v>0</v>
      </c>
      <c r="BE60" s="295">
        <v>0</v>
      </c>
      <c r="BF60" s="295">
        <v>0</v>
      </c>
      <c r="BG60" s="295">
        <v>0</v>
      </c>
      <c r="BH60" s="295">
        <v>0</v>
      </c>
      <c r="BI60" s="295">
        <v>0</v>
      </c>
      <c r="BJ60" s="295">
        <v>0</v>
      </c>
      <c r="BK60" s="296">
        <v>0</v>
      </c>
      <c r="BL60" s="295">
        <v>0</v>
      </c>
      <c r="BM60" s="295">
        <v>0</v>
      </c>
      <c r="BN60" s="295">
        <v>0</v>
      </c>
      <c r="BO60" s="295">
        <v>0</v>
      </c>
      <c r="BP60" s="295">
        <v>0</v>
      </c>
      <c r="BQ60" s="295">
        <v>0</v>
      </c>
      <c r="BR60" s="295">
        <v>0</v>
      </c>
      <c r="BS60" s="295">
        <v>0</v>
      </c>
      <c r="BT60" s="295">
        <v>0</v>
      </c>
      <c r="BU60" s="297">
        <v>0</v>
      </c>
      <c r="BV60" s="297">
        <v>0</v>
      </c>
      <c r="BW60" s="302">
        <v>0</v>
      </c>
    </row>
    <row r="61" spans="1:75" s="294" customFormat="1" ht="17" thickBot="1" x14ac:dyDescent="0.35">
      <c r="A61" s="462"/>
      <c r="B61" s="535"/>
      <c r="C61" s="280" t="s">
        <v>399</v>
      </c>
      <c r="D61" s="283">
        <v>0</v>
      </c>
      <c r="E61" s="303">
        <v>0</v>
      </c>
      <c r="F61" s="303">
        <v>1</v>
      </c>
      <c r="G61" s="303">
        <v>0</v>
      </c>
      <c r="H61" s="303">
        <v>0</v>
      </c>
      <c r="I61" s="303">
        <v>0</v>
      </c>
      <c r="J61" s="303">
        <v>1</v>
      </c>
      <c r="K61" s="303">
        <v>0</v>
      </c>
      <c r="L61" s="303">
        <v>1</v>
      </c>
      <c r="M61" s="303">
        <v>0</v>
      </c>
      <c r="N61" s="303">
        <v>0</v>
      </c>
      <c r="O61" s="304">
        <v>0</v>
      </c>
      <c r="P61" s="303">
        <v>0</v>
      </c>
      <c r="Q61" s="303">
        <v>0</v>
      </c>
      <c r="R61" s="303">
        <v>0</v>
      </c>
      <c r="S61" s="303">
        <v>1</v>
      </c>
      <c r="T61" s="303">
        <v>0</v>
      </c>
      <c r="U61" s="303">
        <v>0</v>
      </c>
      <c r="V61" s="303">
        <v>1</v>
      </c>
      <c r="W61" s="303">
        <v>0</v>
      </c>
      <c r="X61" s="303">
        <v>0</v>
      </c>
      <c r="Y61" s="303">
        <v>0</v>
      </c>
      <c r="Z61" s="303">
        <v>2</v>
      </c>
      <c r="AA61" s="304">
        <v>1</v>
      </c>
      <c r="AB61" s="303">
        <v>0</v>
      </c>
      <c r="AC61" s="303">
        <v>0</v>
      </c>
      <c r="AD61" s="303">
        <v>0</v>
      </c>
      <c r="AE61" s="303">
        <v>1</v>
      </c>
      <c r="AF61" s="303">
        <v>1</v>
      </c>
      <c r="AG61" s="303">
        <v>0</v>
      </c>
      <c r="AH61" s="303">
        <v>0</v>
      </c>
      <c r="AI61" s="303">
        <v>0</v>
      </c>
      <c r="AJ61" s="303">
        <v>0</v>
      </c>
      <c r="AK61" s="303">
        <v>0</v>
      </c>
      <c r="AL61" s="303">
        <v>0</v>
      </c>
      <c r="AM61" s="304">
        <v>0</v>
      </c>
      <c r="AN61" s="305">
        <v>0</v>
      </c>
      <c r="AO61" s="303">
        <v>0</v>
      </c>
      <c r="AP61" s="303">
        <v>0</v>
      </c>
      <c r="AQ61" s="303">
        <v>0</v>
      </c>
      <c r="AR61" s="303">
        <v>0</v>
      </c>
      <c r="AS61" s="303">
        <v>0</v>
      </c>
      <c r="AT61" s="303">
        <v>0</v>
      </c>
      <c r="AU61" s="303">
        <v>1</v>
      </c>
      <c r="AV61" s="303">
        <v>0</v>
      </c>
      <c r="AW61" s="303">
        <v>0</v>
      </c>
      <c r="AX61" s="303">
        <v>0</v>
      </c>
      <c r="AY61" s="304">
        <v>0</v>
      </c>
      <c r="AZ61" s="283">
        <v>0</v>
      </c>
      <c r="BA61" s="303">
        <v>0</v>
      </c>
      <c r="BB61" s="303">
        <v>0</v>
      </c>
      <c r="BC61" s="303">
        <v>2</v>
      </c>
      <c r="BD61" s="303">
        <v>0</v>
      </c>
      <c r="BE61" s="303">
        <v>0</v>
      </c>
      <c r="BF61" s="303">
        <v>0</v>
      </c>
      <c r="BG61" s="303">
        <v>0</v>
      </c>
      <c r="BH61" s="303">
        <v>0</v>
      </c>
      <c r="BI61" s="303">
        <v>1</v>
      </c>
      <c r="BJ61" s="303">
        <v>0</v>
      </c>
      <c r="BK61" s="304">
        <v>0</v>
      </c>
      <c r="BL61" s="303">
        <v>0</v>
      </c>
      <c r="BM61" s="303">
        <v>0</v>
      </c>
      <c r="BN61" s="303">
        <v>0</v>
      </c>
      <c r="BO61" s="303">
        <v>0</v>
      </c>
      <c r="BP61" s="303">
        <v>0</v>
      </c>
      <c r="BQ61" s="303">
        <v>0</v>
      </c>
      <c r="BR61" s="303">
        <v>0</v>
      </c>
      <c r="BS61" s="303">
        <v>0</v>
      </c>
      <c r="BT61" s="303">
        <v>0</v>
      </c>
      <c r="BU61" s="303">
        <v>0</v>
      </c>
      <c r="BV61" s="303">
        <v>0</v>
      </c>
      <c r="BW61" s="306">
        <v>1</v>
      </c>
    </row>
    <row r="62" spans="1:75" s="294" customFormat="1" ht="17" thickBot="1" x14ac:dyDescent="0.35">
      <c r="A62" s="462"/>
      <c r="B62" s="535"/>
      <c r="C62" s="280" t="s">
        <v>400</v>
      </c>
      <c r="D62" s="284">
        <v>0</v>
      </c>
      <c r="E62" s="307">
        <v>0</v>
      </c>
      <c r="F62" s="307">
        <v>1</v>
      </c>
      <c r="G62" s="307">
        <v>0</v>
      </c>
      <c r="H62" s="307">
        <v>0</v>
      </c>
      <c r="I62" s="307">
        <v>0</v>
      </c>
      <c r="J62" s="307">
        <v>2</v>
      </c>
      <c r="K62" s="307">
        <v>0</v>
      </c>
      <c r="L62" s="307">
        <v>1</v>
      </c>
      <c r="M62" s="307">
        <v>0</v>
      </c>
      <c r="N62" s="307">
        <v>0</v>
      </c>
      <c r="O62" s="308">
        <v>0</v>
      </c>
      <c r="P62" s="307">
        <v>0</v>
      </c>
      <c r="Q62" s="307">
        <v>0</v>
      </c>
      <c r="R62" s="307">
        <v>0</v>
      </c>
      <c r="S62" s="307">
        <v>1</v>
      </c>
      <c r="T62" s="307">
        <v>0</v>
      </c>
      <c r="U62" s="307">
        <v>0</v>
      </c>
      <c r="V62" s="307">
        <v>0</v>
      </c>
      <c r="W62" s="307">
        <v>0</v>
      </c>
      <c r="X62" s="307">
        <v>0</v>
      </c>
      <c r="Y62" s="307">
        <v>0</v>
      </c>
      <c r="Z62" s="307">
        <v>0</v>
      </c>
      <c r="AA62" s="308">
        <v>1</v>
      </c>
      <c r="AB62" s="307">
        <v>0</v>
      </c>
      <c r="AC62" s="307">
        <v>0</v>
      </c>
      <c r="AD62" s="307">
        <v>0</v>
      </c>
      <c r="AE62" s="307">
        <v>0</v>
      </c>
      <c r="AF62" s="307">
        <v>1</v>
      </c>
      <c r="AG62" s="307">
        <v>0</v>
      </c>
      <c r="AH62" s="307">
        <v>0</v>
      </c>
      <c r="AI62" s="307">
        <v>0</v>
      </c>
      <c r="AJ62" s="307">
        <v>0</v>
      </c>
      <c r="AK62" s="307">
        <v>0</v>
      </c>
      <c r="AL62" s="307">
        <v>0</v>
      </c>
      <c r="AM62" s="308">
        <v>0</v>
      </c>
      <c r="AN62" s="309">
        <v>0</v>
      </c>
      <c r="AO62" s="307">
        <v>0</v>
      </c>
      <c r="AP62" s="307">
        <v>0</v>
      </c>
      <c r="AQ62" s="307">
        <v>0</v>
      </c>
      <c r="AR62" s="307">
        <v>0</v>
      </c>
      <c r="AS62" s="307">
        <v>0</v>
      </c>
      <c r="AT62" s="307">
        <v>0</v>
      </c>
      <c r="AU62" s="307">
        <v>1</v>
      </c>
      <c r="AV62" s="307">
        <v>0</v>
      </c>
      <c r="AW62" s="307">
        <v>0</v>
      </c>
      <c r="AX62" s="307">
        <v>0</v>
      </c>
      <c r="AY62" s="308">
        <v>0</v>
      </c>
      <c r="AZ62" s="284">
        <v>0</v>
      </c>
      <c r="BA62" s="307">
        <v>1</v>
      </c>
      <c r="BB62" s="307">
        <v>0</v>
      </c>
      <c r="BC62" s="307">
        <v>0</v>
      </c>
      <c r="BD62" s="307">
        <v>0</v>
      </c>
      <c r="BE62" s="307">
        <v>0</v>
      </c>
      <c r="BF62" s="307">
        <v>0</v>
      </c>
      <c r="BG62" s="307">
        <v>0</v>
      </c>
      <c r="BH62" s="307">
        <v>0</v>
      </c>
      <c r="BI62" s="307">
        <v>1</v>
      </c>
      <c r="BJ62" s="307">
        <v>0</v>
      </c>
      <c r="BK62" s="308">
        <v>0</v>
      </c>
      <c r="BL62" s="307">
        <v>1</v>
      </c>
      <c r="BM62" s="307">
        <v>0</v>
      </c>
      <c r="BN62" s="307">
        <v>0</v>
      </c>
      <c r="BO62" s="307">
        <v>0</v>
      </c>
      <c r="BP62" s="307">
        <v>0</v>
      </c>
      <c r="BQ62" s="307">
        <v>0</v>
      </c>
      <c r="BR62" s="307">
        <v>0</v>
      </c>
      <c r="BS62" s="307">
        <v>0</v>
      </c>
      <c r="BT62" s="307">
        <v>0</v>
      </c>
      <c r="BU62" s="307">
        <v>0</v>
      </c>
      <c r="BV62" s="307">
        <v>0</v>
      </c>
      <c r="BW62" s="310">
        <v>1</v>
      </c>
    </row>
    <row r="63" spans="1:75" s="294" customFormat="1" ht="17" thickBot="1" x14ac:dyDescent="0.35">
      <c r="A63" s="462"/>
      <c r="B63" s="536"/>
      <c r="C63" s="280" t="s">
        <v>401</v>
      </c>
      <c r="D63" s="285">
        <v>0</v>
      </c>
      <c r="E63" s="311">
        <v>0</v>
      </c>
      <c r="F63" s="311">
        <v>1</v>
      </c>
      <c r="G63" s="311">
        <v>0</v>
      </c>
      <c r="H63" s="311">
        <v>0</v>
      </c>
      <c r="I63" s="311">
        <v>0</v>
      </c>
      <c r="J63" s="311">
        <v>2</v>
      </c>
      <c r="K63" s="311">
        <v>0</v>
      </c>
      <c r="L63" s="311">
        <v>1</v>
      </c>
      <c r="M63" s="311">
        <v>0</v>
      </c>
      <c r="N63" s="311">
        <v>0</v>
      </c>
      <c r="O63" s="312">
        <v>0</v>
      </c>
      <c r="P63" s="311">
        <v>0</v>
      </c>
      <c r="Q63" s="311">
        <v>0</v>
      </c>
      <c r="R63" s="311">
        <v>0</v>
      </c>
      <c r="S63" s="311">
        <v>1</v>
      </c>
      <c r="T63" s="311">
        <v>0</v>
      </c>
      <c r="U63" s="311">
        <v>0</v>
      </c>
      <c r="V63" s="311">
        <v>0</v>
      </c>
      <c r="W63" s="311">
        <v>0</v>
      </c>
      <c r="X63" s="311">
        <v>0</v>
      </c>
      <c r="Y63" s="311">
        <v>0</v>
      </c>
      <c r="Z63" s="311">
        <v>0</v>
      </c>
      <c r="AA63" s="312">
        <v>1</v>
      </c>
      <c r="AB63" s="311">
        <v>0</v>
      </c>
      <c r="AC63" s="311">
        <v>0</v>
      </c>
      <c r="AD63" s="311">
        <v>0</v>
      </c>
      <c r="AE63" s="311">
        <v>0</v>
      </c>
      <c r="AF63" s="311">
        <v>1</v>
      </c>
      <c r="AG63" s="311">
        <v>0</v>
      </c>
      <c r="AH63" s="311">
        <v>0</v>
      </c>
      <c r="AI63" s="311">
        <v>0</v>
      </c>
      <c r="AJ63" s="311">
        <v>0</v>
      </c>
      <c r="AK63" s="311">
        <v>0</v>
      </c>
      <c r="AL63" s="311">
        <v>0</v>
      </c>
      <c r="AM63" s="312">
        <v>0</v>
      </c>
      <c r="AN63" s="313">
        <v>0</v>
      </c>
      <c r="AO63" s="311">
        <v>0</v>
      </c>
      <c r="AP63" s="311">
        <v>0</v>
      </c>
      <c r="AQ63" s="311">
        <v>0</v>
      </c>
      <c r="AR63" s="311">
        <v>0</v>
      </c>
      <c r="AS63" s="311">
        <v>0</v>
      </c>
      <c r="AT63" s="311">
        <v>0</v>
      </c>
      <c r="AU63" s="311">
        <v>1</v>
      </c>
      <c r="AV63" s="311">
        <v>0</v>
      </c>
      <c r="AW63" s="311">
        <v>0</v>
      </c>
      <c r="AX63" s="311">
        <v>0</v>
      </c>
      <c r="AY63" s="312">
        <v>0</v>
      </c>
      <c r="AZ63" s="285">
        <v>0</v>
      </c>
      <c r="BA63" s="311">
        <v>1</v>
      </c>
      <c r="BB63" s="311">
        <v>0</v>
      </c>
      <c r="BC63" s="311">
        <v>0</v>
      </c>
      <c r="BD63" s="311">
        <v>0</v>
      </c>
      <c r="BE63" s="311">
        <v>0</v>
      </c>
      <c r="BF63" s="311">
        <v>0</v>
      </c>
      <c r="BG63" s="311">
        <v>0</v>
      </c>
      <c r="BH63" s="311">
        <v>0</v>
      </c>
      <c r="BI63" s="311">
        <v>1</v>
      </c>
      <c r="BJ63" s="311">
        <v>0</v>
      </c>
      <c r="BK63" s="312">
        <v>0</v>
      </c>
      <c r="BL63" s="311">
        <v>1</v>
      </c>
      <c r="BM63" s="311">
        <v>0</v>
      </c>
      <c r="BN63" s="311">
        <v>0</v>
      </c>
      <c r="BO63" s="311">
        <v>0</v>
      </c>
      <c r="BP63" s="311">
        <v>0</v>
      </c>
      <c r="BQ63" s="311">
        <v>0</v>
      </c>
      <c r="BR63" s="311">
        <v>0</v>
      </c>
      <c r="BS63" s="311">
        <v>0</v>
      </c>
      <c r="BT63" s="311">
        <v>0</v>
      </c>
      <c r="BU63" s="311">
        <v>0</v>
      </c>
      <c r="BV63" s="311">
        <v>0</v>
      </c>
      <c r="BW63" s="314">
        <v>1</v>
      </c>
    </row>
    <row r="64" spans="1:75" ht="17" thickBot="1" x14ac:dyDescent="0.5">
      <c r="A64" s="462"/>
      <c r="B64" s="535" t="s">
        <v>192</v>
      </c>
      <c r="C64" s="239" t="s">
        <v>403</v>
      </c>
      <c r="D64" s="207">
        <v>0</v>
      </c>
      <c r="E64" s="208">
        <v>0</v>
      </c>
      <c r="F64" s="208">
        <v>3</v>
      </c>
      <c r="G64" s="208">
        <v>2</v>
      </c>
      <c r="H64" s="208">
        <v>1</v>
      </c>
      <c r="I64" s="208">
        <v>2</v>
      </c>
      <c r="J64" s="208">
        <v>0</v>
      </c>
      <c r="K64" s="208">
        <v>2</v>
      </c>
      <c r="L64" s="208">
        <v>1</v>
      </c>
      <c r="M64" s="208">
        <v>1</v>
      </c>
      <c r="N64" s="208">
        <v>0</v>
      </c>
      <c r="O64" s="209">
        <v>1</v>
      </c>
      <c r="P64" s="208">
        <v>1</v>
      </c>
      <c r="Q64" s="208">
        <v>3</v>
      </c>
      <c r="R64" s="208">
        <v>1</v>
      </c>
      <c r="S64" s="208">
        <v>2</v>
      </c>
      <c r="T64" s="208">
        <v>0</v>
      </c>
      <c r="U64" s="208">
        <v>1</v>
      </c>
      <c r="V64" s="208">
        <v>3</v>
      </c>
      <c r="W64" s="208">
        <v>1</v>
      </c>
      <c r="X64" s="208">
        <v>2</v>
      </c>
      <c r="Y64" s="210">
        <v>1</v>
      </c>
      <c r="Z64" s="210">
        <v>1</v>
      </c>
      <c r="AA64" s="211">
        <v>2</v>
      </c>
      <c r="AB64" s="212">
        <v>1</v>
      </c>
      <c r="AC64" s="210">
        <v>0</v>
      </c>
      <c r="AD64" s="210">
        <v>0</v>
      </c>
      <c r="AE64" s="210">
        <v>0</v>
      </c>
      <c r="AF64" s="210">
        <v>1</v>
      </c>
      <c r="AG64" s="210">
        <v>0</v>
      </c>
      <c r="AH64" s="210">
        <v>5</v>
      </c>
      <c r="AI64" s="210">
        <v>1</v>
      </c>
      <c r="AJ64" s="210">
        <v>3</v>
      </c>
      <c r="AK64" s="210">
        <v>1</v>
      </c>
      <c r="AL64" s="210">
        <v>3</v>
      </c>
      <c r="AM64" s="211">
        <v>0</v>
      </c>
      <c r="AN64" s="242">
        <v>1</v>
      </c>
      <c r="AO64" s="208">
        <v>2</v>
      </c>
      <c r="AP64" s="208">
        <v>1</v>
      </c>
      <c r="AQ64" s="208">
        <v>0</v>
      </c>
      <c r="AR64" s="208">
        <v>2</v>
      </c>
      <c r="AS64" s="208">
        <v>1</v>
      </c>
      <c r="AT64" s="208">
        <v>0</v>
      </c>
      <c r="AU64" s="208">
        <v>1</v>
      </c>
      <c r="AV64" s="208">
        <v>2</v>
      </c>
      <c r="AW64" s="208">
        <v>0</v>
      </c>
      <c r="AX64" s="208">
        <v>2</v>
      </c>
      <c r="AY64" s="209">
        <v>5</v>
      </c>
      <c r="AZ64" s="207">
        <v>1</v>
      </c>
      <c r="BA64" s="208">
        <v>0</v>
      </c>
      <c r="BB64" s="208">
        <v>3</v>
      </c>
      <c r="BC64" s="208">
        <v>1</v>
      </c>
      <c r="BD64" s="208">
        <v>1</v>
      </c>
      <c r="BE64" s="208">
        <v>0</v>
      </c>
      <c r="BF64" s="208">
        <v>1</v>
      </c>
      <c r="BG64" s="208">
        <v>0</v>
      </c>
      <c r="BH64" s="208">
        <v>1</v>
      </c>
      <c r="BI64" s="208">
        <v>1</v>
      </c>
      <c r="BJ64" s="208">
        <v>0</v>
      </c>
      <c r="BK64" s="209">
        <v>0</v>
      </c>
      <c r="BL64" s="208">
        <v>2</v>
      </c>
      <c r="BM64" s="208">
        <v>0</v>
      </c>
      <c r="BN64" s="208">
        <v>2</v>
      </c>
      <c r="BO64" s="208">
        <v>0</v>
      </c>
      <c r="BP64" s="208">
        <v>1</v>
      </c>
      <c r="BQ64" s="208"/>
      <c r="BR64" s="208"/>
      <c r="BS64" s="208"/>
      <c r="BT64" s="208"/>
      <c r="BU64" s="210"/>
      <c r="BV64" s="210"/>
      <c r="BW64" s="213"/>
    </row>
    <row r="65" spans="1:75" s="294" customFormat="1" ht="17" thickBot="1" x14ac:dyDescent="0.5">
      <c r="A65" s="462"/>
      <c r="B65" s="535"/>
      <c r="C65" s="280" t="s">
        <v>398</v>
      </c>
      <c r="D65" s="281">
        <v>0</v>
      </c>
      <c r="E65" s="286">
        <v>0</v>
      </c>
      <c r="F65" s="286">
        <v>2</v>
      </c>
      <c r="G65" s="286">
        <v>2</v>
      </c>
      <c r="H65" s="286">
        <v>1</v>
      </c>
      <c r="I65" s="286">
        <v>1</v>
      </c>
      <c r="J65" s="286">
        <v>0</v>
      </c>
      <c r="K65" s="286">
        <v>1</v>
      </c>
      <c r="L65" s="286">
        <v>1</v>
      </c>
      <c r="M65" s="286">
        <v>1</v>
      </c>
      <c r="N65" s="286">
        <v>0</v>
      </c>
      <c r="O65" s="287">
        <v>1</v>
      </c>
      <c r="P65" s="286">
        <v>1</v>
      </c>
      <c r="Q65" s="286">
        <v>2</v>
      </c>
      <c r="R65" s="286">
        <v>1</v>
      </c>
      <c r="S65" s="286">
        <v>2</v>
      </c>
      <c r="T65" s="286">
        <v>0</v>
      </c>
      <c r="U65" s="286">
        <v>0</v>
      </c>
      <c r="V65" s="286">
        <v>3</v>
      </c>
      <c r="W65" s="286">
        <v>1</v>
      </c>
      <c r="X65" s="286">
        <v>2</v>
      </c>
      <c r="Y65" s="288">
        <v>1</v>
      </c>
      <c r="Z65" s="288">
        <v>1</v>
      </c>
      <c r="AA65" s="289">
        <v>2</v>
      </c>
      <c r="AB65" s="290">
        <v>1</v>
      </c>
      <c r="AC65" s="288">
        <v>0</v>
      </c>
      <c r="AD65" s="288">
        <v>0</v>
      </c>
      <c r="AE65" s="288">
        <v>0</v>
      </c>
      <c r="AF65" s="288">
        <v>0</v>
      </c>
      <c r="AG65" s="288">
        <v>0</v>
      </c>
      <c r="AH65" s="288">
        <v>5</v>
      </c>
      <c r="AI65" s="288">
        <v>1</v>
      </c>
      <c r="AJ65" s="288">
        <v>3</v>
      </c>
      <c r="AK65" s="288">
        <v>1</v>
      </c>
      <c r="AL65" s="288">
        <v>3</v>
      </c>
      <c r="AM65" s="289">
        <v>0</v>
      </c>
      <c r="AN65" s="291">
        <v>1</v>
      </c>
      <c r="AO65" s="286">
        <v>2</v>
      </c>
      <c r="AP65" s="286">
        <v>1</v>
      </c>
      <c r="AQ65" s="286">
        <v>0</v>
      </c>
      <c r="AR65" s="286">
        <v>2</v>
      </c>
      <c r="AS65" s="286">
        <v>1</v>
      </c>
      <c r="AT65" s="286">
        <v>0</v>
      </c>
      <c r="AU65" s="286">
        <v>1</v>
      </c>
      <c r="AV65" s="286">
        <v>2</v>
      </c>
      <c r="AW65" s="286">
        <v>0</v>
      </c>
      <c r="AX65" s="286">
        <v>2</v>
      </c>
      <c r="AY65" s="287">
        <v>3</v>
      </c>
      <c r="AZ65" s="281">
        <v>1</v>
      </c>
      <c r="BA65" s="286">
        <v>0</v>
      </c>
      <c r="BB65" s="286">
        <v>2</v>
      </c>
      <c r="BC65" s="286">
        <v>1</v>
      </c>
      <c r="BD65" s="286">
        <v>1</v>
      </c>
      <c r="BE65" s="286">
        <v>0</v>
      </c>
      <c r="BF65" s="286">
        <v>1</v>
      </c>
      <c r="BG65" s="286">
        <v>0</v>
      </c>
      <c r="BH65" s="286">
        <v>1</v>
      </c>
      <c r="BI65" s="286">
        <v>1</v>
      </c>
      <c r="BJ65" s="286">
        <v>0</v>
      </c>
      <c r="BK65" s="287">
        <v>0</v>
      </c>
      <c r="BL65" s="286">
        <v>2</v>
      </c>
      <c r="BM65" s="286">
        <v>0</v>
      </c>
      <c r="BN65" s="286">
        <v>1</v>
      </c>
      <c r="BO65" s="286">
        <v>0</v>
      </c>
      <c r="BP65" s="286">
        <v>1</v>
      </c>
      <c r="BQ65" s="286"/>
      <c r="BR65" s="286"/>
      <c r="BS65" s="286"/>
      <c r="BT65" s="286"/>
      <c r="BU65" s="288"/>
      <c r="BV65" s="288"/>
      <c r="BW65" s="293"/>
    </row>
    <row r="66" spans="1:75" s="294" customFormat="1" ht="17" thickBot="1" x14ac:dyDescent="0.5">
      <c r="A66" s="462"/>
      <c r="B66" s="535"/>
      <c r="C66" s="280" t="s">
        <v>404</v>
      </c>
      <c r="D66" s="282">
        <v>0</v>
      </c>
      <c r="E66" s="295">
        <v>0</v>
      </c>
      <c r="F66" s="295">
        <v>0</v>
      </c>
      <c r="G66" s="295">
        <v>1</v>
      </c>
      <c r="H66" s="295">
        <v>0</v>
      </c>
      <c r="I66" s="295">
        <v>0</v>
      </c>
      <c r="J66" s="295">
        <v>0</v>
      </c>
      <c r="K66" s="295">
        <v>0</v>
      </c>
      <c r="L66" s="295">
        <v>1</v>
      </c>
      <c r="M66" s="295">
        <v>0</v>
      </c>
      <c r="N66" s="295">
        <v>0</v>
      </c>
      <c r="O66" s="296">
        <v>0</v>
      </c>
      <c r="P66" s="295">
        <v>1</v>
      </c>
      <c r="Q66" s="295">
        <v>1</v>
      </c>
      <c r="R66" s="295">
        <v>0</v>
      </c>
      <c r="S66" s="295">
        <v>0</v>
      </c>
      <c r="T66" s="295">
        <v>0</v>
      </c>
      <c r="U66" s="295">
        <v>0</v>
      </c>
      <c r="V66" s="295">
        <v>0</v>
      </c>
      <c r="W66" s="295">
        <v>0</v>
      </c>
      <c r="X66" s="295">
        <v>0</v>
      </c>
      <c r="Y66" s="297">
        <v>0</v>
      </c>
      <c r="Z66" s="297">
        <v>0</v>
      </c>
      <c r="AA66" s="298">
        <v>0</v>
      </c>
      <c r="AB66" s="299">
        <v>0</v>
      </c>
      <c r="AC66" s="297">
        <v>0</v>
      </c>
      <c r="AD66" s="297">
        <v>0</v>
      </c>
      <c r="AE66" s="297">
        <v>0</v>
      </c>
      <c r="AF66" s="297">
        <v>0</v>
      </c>
      <c r="AG66" s="297">
        <v>0</v>
      </c>
      <c r="AH66" s="297">
        <v>0</v>
      </c>
      <c r="AI66" s="297">
        <v>0</v>
      </c>
      <c r="AJ66" s="297">
        <v>0</v>
      </c>
      <c r="AK66" s="297">
        <v>0</v>
      </c>
      <c r="AL66" s="297">
        <v>1</v>
      </c>
      <c r="AM66" s="298">
        <v>0</v>
      </c>
      <c r="AN66" s="300">
        <v>0</v>
      </c>
      <c r="AO66" s="295">
        <v>0</v>
      </c>
      <c r="AP66" s="295">
        <v>0</v>
      </c>
      <c r="AQ66" s="295">
        <v>0</v>
      </c>
      <c r="AR66" s="295">
        <v>2</v>
      </c>
      <c r="AS66" s="295">
        <v>0</v>
      </c>
      <c r="AT66" s="295">
        <v>0</v>
      </c>
      <c r="AU66" s="295">
        <v>0</v>
      </c>
      <c r="AV66" s="295">
        <v>0</v>
      </c>
      <c r="AW66" s="295">
        <v>0</v>
      </c>
      <c r="AX66" s="295">
        <v>0</v>
      </c>
      <c r="AY66" s="296">
        <v>0</v>
      </c>
      <c r="AZ66" s="282">
        <v>0</v>
      </c>
      <c r="BA66" s="295">
        <v>0</v>
      </c>
      <c r="BB66" s="295">
        <v>2</v>
      </c>
      <c r="BC66" s="295">
        <v>0</v>
      </c>
      <c r="BD66" s="295">
        <v>0</v>
      </c>
      <c r="BE66" s="295">
        <v>0</v>
      </c>
      <c r="BF66" s="295">
        <v>0</v>
      </c>
      <c r="BG66" s="295">
        <v>0</v>
      </c>
      <c r="BH66" s="295">
        <v>1</v>
      </c>
      <c r="BI66" s="295">
        <v>0</v>
      </c>
      <c r="BJ66" s="295">
        <v>0</v>
      </c>
      <c r="BK66" s="296">
        <v>0</v>
      </c>
      <c r="BL66" s="295">
        <v>1</v>
      </c>
      <c r="BM66" s="295">
        <v>0</v>
      </c>
      <c r="BN66" s="295">
        <v>0</v>
      </c>
      <c r="BO66" s="295">
        <v>0</v>
      </c>
      <c r="BP66" s="295">
        <v>0</v>
      </c>
      <c r="BQ66" s="295"/>
      <c r="BR66" s="295"/>
      <c r="BS66" s="295"/>
      <c r="BT66" s="295"/>
      <c r="BU66" s="297"/>
      <c r="BV66" s="297"/>
      <c r="BW66" s="302"/>
    </row>
    <row r="67" spans="1:75" s="294" customFormat="1" ht="17" thickBot="1" x14ac:dyDescent="0.35">
      <c r="A67" s="462"/>
      <c r="B67" s="535"/>
      <c r="C67" s="280" t="s">
        <v>399</v>
      </c>
      <c r="D67" s="283">
        <v>0</v>
      </c>
      <c r="E67" s="303">
        <v>0</v>
      </c>
      <c r="F67" s="303">
        <v>2</v>
      </c>
      <c r="G67" s="303">
        <v>2</v>
      </c>
      <c r="H67" s="303">
        <v>1</v>
      </c>
      <c r="I67" s="303">
        <v>1</v>
      </c>
      <c r="J67" s="303">
        <v>0</v>
      </c>
      <c r="K67" s="303">
        <v>1</v>
      </c>
      <c r="L67" s="303">
        <v>1</v>
      </c>
      <c r="M67" s="303">
        <v>1</v>
      </c>
      <c r="N67" s="303">
        <v>0</v>
      </c>
      <c r="O67" s="304">
        <v>1</v>
      </c>
      <c r="P67" s="303">
        <v>1</v>
      </c>
      <c r="Q67" s="303">
        <v>2</v>
      </c>
      <c r="R67" s="303">
        <v>1</v>
      </c>
      <c r="S67" s="303">
        <v>2</v>
      </c>
      <c r="T67" s="303">
        <v>0</v>
      </c>
      <c r="U67" s="303">
        <v>0</v>
      </c>
      <c r="V67" s="303">
        <v>3</v>
      </c>
      <c r="W67" s="303">
        <v>1</v>
      </c>
      <c r="X67" s="303">
        <v>2</v>
      </c>
      <c r="Y67" s="303">
        <v>1</v>
      </c>
      <c r="Z67" s="303">
        <v>1</v>
      </c>
      <c r="AA67" s="304">
        <v>2</v>
      </c>
      <c r="AB67" s="303">
        <v>1</v>
      </c>
      <c r="AC67" s="303">
        <v>0</v>
      </c>
      <c r="AD67" s="303">
        <v>0</v>
      </c>
      <c r="AE67" s="303">
        <v>0</v>
      </c>
      <c r="AF67" s="303">
        <v>0</v>
      </c>
      <c r="AG67" s="303">
        <v>0</v>
      </c>
      <c r="AH67" s="303">
        <v>5</v>
      </c>
      <c r="AI67" s="303">
        <v>1</v>
      </c>
      <c r="AJ67" s="303">
        <v>3</v>
      </c>
      <c r="AK67" s="303">
        <v>1</v>
      </c>
      <c r="AL67" s="303">
        <v>3</v>
      </c>
      <c r="AM67" s="304">
        <v>0</v>
      </c>
      <c r="AN67" s="305">
        <v>1</v>
      </c>
      <c r="AO67" s="303">
        <v>2</v>
      </c>
      <c r="AP67" s="303">
        <v>1</v>
      </c>
      <c r="AQ67" s="303">
        <v>0</v>
      </c>
      <c r="AR67" s="303">
        <v>2</v>
      </c>
      <c r="AS67" s="303">
        <v>1</v>
      </c>
      <c r="AT67" s="303">
        <v>0</v>
      </c>
      <c r="AU67" s="303">
        <v>1</v>
      </c>
      <c r="AV67" s="303">
        <v>2</v>
      </c>
      <c r="AW67" s="303">
        <v>0</v>
      </c>
      <c r="AX67" s="303">
        <v>2</v>
      </c>
      <c r="AY67" s="304">
        <v>3</v>
      </c>
      <c r="AZ67" s="283">
        <v>1</v>
      </c>
      <c r="BA67" s="303">
        <v>0</v>
      </c>
      <c r="BB67" s="303">
        <v>2</v>
      </c>
      <c r="BC67" s="303">
        <v>1</v>
      </c>
      <c r="BD67" s="303">
        <v>1</v>
      </c>
      <c r="BE67" s="303">
        <v>0</v>
      </c>
      <c r="BF67" s="303">
        <v>1</v>
      </c>
      <c r="BG67" s="303">
        <v>0</v>
      </c>
      <c r="BH67" s="303">
        <v>1</v>
      </c>
      <c r="BI67" s="303">
        <v>1</v>
      </c>
      <c r="BJ67" s="303">
        <v>0</v>
      </c>
      <c r="BK67" s="304">
        <v>0</v>
      </c>
      <c r="BL67" s="303">
        <v>2</v>
      </c>
      <c r="BM67" s="303">
        <v>0</v>
      </c>
      <c r="BN67" s="303">
        <v>1</v>
      </c>
      <c r="BO67" s="303">
        <v>0</v>
      </c>
      <c r="BP67" s="303">
        <v>1</v>
      </c>
      <c r="BQ67" s="303"/>
      <c r="BR67" s="303"/>
      <c r="BS67" s="303"/>
      <c r="BT67" s="303"/>
      <c r="BU67" s="303"/>
      <c r="BV67" s="303"/>
      <c r="BW67" s="306"/>
    </row>
    <row r="68" spans="1:75" s="294" customFormat="1" ht="17" thickBot="1" x14ac:dyDescent="0.35">
      <c r="A68" s="462"/>
      <c r="B68" s="535"/>
      <c r="C68" s="280" t="s">
        <v>400</v>
      </c>
      <c r="D68" s="284">
        <v>0</v>
      </c>
      <c r="E68" s="307">
        <v>0</v>
      </c>
      <c r="F68" s="307">
        <v>3</v>
      </c>
      <c r="G68" s="307">
        <v>1</v>
      </c>
      <c r="H68" s="307">
        <v>1</v>
      </c>
      <c r="I68" s="307">
        <v>1</v>
      </c>
      <c r="J68" s="307">
        <v>0</v>
      </c>
      <c r="K68" s="307">
        <v>2</v>
      </c>
      <c r="L68" s="307">
        <v>0</v>
      </c>
      <c r="M68" s="307">
        <v>1</v>
      </c>
      <c r="N68" s="307">
        <v>0</v>
      </c>
      <c r="O68" s="308">
        <v>1</v>
      </c>
      <c r="P68" s="307">
        <v>0</v>
      </c>
      <c r="Q68" s="307">
        <v>2</v>
      </c>
      <c r="R68" s="307">
        <v>1</v>
      </c>
      <c r="S68" s="307">
        <v>2</v>
      </c>
      <c r="T68" s="307">
        <v>0</v>
      </c>
      <c r="U68" s="307">
        <v>1</v>
      </c>
      <c r="V68" s="307">
        <v>3</v>
      </c>
      <c r="W68" s="307">
        <v>1</v>
      </c>
      <c r="X68" s="307">
        <v>2</v>
      </c>
      <c r="Y68" s="307">
        <v>1</v>
      </c>
      <c r="Z68" s="307">
        <v>1</v>
      </c>
      <c r="AA68" s="308">
        <v>2</v>
      </c>
      <c r="AB68" s="307">
        <v>1</v>
      </c>
      <c r="AC68" s="307">
        <v>0</v>
      </c>
      <c r="AD68" s="307">
        <v>0</v>
      </c>
      <c r="AE68" s="307">
        <v>0</v>
      </c>
      <c r="AF68" s="307">
        <v>1</v>
      </c>
      <c r="AG68" s="307">
        <v>0</v>
      </c>
      <c r="AH68" s="307">
        <v>5</v>
      </c>
      <c r="AI68" s="307">
        <v>1</v>
      </c>
      <c r="AJ68" s="307">
        <v>2</v>
      </c>
      <c r="AK68" s="307">
        <v>1</v>
      </c>
      <c r="AL68" s="307">
        <v>2</v>
      </c>
      <c r="AM68" s="308">
        <v>0</v>
      </c>
      <c r="AN68" s="309">
        <v>1</v>
      </c>
      <c r="AO68" s="307">
        <v>2</v>
      </c>
      <c r="AP68" s="307">
        <v>1</v>
      </c>
      <c r="AQ68" s="307">
        <v>0</v>
      </c>
      <c r="AR68" s="307">
        <v>0</v>
      </c>
      <c r="AS68" s="307">
        <v>0</v>
      </c>
      <c r="AT68" s="307">
        <v>0</v>
      </c>
      <c r="AU68" s="307">
        <v>1</v>
      </c>
      <c r="AV68" s="307">
        <v>2</v>
      </c>
      <c r="AW68" s="307">
        <v>0</v>
      </c>
      <c r="AX68" s="307">
        <v>2</v>
      </c>
      <c r="AY68" s="308">
        <v>5</v>
      </c>
      <c r="AZ68" s="284">
        <v>1</v>
      </c>
      <c r="BA68" s="307">
        <v>0</v>
      </c>
      <c r="BB68" s="307">
        <v>1</v>
      </c>
      <c r="BC68" s="307">
        <v>1</v>
      </c>
      <c r="BD68" s="307">
        <v>1</v>
      </c>
      <c r="BE68" s="307">
        <v>0</v>
      </c>
      <c r="BF68" s="307">
        <v>1</v>
      </c>
      <c r="BG68" s="307">
        <v>0</v>
      </c>
      <c r="BH68" s="307">
        <v>0</v>
      </c>
      <c r="BI68" s="307">
        <v>1</v>
      </c>
      <c r="BJ68" s="307">
        <v>0</v>
      </c>
      <c r="BK68" s="308">
        <v>0</v>
      </c>
      <c r="BL68" s="307">
        <v>1</v>
      </c>
      <c r="BM68" s="307">
        <v>0</v>
      </c>
      <c r="BN68" s="307">
        <v>2</v>
      </c>
      <c r="BO68" s="307">
        <v>0</v>
      </c>
      <c r="BP68" s="307">
        <v>1</v>
      </c>
      <c r="BQ68" s="307"/>
      <c r="BR68" s="307"/>
      <c r="BS68" s="307"/>
      <c r="BT68" s="307"/>
      <c r="BU68" s="307"/>
      <c r="BV68" s="307"/>
      <c r="BW68" s="310"/>
    </row>
    <row r="69" spans="1:75" s="294" customFormat="1" ht="17" thickBot="1" x14ac:dyDescent="0.35">
      <c r="A69" s="462"/>
      <c r="B69" s="536"/>
      <c r="C69" s="315" t="s">
        <v>401</v>
      </c>
      <c r="D69" s="285">
        <v>0</v>
      </c>
      <c r="E69" s="311">
        <v>0</v>
      </c>
      <c r="F69" s="311">
        <v>3</v>
      </c>
      <c r="G69" s="311">
        <v>2</v>
      </c>
      <c r="H69" s="311">
        <v>1</v>
      </c>
      <c r="I69" s="311">
        <v>2</v>
      </c>
      <c r="J69" s="311">
        <v>0</v>
      </c>
      <c r="K69" s="311">
        <v>2</v>
      </c>
      <c r="L69" s="311">
        <v>0</v>
      </c>
      <c r="M69" s="311">
        <v>1</v>
      </c>
      <c r="N69" s="311">
        <v>0</v>
      </c>
      <c r="O69" s="312">
        <v>1</v>
      </c>
      <c r="P69" s="311">
        <v>0</v>
      </c>
      <c r="Q69" s="311">
        <v>2</v>
      </c>
      <c r="R69" s="311">
        <v>1</v>
      </c>
      <c r="S69" s="311">
        <v>2</v>
      </c>
      <c r="T69" s="311">
        <v>0</v>
      </c>
      <c r="U69" s="311">
        <v>1</v>
      </c>
      <c r="V69" s="311">
        <v>3</v>
      </c>
      <c r="W69" s="311">
        <v>1</v>
      </c>
      <c r="X69" s="311">
        <v>2</v>
      </c>
      <c r="Y69" s="311">
        <v>1</v>
      </c>
      <c r="Z69" s="311">
        <v>1</v>
      </c>
      <c r="AA69" s="312">
        <v>2</v>
      </c>
      <c r="AB69" s="311">
        <v>1</v>
      </c>
      <c r="AC69" s="311">
        <v>0</v>
      </c>
      <c r="AD69" s="311">
        <v>0</v>
      </c>
      <c r="AE69" s="311">
        <v>0</v>
      </c>
      <c r="AF69" s="311">
        <v>1</v>
      </c>
      <c r="AG69" s="311">
        <v>0</v>
      </c>
      <c r="AH69" s="311">
        <v>5</v>
      </c>
      <c r="AI69" s="311">
        <v>1</v>
      </c>
      <c r="AJ69" s="311">
        <v>2</v>
      </c>
      <c r="AK69" s="311">
        <v>1</v>
      </c>
      <c r="AL69" s="311">
        <v>2</v>
      </c>
      <c r="AM69" s="312">
        <v>0</v>
      </c>
      <c r="AN69" s="313">
        <v>1</v>
      </c>
      <c r="AO69" s="311">
        <v>2</v>
      </c>
      <c r="AP69" s="311">
        <v>1</v>
      </c>
      <c r="AQ69" s="311">
        <v>0</v>
      </c>
      <c r="AR69" s="311">
        <v>0</v>
      </c>
      <c r="AS69" s="311">
        <v>1</v>
      </c>
      <c r="AT69" s="311">
        <v>0</v>
      </c>
      <c r="AU69" s="311">
        <v>1</v>
      </c>
      <c r="AV69" s="311">
        <v>2</v>
      </c>
      <c r="AW69" s="311">
        <v>0</v>
      </c>
      <c r="AX69" s="311">
        <v>2</v>
      </c>
      <c r="AY69" s="312">
        <v>5</v>
      </c>
      <c r="AZ69" s="285">
        <v>1</v>
      </c>
      <c r="BA69" s="311">
        <v>0</v>
      </c>
      <c r="BB69" s="311">
        <v>1</v>
      </c>
      <c r="BC69" s="311">
        <v>1</v>
      </c>
      <c r="BD69" s="311">
        <v>1</v>
      </c>
      <c r="BE69" s="311">
        <v>0</v>
      </c>
      <c r="BF69" s="311">
        <v>1</v>
      </c>
      <c r="BG69" s="311">
        <v>0</v>
      </c>
      <c r="BH69" s="311">
        <v>0</v>
      </c>
      <c r="BI69" s="311">
        <v>1</v>
      </c>
      <c r="BJ69" s="311">
        <v>0</v>
      </c>
      <c r="BK69" s="312">
        <v>0</v>
      </c>
      <c r="BL69" s="311">
        <v>1</v>
      </c>
      <c r="BM69" s="311">
        <v>0</v>
      </c>
      <c r="BN69" s="311">
        <v>2</v>
      </c>
      <c r="BO69" s="311">
        <v>0</v>
      </c>
      <c r="BP69" s="311">
        <v>1</v>
      </c>
      <c r="BQ69" s="311"/>
      <c r="BR69" s="311"/>
      <c r="BS69" s="311"/>
      <c r="BT69" s="311"/>
      <c r="BU69" s="311"/>
      <c r="BV69" s="311"/>
      <c r="BW69" s="314"/>
    </row>
    <row r="70" spans="1:75" ht="17" thickBot="1" x14ac:dyDescent="0.5">
      <c r="A70" s="462"/>
      <c r="B70" s="535" t="s">
        <v>260</v>
      </c>
      <c r="C70" s="239" t="s">
        <v>403</v>
      </c>
      <c r="D70" s="207"/>
      <c r="E70" s="208"/>
      <c r="F70" s="208"/>
      <c r="G70" s="208"/>
      <c r="H70" s="208"/>
      <c r="I70" s="208"/>
      <c r="J70" s="208"/>
      <c r="K70" s="208"/>
      <c r="L70" s="208"/>
      <c r="M70" s="208"/>
      <c r="N70" s="208"/>
      <c r="O70" s="209"/>
      <c r="P70" s="208"/>
      <c r="Q70" s="208"/>
      <c r="R70" s="208"/>
      <c r="S70" s="208"/>
      <c r="T70" s="208"/>
      <c r="U70" s="208"/>
      <c r="V70" s="208"/>
      <c r="W70" s="208"/>
      <c r="X70" s="208"/>
      <c r="Y70" s="210"/>
      <c r="Z70" s="210"/>
      <c r="AA70" s="211"/>
      <c r="AB70" s="207"/>
      <c r="AC70" s="208"/>
      <c r="AD70" s="208"/>
      <c r="AE70" s="208"/>
      <c r="AF70" s="208"/>
      <c r="AG70" s="208"/>
      <c r="AH70" s="208"/>
      <c r="AI70" s="208"/>
      <c r="AJ70" s="208"/>
      <c r="AK70" s="208"/>
      <c r="AL70" s="208"/>
      <c r="AM70" s="209"/>
      <c r="AN70" s="208"/>
      <c r="AO70" s="208"/>
      <c r="AP70" s="208"/>
      <c r="AQ70" s="208"/>
      <c r="AR70" s="208"/>
      <c r="AS70" s="208"/>
      <c r="AT70" s="208"/>
      <c r="AU70" s="208"/>
      <c r="AV70" s="208"/>
      <c r="AW70" s="210"/>
      <c r="AX70" s="210"/>
      <c r="AY70" s="211"/>
      <c r="AZ70" s="242"/>
      <c r="BA70" s="208"/>
      <c r="BB70" s="208"/>
      <c r="BC70" s="208"/>
      <c r="BD70" s="208"/>
      <c r="BE70" s="208"/>
      <c r="BF70" s="208"/>
      <c r="BG70" s="208"/>
      <c r="BH70" s="208"/>
      <c r="BI70" s="208"/>
      <c r="BJ70" s="208"/>
      <c r="BK70" s="209"/>
      <c r="BL70" s="208"/>
      <c r="BM70" s="208"/>
      <c r="BN70" s="208"/>
      <c r="BO70" s="208"/>
      <c r="BP70" s="208"/>
      <c r="BQ70" s="208"/>
      <c r="BR70" s="208"/>
      <c r="BS70" s="208"/>
      <c r="BT70" s="208"/>
      <c r="BU70" s="210"/>
      <c r="BV70" s="210"/>
      <c r="BW70" s="213"/>
    </row>
    <row r="71" spans="1:75" ht="17" thickBot="1" x14ac:dyDescent="0.5">
      <c r="A71" s="462"/>
      <c r="B71" s="535"/>
      <c r="C71" s="280" t="s">
        <v>398</v>
      </c>
      <c r="D71" s="281"/>
      <c r="E71" s="286"/>
      <c r="F71" s="286"/>
      <c r="G71" s="286"/>
      <c r="H71" s="286"/>
      <c r="I71" s="286"/>
      <c r="J71" s="286"/>
      <c r="K71" s="286"/>
      <c r="L71" s="286"/>
      <c r="M71" s="286"/>
      <c r="N71" s="286"/>
      <c r="O71" s="287"/>
      <c r="P71" s="286"/>
      <c r="Q71" s="286"/>
      <c r="R71" s="286"/>
      <c r="S71" s="286"/>
      <c r="T71" s="286"/>
      <c r="U71" s="286"/>
      <c r="V71" s="286"/>
      <c r="W71" s="286"/>
      <c r="X71" s="286"/>
      <c r="Y71" s="288"/>
      <c r="Z71" s="288"/>
      <c r="AA71" s="289"/>
      <c r="AB71" s="281"/>
      <c r="AC71" s="286"/>
      <c r="AD71" s="286"/>
      <c r="AE71" s="286"/>
      <c r="AF71" s="286"/>
      <c r="AG71" s="286"/>
      <c r="AH71" s="286"/>
      <c r="AI71" s="286"/>
      <c r="AJ71" s="286"/>
      <c r="AK71" s="286"/>
      <c r="AL71" s="286"/>
      <c r="AM71" s="287"/>
      <c r="AN71" s="286"/>
      <c r="AO71" s="286"/>
      <c r="AP71" s="286"/>
      <c r="AQ71" s="286"/>
      <c r="AR71" s="286"/>
      <c r="AS71" s="286"/>
      <c r="AT71" s="286"/>
      <c r="AU71" s="286"/>
      <c r="AV71" s="286"/>
      <c r="AW71" s="288"/>
      <c r="AX71" s="288"/>
      <c r="AY71" s="289"/>
      <c r="AZ71" s="291"/>
      <c r="BA71" s="286"/>
      <c r="BB71" s="286"/>
      <c r="BC71" s="286"/>
      <c r="BD71" s="286"/>
      <c r="BE71" s="286"/>
      <c r="BF71" s="286"/>
      <c r="BG71" s="286"/>
      <c r="BH71" s="286"/>
      <c r="BI71" s="286"/>
      <c r="BJ71" s="286"/>
      <c r="BK71" s="287"/>
      <c r="BL71" s="286"/>
      <c r="BM71" s="286"/>
      <c r="BN71" s="286"/>
      <c r="BO71" s="286"/>
      <c r="BP71" s="286"/>
      <c r="BQ71" s="286"/>
      <c r="BR71" s="286"/>
      <c r="BS71" s="286"/>
      <c r="BT71" s="286"/>
      <c r="BU71" s="288"/>
      <c r="BV71" s="288"/>
      <c r="BW71" s="293"/>
    </row>
    <row r="72" spans="1:75" ht="17" thickBot="1" x14ac:dyDescent="0.5">
      <c r="A72" s="462"/>
      <c r="B72" s="535"/>
      <c r="C72" s="280" t="s">
        <v>404</v>
      </c>
      <c r="D72" s="282"/>
      <c r="E72" s="295"/>
      <c r="F72" s="295"/>
      <c r="G72" s="295"/>
      <c r="H72" s="295"/>
      <c r="I72" s="295"/>
      <c r="J72" s="295"/>
      <c r="K72" s="295"/>
      <c r="L72" s="295"/>
      <c r="M72" s="295"/>
      <c r="N72" s="295"/>
      <c r="O72" s="296"/>
      <c r="P72" s="295"/>
      <c r="Q72" s="295"/>
      <c r="R72" s="295"/>
      <c r="S72" s="295"/>
      <c r="T72" s="295"/>
      <c r="U72" s="295"/>
      <c r="V72" s="295"/>
      <c r="W72" s="295"/>
      <c r="X72" s="295"/>
      <c r="Y72" s="297"/>
      <c r="Z72" s="297"/>
      <c r="AA72" s="298"/>
      <c r="AB72" s="282"/>
      <c r="AC72" s="295"/>
      <c r="AD72" s="295"/>
      <c r="AE72" s="295"/>
      <c r="AF72" s="295"/>
      <c r="AG72" s="295"/>
      <c r="AH72" s="295"/>
      <c r="AI72" s="295"/>
      <c r="AJ72" s="295"/>
      <c r="AK72" s="295"/>
      <c r="AL72" s="295"/>
      <c r="AM72" s="296"/>
      <c r="AN72" s="295"/>
      <c r="AO72" s="295"/>
      <c r="AP72" s="295"/>
      <c r="AQ72" s="295"/>
      <c r="AR72" s="295"/>
      <c r="AS72" s="295"/>
      <c r="AT72" s="295"/>
      <c r="AU72" s="295"/>
      <c r="AV72" s="295"/>
      <c r="AW72" s="297"/>
      <c r="AX72" s="297"/>
      <c r="AY72" s="298"/>
      <c r="AZ72" s="300"/>
      <c r="BA72" s="295"/>
      <c r="BB72" s="295"/>
      <c r="BC72" s="295"/>
      <c r="BD72" s="295"/>
      <c r="BE72" s="295"/>
      <c r="BF72" s="295"/>
      <c r="BG72" s="295"/>
      <c r="BH72" s="295"/>
      <c r="BI72" s="295"/>
      <c r="BJ72" s="295"/>
      <c r="BK72" s="296"/>
      <c r="BL72" s="295"/>
      <c r="BM72" s="295"/>
      <c r="BN72" s="295"/>
      <c r="BO72" s="295"/>
      <c r="BP72" s="295"/>
      <c r="BQ72" s="295"/>
      <c r="BR72" s="295"/>
      <c r="BS72" s="295"/>
      <c r="BT72" s="295"/>
      <c r="BU72" s="297"/>
      <c r="BV72" s="297"/>
      <c r="BW72" s="302"/>
    </row>
    <row r="73" spans="1:75" ht="17" thickBot="1" x14ac:dyDescent="0.35">
      <c r="A73" s="462"/>
      <c r="B73" s="535"/>
      <c r="C73" s="280" t="s">
        <v>399</v>
      </c>
      <c r="D73" s="283"/>
      <c r="E73" s="303"/>
      <c r="F73" s="303"/>
      <c r="G73" s="303"/>
      <c r="H73" s="303"/>
      <c r="I73" s="303"/>
      <c r="J73" s="303"/>
      <c r="K73" s="303"/>
      <c r="L73" s="303"/>
      <c r="M73" s="303"/>
      <c r="N73" s="303"/>
      <c r="O73" s="304"/>
      <c r="P73" s="303"/>
      <c r="Q73" s="303"/>
      <c r="R73" s="303"/>
      <c r="S73" s="303"/>
      <c r="T73" s="303"/>
      <c r="U73" s="303"/>
      <c r="V73" s="303"/>
      <c r="W73" s="303"/>
      <c r="X73" s="303"/>
      <c r="Y73" s="303"/>
      <c r="Z73" s="303"/>
      <c r="AA73" s="304"/>
      <c r="AB73" s="283"/>
      <c r="AC73" s="303"/>
      <c r="AD73" s="303"/>
      <c r="AE73" s="303"/>
      <c r="AF73" s="303"/>
      <c r="AG73" s="303"/>
      <c r="AH73" s="303"/>
      <c r="AI73" s="303"/>
      <c r="AJ73" s="303"/>
      <c r="AK73" s="303"/>
      <c r="AL73" s="303"/>
      <c r="AM73" s="304"/>
      <c r="AN73" s="303"/>
      <c r="AO73" s="303"/>
      <c r="AP73" s="303"/>
      <c r="AQ73" s="303"/>
      <c r="AR73" s="303"/>
      <c r="AS73" s="303"/>
      <c r="AT73" s="303"/>
      <c r="AU73" s="303"/>
      <c r="AV73" s="303"/>
      <c r="AW73" s="303"/>
      <c r="AX73" s="303"/>
      <c r="AY73" s="304"/>
      <c r="AZ73" s="305"/>
      <c r="BA73" s="303"/>
      <c r="BB73" s="303"/>
      <c r="BC73" s="303"/>
      <c r="BD73" s="303"/>
      <c r="BE73" s="303"/>
      <c r="BF73" s="303"/>
      <c r="BG73" s="303"/>
      <c r="BH73" s="303"/>
      <c r="BI73" s="303"/>
      <c r="BJ73" s="303"/>
      <c r="BK73" s="304"/>
      <c r="BL73" s="303"/>
      <c r="BM73" s="303"/>
      <c r="BN73" s="303"/>
      <c r="BO73" s="303"/>
      <c r="BP73" s="303"/>
      <c r="BQ73" s="303"/>
      <c r="BR73" s="303"/>
      <c r="BS73" s="303"/>
      <c r="BT73" s="303"/>
      <c r="BU73" s="303"/>
      <c r="BV73" s="303"/>
      <c r="BW73" s="306"/>
    </row>
    <row r="74" spans="1:75" ht="17" thickBot="1" x14ac:dyDescent="0.35">
      <c r="A74" s="462"/>
      <c r="B74" s="535"/>
      <c r="C74" s="280" t="s">
        <v>400</v>
      </c>
      <c r="D74" s="284"/>
      <c r="E74" s="307"/>
      <c r="F74" s="307"/>
      <c r="G74" s="307"/>
      <c r="H74" s="307"/>
      <c r="I74" s="307"/>
      <c r="J74" s="307"/>
      <c r="K74" s="307"/>
      <c r="L74" s="307"/>
      <c r="M74" s="307"/>
      <c r="N74" s="307"/>
      <c r="O74" s="308"/>
      <c r="P74" s="307"/>
      <c r="Q74" s="307"/>
      <c r="R74" s="307"/>
      <c r="S74" s="307"/>
      <c r="T74" s="307"/>
      <c r="U74" s="307"/>
      <c r="V74" s="307"/>
      <c r="W74" s="307"/>
      <c r="X74" s="307"/>
      <c r="Y74" s="307"/>
      <c r="Z74" s="307"/>
      <c r="AA74" s="308"/>
      <c r="AB74" s="284"/>
      <c r="AC74" s="307"/>
      <c r="AD74" s="307"/>
      <c r="AE74" s="307"/>
      <c r="AF74" s="307"/>
      <c r="AG74" s="307"/>
      <c r="AH74" s="307"/>
      <c r="AI74" s="307"/>
      <c r="AJ74" s="307"/>
      <c r="AK74" s="307"/>
      <c r="AL74" s="307"/>
      <c r="AM74" s="308"/>
      <c r="AN74" s="307"/>
      <c r="AO74" s="307"/>
      <c r="AP74" s="307"/>
      <c r="AQ74" s="307"/>
      <c r="AR74" s="307"/>
      <c r="AS74" s="307"/>
      <c r="AT74" s="307"/>
      <c r="AU74" s="307"/>
      <c r="AV74" s="307"/>
      <c r="AW74" s="307"/>
      <c r="AX74" s="307"/>
      <c r="AY74" s="308"/>
      <c r="AZ74" s="309"/>
      <c r="BA74" s="307"/>
      <c r="BB74" s="307"/>
      <c r="BC74" s="307"/>
      <c r="BD74" s="307"/>
      <c r="BE74" s="307"/>
      <c r="BF74" s="307"/>
      <c r="BG74" s="307"/>
      <c r="BH74" s="307"/>
      <c r="BI74" s="307"/>
      <c r="BJ74" s="307"/>
      <c r="BK74" s="308"/>
      <c r="BL74" s="307"/>
      <c r="BM74" s="307"/>
      <c r="BN74" s="307"/>
      <c r="BO74" s="307"/>
      <c r="BP74" s="307"/>
      <c r="BQ74" s="307"/>
      <c r="BR74" s="307"/>
      <c r="BS74" s="307"/>
      <c r="BT74" s="307"/>
      <c r="BU74" s="307"/>
      <c r="BV74" s="307"/>
      <c r="BW74" s="310"/>
    </row>
    <row r="75" spans="1:75" ht="17" thickBot="1" x14ac:dyDescent="0.35">
      <c r="A75" s="462"/>
      <c r="B75" s="536"/>
      <c r="C75" s="280" t="s">
        <v>401</v>
      </c>
      <c r="D75" s="285"/>
      <c r="E75" s="311"/>
      <c r="F75" s="311"/>
      <c r="G75" s="311"/>
      <c r="H75" s="311"/>
      <c r="I75" s="311"/>
      <c r="J75" s="311"/>
      <c r="K75" s="311"/>
      <c r="L75" s="311"/>
      <c r="M75" s="311"/>
      <c r="N75" s="311"/>
      <c r="O75" s="312"/>
      <c r="P75" s="311"/>
      <c r="Q75" s="311"/>
      <c r="R75" s="311"/>
      <c r="S75" s="311"/>
      <c r="T75" s="311"/>
      <c r="U75" s="311"/>
      <c r="V75" s="311"/>
      <c r="W75" s="311"/>
      <c r="X75" s="311"/>
      <c r="Y75" s="311"/>
      <c r="Z75" s="311"/>
      <c r="AA75" s="312"/>
      <c r="AB75" s="285"/>
      <c r="AC75" s="311"/>
      <c r="AD75" s="311"/>
      <c r="AE75" s="311"/>
      <c r="AF75" s="311"/>
      <c r="AG75" s="311"/>
      <c r="AH75" s="311"/>
      <c r="AI75" s="311"/>
      <c r="AJ75" s="311"/>
      <c r="AK75" s="311"/>
      <c r="AL75" s="311"/>
      <c r="AM75" s="312"/>
      <c r="AN75" s="311"/>
      <c r="AO75" s="311"/>
      <c r="AP75" s="311"/>
      <c r="AQ75" s="311"/>
      <c r="AR75" s="311"/>
      <c r="AS75" s="311"/>
      <c r="AT75" s="311"/>
      <c r="AU75" s="311"/>
      <c r="AV75" s="311"/>
      <c r="AW75" s="311"/>
      <c r="AX75" s="311"/>
      <c r="AY75" s="312"/>
      <c r="AZ75" s="313"/>
      <c r="BA75" s="311"/>
      <c r="BB75" s="311"/>
      <c r="BC75" s="311"/>
      <c r="BD75" s="311"/>
      <c r="BE75" s="311"/>
      <c r="BF75" s="311"/>
      <c r="BG75" s="311"/>
      <c r="BH75" s="311"/>
      <c r="BI75" s="311"/>
      <c r="BJ75" s="311"/>
      <c r="BK75" s="312"/>
      <c r="BL75" s="311"/>
      <c r="BM75" s="311"/>
      <c r="BN75" s="311"/>
      <c r="BO75" s="311"/>
      <c r="BP75" s="311"/>
      <c r="BQ75" s="311"/>
      <c r="BR75" s="311"/>
      <c r="BS75" s="311"/>
      <c r="BT75" s="311"/>
      <c r="BU75" s="311"/>
      <c r="BV75" s="311"/>
      <c r="BW75" s="314"/>
    </row>
    <row r="76" spans="1:75" ht="17" thickBot="1" x14ac:dyDescent="0.5">
      <c r="A76" s="462"/>
      <c r="B76" s="535" t="s">
        <v>413</v>
      </c>
      <c r="C76" s="239" t="s">
        <v>403</v>
      </c>
      <c r="D76" s="207">
        <v>0</v>
      </c>
      <c r="E76" s="208">
        <v>0</v>
      </c>
      <c r="F76" s="208">
        <v>0</v>
      </c>
      <c r="G76" s="208">
        <v>0</v>
      </c>
      <c r="H76" s="208">
        <v>0</v>
      </c>
      <c r="I76" s="208">
        <v>0</v>
      </c>
      <c r="J76" s="208">
        <v>0</v>
      </c>
      <c r="K76" s="208">
        <v>0</v>
      </c>
      <c r="L76" s="208">
        <v>0</v>
      </c>
      <c r="M76" s="208">
        <v>1</v>
      </c>
      <c r="N76" s="208">
        <v>0</v>
      </c>
      <c r="O76" s="209">
        <v>1</v>
      </c>
      <c r="P76" s="208">
        <v>0</v>
      </c>
      <c r="Q76" s="208">
        <v>1</v>
      </c>
      <c r="R76" s="208">
        <v>0</v>
      </c>
      <c r="S76" s="208">
        <v>1</v>
      </c>
      <c r="T76" s="208">
        <v>0</v>
      </c>
      <c r="U76" s="208">
        <v>0</v>
      </c>
      <c r="V76" s="208">
        <v>1</v>
      </c>
      <c r="W76" s="208">
        <v>1</v>
      </c>
      <c r="X76" s="208">
        <v>0</v>
      </c>
      <c r="Y76" s="210">
        <v>0</v>
      </c>
      <c r="Z76" s="210">
        <v>0</v>
      </c>
      <c r="AA76" s="211">
        <v>0</v>
      </c>
      <c r="AB76" s="207">
        <v>2</v>
      </c>
      <c r="AC76" s="208">
        <v>0</v>
      </c>
      <c r="AD76" s="208">
        <v>2</v>
      </c>
      <c r="AE76" s="208">
        <v>0</v>
      </c>
      <c r="AF76" s="208">
        <v>0</v>
      </c>
      <c r="AG76" s="208">
        <v>0</v>
      </c>
      <c r="AH76" s="208">
        <v>0</v>
      </c>
      <c r="AI76" s="208">
        <v>1</v>
      </c>
      <c r="AJ76" s="208">
        <v>0</v>
      </c>
      <c r="AK76" s="208">
        <v>0</v>
      </c>
      <c r="AL76" s="208">
        <v>0</v>
      </c>
      <c r="AM76" s="209">
        <v>0</v>
      </c>
      <c r="AN76" s="208">
        <v>0</v>
      </c>
      <c r="AO76" s="208">
        <v>0</v>
      </c>
      <c r="AP76" s="208">
        <v>1</v>
      </c>
      <c r="AQ76" s="208">
        <v>0</v>
      </c>
      <c r="AR76" s="208">
        <v>0</v>
      </c>
      <c r="AS76" s="208">
        <v>0</v>
      </c>
      <c r="AT76" s="208">
        <v>0</v>
      </c>
      <c r="AU76" s="208">
        <v>0</v>
      </c>
      <c r="AV76" s="208">
        <v>0</v>
      </c>
      <c r="AW76" s="210">
        <v>0</v>
      </c>
      <c r="AX76" s="210">
        <v>0</v>
      </c>
      <c r="AY76" s="211">
        <v>0</v>
      </c>
      <c r="AZ76" s="242">
        <v>0</v>
      </c>
      <c r="BA76" s="208">
        <v>0</v>
      </c>
      <c r="BB76" s="208">
        <v>0</v>
      </c>
      <c r="BC76" s="208">
        <v>0</v>
      </c>
      <c r="BD76" s="208">
        <v>0</v>
      </c>
      <c r="BE76" s="208">
        <v>0</v>
      </c>
      <c r="BF76" s="208">
        <v>0</v>
      </c>
      <c r="BG76" s="208">
        <v>0</v>
      </c>
      <c r="BH76" s="208">
        <v>0</v>
      </c>
      <c r="BI76" s="208">
        <v>0</v>
      </c>
      <c r="BJ76" s="208">
        <v>0</v>
      </c>
      <c r="BK76" s="209">
        <v>0</v>
      </c>
      <c r="BL76" s="208">
        <v>0</v>
      </c>
      <c r="BM76" s="208">
        <v>0</v>
      </c>
      <c r="BN76" s="208">
        <v>0</v>
      </c>
      <c r="BO76" s="208">
        <v>0</v>
      </c>
      <c r="BP76" s="208">
        <v>0</v>
      </c>
      <c r="BQ76" s="208">
        <v>0</v>
      </c>
      <c r="BR76" s="208">
        <v>1</v>
      </c>
      <c r="BS76" s="208">
        <v>0</v>
      </c>
      <c r="BT76" s="208">
        <v>0</v>
      </c>
      <c r="BU76" s="210">
        <v>0</v>
      </c>
      <c r="BV76" s="210">
        <v>0</v>
      </c>
      <c r="BW76" s="213">
        <v>0</v>
      </c>
    </row>
    <row r="77" spans="1:75" ht="17" thickBot="1" x14ac:dyDescent="0.5">
      <c r="A77" s="462"/>
      <c r="B77" s="535"/>
      <c r="C77" s="280" t="s">
        <v>398</v>
      </c>
      <c r="D77" s="281">
        <v>0</v>
      </c>
      <c r="E77" s="286">
        <v>0</v>
      </c>
      <c r="F77" s="286">
        <v>0</v>
      </c>
      <c r="G77" s="286">
        <v>0</v>
      </c>
      <c r="H77" s="286">
        <v>0</v>
      </c>
      <c r="I77" s="286">
        <v>0</v>
      </c>
      <c r="J77" s="286">
        <v>0</v>
      </c>
      <c r="K77" s="286">
        <v>0</v>
      </c>
      <c r="L77" s="286">
        <v>0</v>
      </c>
      <c r="M77" s="286">
        <v>1</v>
      </c>
      <c r="N77" s="286">
        <v>0</v>
      </c>
      <c r="O77" s="287">
        <v>1</v>
      </c>
      <c r="P77" s="286">
        <v>0</v>
      </c>
      <c r="Q77" s="286">
        <v>1</v>
      </c>
      <c r="R77" s="286">
        <v>0</v>
      </c>
      <c r="S77" s="286">
        <v>1</v>
      </c>
      <c r="T77" s="286">
        <v>0</v>
      </c>
      <c r="U77" s="286">
        <v>0</v>
      </c>
      <c r="V77" s="286">
        <v>1</v>
      </c>
      <c r="W77" s="286">
        <v>1</v>
      </c>
      <c r="X77" s="286">
        <v>0</v>
      </c>
      <c r="Y77" s="288">
        <v>0</v>
      </c>
      <c r="Z77" s="288">
        <v>0</v>
      </c>
      <c r="AA77" s="289">
        <v>0</v>
      </c>
      <c r="AB77" s="281">
        <v>2</v>
      </c>
      <c r="AC77" s="286">
        <v>0</v>
      </c>
      <c r="AD77" s="286">
        <v>2</v>
      </c>
      <c r="AE77" s="286">
        <v>0</v>
      </c>
      <c r="AF77" s="286">
        <v>0</v>
      </c>
      <c r="AG77" s="286">
        <v>0</v>
      </c>
      <c r="AH77" s="286">
        <v>0</v>
      </c>
      <c r="AI77" s="286">
        <v>1</v>
      </c>
      <c r="AJ77" s="286">
        <v>0</v>
      </c>
      <c r="AK77" s="286">
        <v>0</v>
      </c>
      <c r="AL77" s="286">
        <v>0</v>
      </c>
      <c r="AM77" s="287">
        <v>0</v>
      </c>
      <c r="AN77" s="286">
        <v>0</v>
      </c>
      <c r="AO77" s="286">
        <v>0</v>
      </c>
      <c r="AP77" s="286">
        <v>1</v>
      </c>
      <c r="AQ77" s="286">
        <v>0</v>
      </c>
      <c r="AR77" s="286">
        <v>0</v>
      </c>
      <c r="AS77" s="286">
        <v>0</v>
      </c>
      <c r="AT77" s="286">
        <v>0</v>
      </c>
      <c r="AU77" s="286">
        <v>0</v>
      </c>
      <c r="AV77" s="286">
        <v>0</v>
      </c>
      <c r="AW77" s="288">
        <v>0</v>
      </c>
      <c r="AX77" s="288">
        <v>0</v>
      </c>
      <c r="AY77" s="289">
        <v>0</v>
      </c>
      <c r="AZ77" s="291">
        <v>0</v>
      </c>
      <c r="BA77" s="286">
        <v>0</v>
      </c>
      <c r="BB77" s="286">
        <v>0</v>
      </c>
      <c r="BC77" s="286">
        <v>0</v>
      </c>
      <c r="BD77" s="286">
        <v>0</v>
      </c>
      <c r="BE77" s="286">
        <v>0</v>
      </c>
      <c r="BF77" s="286">
        <v>0</v>
      </c>
      <c r="BG77" s="286">
        <v>0</v>
      </c>
      <c r="BH77" s="286">
        <v>0</v>
      </c>
      <c r="BI77" s="286">
        <v>0</v>
      </c>
      <c r="BJ77" s="286">
        <v>0</v>
      </c>
      <c r="BK77" s="287">
        <v>0</v>
      </c>
      <c r="BL77" s="286">
        <v>0</v>
      </c>
      <c r="BM77" s="286">
        <v>0</v>
      </c>
      <c r="BN77" s="286">
        <v>0</v>
      </c>
      <c r="BO77" s="286">
        <v>0</v>
      </c>
      <c r="BP77" s="286">
        <v>0</v>
      </c>
      <c r="BQ77" s="286">
        <v>0</v>
      </c>
      <c r="BR77" s="286">
        <v>1</v>
      </c>
      <c r="BS77" s="286">
        <v>0</v>
      </c>
      <c r="BT77" s="286">
        <v>0</v>
      </c>
      <c r="BU77" s="288">
        <v>0</v>
      </c>
      <c r="BV77" s="288">
        <v>0</v>
      </c>
      <c r="BW77" s="293">
        <v>0</v>
      </c>
    </row>
    <row r="78" spans="1:75" ht="17" thickBot="1" x14ac:dyDescent="0.5">
      <c r="A78" s="462"/>
      <c r="B78" s="535"/>
      <c r="C78" s="280" t="s">
        <v>404</v>
      </c>
      <c r="D78" s="282">
        <v>0</v>
      </c>
      <c r="E78" s="295">
        <v>0</v>
      </c>
      <c r="F78" s="295">
        <v>0</v>
      </c>
      <c r="G78" s="295">
        <v>0</v>
      </c>
      <c r="H78" s="295">
        <v>0</v>
      </c>
      <c r="I78" s="295">
        <v>0</v>
      </c>
      <c r="J78" s="295">
        <v>0</v>
      </c>
      <c r="K78" s="295">
        <v>0</v>
      </c>
      <c r="L78" s="295">
        <v>0</v>
      </c>
      <c r="M78" s="295">
        <v>0</v>
      </c>
      <c r="N78" s="295">
        <v>0</v>
      </c>
      <c r="O78" s="296">
        <v>0</v>
      </c>
      <c r="P78" s="295">
        <v>0</v>
      </c>
      <c r="Q78" s="295">
        <v>1</v>
      </c>
      <c r="R78" s="295">
        <v>0</v>
      </c>
      <c r="S78" s="295">
        <v>0</v>
      </c>
      <c r="T78" s="295">
        <v>0</v>
      </c>
      <c r="U78" s="295">
        <v>0</v>
      </c>
      <c r="V78" s="295">
        <v>1</v>
      </c>
      <c r="W78" s="295">
        <v>1</v>
      </c>
      <c r="X78" s="295">
        <v>0</v>
      </c>
      <c r="Y78" s="297">
        <v>0</v>
      </c>
      <c r="Z78" s="297">
        <v>0</v>
      </c>
      <c r="AA78" s="298">
        <v>0</v>
      </c>
      <c r="AB78" s="282">
        <v>1</v>
      </c>
      <c r="AC78" s="295">
        <v>0</v>
      </c>
      <c r="AD78" s="295">
        <v>1</v>
      </c>
      <c r="AE78" s="295">
        <v>0</v>
      </c>
      <c r="AF78" s="295">
        <v>0</v>
      </c>
      <c r="AG78" s="295">
        <v>0</v>
      </c>
      <c r="AH78" s="295">
        <v>0</v>
      </c>
      <c r="AI78" s="295">
        <v>0</v>
      </c>
      <c r="AJ78" s="295">
        <v>0</v>
      </c>
      <c r="AK78" s="295">
        <v>0</v>
      </c>
      <c r="AL78" s="295">
        <v>0</v>
      </c>
      <c r="AM78" s="296">
        <v>0</v>
      </c>
      <c r="AN78" s="295">
        <v>0</v>
      </c>
      <c r="AO78" s="295">
        <v>0</v>
      </c>
      <c r="AP78" s="295">
        <v>0</v>
      </c>
      <c r="AQ78" s="295">
        <v>0</v>
      </c>
      <c r="AR78" s="295">
        <v>0</v>
      </c>
      <c r="AS78" s="295">
        <v>0</v>
      </c>
      <c r="AT78" s="295">
        <v>0</v>
      </c>
      <c r="AU78" s="295">
        <v>0</v>
      </c>
      <c r="AV78" s="295">
        <v>0</v>
      </c>
      <c r="AW78" s="297">
        <v>0</v>
      </c>
      <c r="AX78" s="297">
        <v>0</v>
      </c>
      <c r="AY78" s="298">
        <v>0</v>
      </c>
      <c r="AZ78" s="300">
        <v>0</v>
      </c>
      <c r="BA78" s="295">
        <v>0</v>
      </c>
      <c r="BB78" s="295">
        <v>0</v>
      </c>
      <c r="BC78" s="295">
        <v>0</v>
      </c>
      <c r="BD78" s="295">
        <v>0</v>
      </c>
      <c r="BE78" s="295">
        <v>0</v>
      </c>
      <c r="BF78" s="295">
        <v>0</v>
      </c>
      <c r="BG78" s="295">
        <v>0</v>
      </c>
      <c r="BH78" s="295">
        <v>0</v>
      </c>
      <c r="BI78" s="295">
        <v>0</v>
      </c>
      <c r="BJ78" s="295">
        <v>0</v>
      </c>
      <c r="BK78" s="296">
        <v>0</v>
      </c>
      <c r="BL78" s="295">
        <v>0</v>
      </c>
      <c r="BM78" s="295">
        <v>0</v>
      </c>
      <c r="BN78" s="295">
        <v>0</v>
      </c>
      <c r="BO78" s="295">
        <v>0</v>
      </c>
      <c r="BP78" s="295">
        <v>0</v>
      </c>
      <c r="BQ78" s="295">
        <v>0</v>
      </c>
      <c r="BR78" s="295">
        <v>1</v>
      </c>
      <c r="BS78" s="295">
        <v>0</v>
      </c>
      <c r="BT78" s="295">
        <v>0</v>
      </c>
      <c r="BU78" s="297">
        <v>0</v>
      </c>
      <c r="BV78" s="297">
        <v>0</v>
      </c>
      <c r="BW78" s="302">
        <v>0</v>
      </c>
    </row>
    <row r="79" spans="1:75" ht="17" thickBot="1" x14ac:dyDescent="0.35">
      <c r="A79" s="462"/>
      <c r="B79" s="535"/>
      <c r="C79" s="280" t="s">
        <v>399</v>
      </c>
      <c r="D79" s="283">
        <v>0</v>
      </c>
      <c r="E79" s="303">
        <v>0</v>
      </c>
      <c r="F79" s="303">
        <v>0</v>
      </c>
      <c r="G79" s="303">
        <v>0</v>
      </c>
      <c r="H79" s="303">
        <v>0</v>
      </c>
      <c r="I79" s="303">
        <v>0</v>
      </c>
      <c r="J79" s="303">
        <v>0</v>
      </c>
      <c r="K79" s="303">
        <v>0</v>
      </c>
      <c r="L79" s="303">
        <v>0</v>
      </c>
      <c r="M79" s="303">
        <v>1</v>
      </c>
      <c r="N79" s="303">
        <v>0</v>
      </c>
      <c r="O79" s="304">
        <v>1</v>
      </c>
      <c r="P79" s="303">
        <v>0</v>
      </c>
      <c r="Q79" s="303">
        <v>1</v>
      </c>
      <c r="R79" s="303">
        <v>0</v>
      </c>
      <c r="S79" s="303">
        <v>1</v>
      </c>
      <c r="T79" s="303">
        <v>0</v>
      </c>
      <c r="U79" s="303">
        <v>0</v>
      </c>
      <c r="V79" s="303">
        <v>1</v>
      </c>
      <c r="W79" s="303">
        <v>1</v>
      </c>
      <c r="X79" s="303">
        <v>0</v>
      </c>
      <c r="Y79" s="303">
        <v>0</v>
      </c>
      <c r="Z79" s="303">
        <v>0</v>
      </c>
      <c r="AA79" s="304">
        <v>0</v>
      </c>
      <c r="AB79" s="283">
        <v>2</v>
      </c>
      <c r="AC79" s="303">
        <v>0</v>
      </c>
      <c r="AD79" s="303">
        <v>2</v>
      </c>
      <c r="AE79" s="303">
        <v>0</v>
      </c>
      <c r="AF79" s="303">
        <v>0</v>
      </c>
      <c r="AG79" s="303">
        <v>0</v>
      </c>
      <c r="AH79" s="303">
        <v>0</v>
      </c>
      <c r="AI79" s="303">
        <v>1</v>
      </c>
      <c r="AJ79" s="303">
        <v>0</v>
      </c>
      <c r="AK79" s="303">
        <v>0</v>
      </c>
      <c r="AL79" s="303">
        <v>0</v>
      </c>
      <c r="AM79" s="304">
        <v>0</v>
      </c>
      <c r="AN79" s="303">
        <v>0</v>
      </c>
      <c r="AO79" s="303">
        <v>0</v>
      </c>
      <c r="AP79" s="303">
        <v>1</v>
      </c>
      <c r="AQ79" s="303">
        <v>0</v>
      </c>
      <c r="AR79" s="303">
        <v>0</v>
      </c>
      <c r="AS79" s="303">
        <v>0</v>
      </c>
      <c r="AT79" s="303">
        <v>0</v>
      </c>
      <c r="AU79" s="303">
        <v>0</v>
      </c>
      <c r="AV79" s="303">
        <v>0</v>
      </c>
      <c r="AW79" s="303">
        <v>0</v>
      </c>
      <c r="AX79" s="303">
        <v>0</v>
      </c>
      <c r="AY79" s="304">
        <v>0</v>
      </c>
      <c r="AZ79" s="305">
        <v>0</v>
      </c>
      <c r="BA79" s="303">
        <v>0</v>
      </c>
      <c r="BB79" s="303">
        <v>0</v>
      </c>
      <c r="BC79" s="303">
        <v>0</v>
      </c>
      <c r="BD79" s="303">
        <v>0</v>
      </c>
      <c r="BE79" s="303">
        <v>0</v>
      </c>
      <c r="BF79" s="303">
        <v>0</v>
      </c>
      <c r="BG79" s="303">
        <v>0</v>
      </c>
      <c r="BH79" s="303">
        <v>0</v>
      </c>
      <c r="BI79" s="303">
        <v>0</v>
      </c>
      <c r="BJ79" s="303">
        <v>0</v>
      </c>
      <c r="BK79" s="304">
        <v>0</v>
      </c>
      <c r="BL79" s="303">
        <v>0</v>
      </c>
      <c r="BM79" s="303">
        <v>0</v>
      </c>
      <c r="BN79" s="303">
        <v>0</v>
      </c>
      <c r="BO79" s="303">
        <v>0</v>
      </c>
      <c r="BP79" s="303">
        <v>0</v>
      </c>
      <c r="BQ79" s="303">
        <v>0</v>
      </c>
      <c r="BR79" s="303">
        <v>1</v>
      </c>
      <c r="BS79" s="303">
        <v>0</v>
      </c>
      <c r="BT79" s="303">
        <v>0</v>
      </c>
      <c r="BU79" s="303">
        <v>0</v>
      </c>
      <c r="BV79" s="303">
        <v>0</v>
      </c>
      <c r="BW79" s="306">
        <v>0</v>
      </c>
    </row>
    <row r="80" spans="1:75" ht="17" thickBot="1" x14ac:dyDescent="0.35">
      <c r="A80" s="462"/>
      <c r="B80" s="535"/>
      <c r="C80" s="280" t="s">
        <v>400</v>
      </c>
      <c r="D80" s="284">
        <v>0</v>
      </c>
      <c r="E80" s="307">
        <v>0</v>
      </c>
      <c r="F80" s="307">
        <v>0</v>
      </c>
      <c r="G80" s="307">
        <v>0</v>
      </c>
      <c r="H80" s="307">
        <v>0</v>
      </c>
      <c r="I80" s="307">
        <v>0</v>
      </c>
      <c r="J80" s="307">
        <v>0</v>
      </c>
      <c r="K80" s="307">
        <v>0</v>
      </c>
      <c r="L80" s="307">
        <v>0</v>
      </c>
      <c r="M80" s="307">
        <v>1</v>
      </c>
      <c r="N80" s="307">
        <v>0</v>
      </c>
      <c r="O80" s="308">
        <v>1</v>
      </c>
      <c r="P80" s="307">
        <v>0</v>
      </c>
      <c r="Q80" s="307">
        <v>0</v>
      </c>
      <c r="R80" s="307">
        <v>0</v>
      </c>
      <c r="S80" s="307">
        <v>1</v>
      </c>
      <c r="T80" s="307">
        <v>0</v>
      </c>
      <c r="U80" s="307">
        <v>0</v>
      </c>
      <c r="V80" s="307">
        <v>0</v>
      </c>
      <c r="W80" s="307">
        <v>0</v>
      </c>
      <c r="X80" s="307">
        <v>0</v>
      </c>
      <c r="Y80" s="307">
        <v>0</v>
      </c>
      <c r="Z80" s="307">
        <v>0</v>
      </c>
      <c r="AA80" s="308">
        <v>0</v>
      </c>
      <c r="AB80" s="284">
        <v>1</v>
      </c>
      <c r="AC80" s="307">
        <v>0</v>
      </c>
      <c r="AD80" s="307">
        <v>1</v>
      </c>
      <c r="AE80" s="307">
        <v>0</v>
      </c>
      <c r="AF80" s="307">
        <v>0</v>
      </c>
      <c r="AG80" s="307">
        <v>0</v>
      </c>
      <c r="AH80" s="307">
        <v>0</v>
      </c>
      <c r="AI80" s="307">
        <v>1</v>
      </c>
      <c r="AJ80" s="307">
        <v>0</v>
      </c>
      <c r="AK80" s="307">
        <v>0</v>
      </c>
      <c r="AL80" s="307">
        <v>0</v>
      </c>
      <c r="AM80" s="308">
        <v>0</v>
      </c>
      <c r="AN80" s="307">
        <v>0</v>
      </c>
      <c r="AO80" s="307">
        <v>0</v>
      </c>
      <c r="AP80" s="307">
        <v>1</v>
      </c>
      <c r="AQ80" s="307">
        <v>0</v>
      </c>
      <c r="AR80" s="307">
        <v>0</v>
      </c>
      <c r="AS80" s="307">
        <v>0</v>
      </c>
      <c r="AT80" s="307">
        <v>0</v>
      </c>
      <c r="AU80" s="307">
        <v>0</v>
      </c>
      <c r="AV80" s="307">
        <v>0</v>
      </c>
      <c r="AW80" s="307">
        <v>0</v>
      </c>
      <c r="AX80" s="307">
        <v>0</v>
      </c>
      <c r="AY80" s="308">
        <v>0</v>
      </c>
      <c r="AZ80" s="309">
        <v>0</v>
      </c>
      <c r="BA80" s="307">
        <v>0</v>
      </c>
      <c r="BB80" s="307">
        <v>0</v>
      </c>
      <c r="BC80" s="307">
        <v>0</v>
      </c>
      <c r="BD80" s="307">
        <v>0</v>
      </c>
      <c r="BE80" s="307">
        <v>0</v>
      </c>
      <c r="BF80" s="307">
        <v>0</v>
      </c>
      <c r="BG80" s="307">
        <v>0</v>
      </c>
      <c r="BH80" s="307">
        <v>0</v>
      </c>
      <c r="BI80" s="307">
        <v>0</v>
      </c>
      <c r="BJ80" s="307">
        <v>0</v>
      </c>
      <c r="BK80" s="308">
        <v>0</v>
      </c>
      <c r="BL80" s="307">
        <v>0</v>
      </c>
      <c r="BM80" s="307">
        <v>0</v>
      </c>
      <c r="BN80" s="307">
        <v>0</v>
      </c>
      <c r="BO80" s="307">
        <v>0</v>
      </c>
      <c r="BP80" s="307">
        <v>0</v>
      </c>
      <c r="BQ80" s="307">
        <v>0</v>
      </c>
      <c r="BR80" s="307">
        <v>0</v>
      </c>
      <c r="BS80" s="307">
        <v>0</v>
      </c>
      <c r="BT80" s="307">
        <v>0</v>
      </c>
      <c r="BU80" s="307">
        <v>0</v>
      </c>
      <c r="BV80" s="307">
        <v>0</v>
      </c>
      <c r="BW80" s="310">
        <v>0</v>
      </c>
    </row>
    <row r="81" spans="1:75" ht="17" thickBot="1" x14ac:dyDescent="0.35">
      <c r="A81" s="462"/>
      <c r="B81" s="536"/>
      <c r="C81" s="280" t="s">
        <v>401</v>
      </c>
      <c r="D81" s="285">
        <v>0</v>
      </c>
      <c r="E81" s="311">
        <v>0</v>
      </c>
      <c r="F81" s="311">
        <v>0</v>
      </c>
      <c r="G81" s="311">
        <v>0</v>
      </c>
      <c r="H81" s="311">
        <v>0</v>
      </c>
      <c r="I81" s="311">
        <v>0</v>
      </c>
      <c r="J81" s="311">
        <v>0</v>
      </c>
      <c r="K81" s="311">
        <v>0</v>
      </c>
      <c r="L81" s="311">
        <v>0</v>
      </c>
      <c r="M81" s="311">
        <v>1</v>
      </c>
      <c r="N81" s="311">
        <v>0</v>
      </c>
      <c r="O81" s="312">
        <v>1</v>
      </c>
      <c r="P81" s="311">
        <v>0</v>
      </c>
      <c r="Q81" s="311">
        <v>0</v>
      </c>
      <c r="R81" s="311">
        <v>0</v>
      </c>
      <c r="S81" s="311">
        <v>1</v>
      </c>
      <c r="T81" s="311">
        <v>0</v>
      </c>
      <c r="U81" s="311">
        <v>0</v>
      </c>
      <c r="V81" s="311">
        <v>0</v>
      </c>
      <c r="W81" s="311">
        <v>0</v>
      </c>
      <c r="X81" s="311">
        <v>0</v>
      </c>
      <c r="Y81" s="311">
        <v>0</v>
      </c>
      <c r="Z81" s="311">
        <v>0</v>
      </c>
      <c r="AA81" s="312">
        <v>0</v>
      </c>
      <c r="AB81" s="285">
        <v>1</v>
      </c>
      <c r="AC81" s="311">
        <v>0</v>
      </c>
      <c r="AD81" s="311">
        <v>1</v>
      </c>
      <c r="AE81" s="311">
        <v>0</v>
      </c>
      <c r="AF81" s="311">
        <v>0</v>
      </c>
      <c r="AG81" s="311">
        <v>0</v>
      </c>
      <c r="AH81" s="311">
        <v>0</v>
      </c>
      <c r="AI81" s="311">
        <v>1</v>
      </c>
      <c r="AJ81" s="311">
        <v>0</v>
      </c>
      <c r="AK81" s="311">
        <v>0</v>
      </c>
      <c r="AL81" s="311">
        <v>0</v>
      </c>
      <c r="AM81" s="312">
        <v>0</v>
      </c>
      <c r="AN81" s="311">
        <v>0</v>
      </c>
      <c r="AO81" s="311">
        <v>0</v>
      </c>
      <c r="AP81" s="311">
        <v>1</v>
      </c>
      <c r="AQ81" s="311">
        <v>0</v>
      </c>
      <c r="AR81" s="311">
        <v>0</v>
      </c>
      <c r="AS81" s="311">
        <v>0</v>
      </c>
      <c r="AT81" s="311">
        <v>0</v>
      </c>
      <c r="AU81" s="311">
        <v>0</v>
      </c>
      <c r="AV81" s="311">
        <v>0</v>
      </c>
      <c r="AW81" s="311">
        <v>0</v>
      </c>
      <c r="AX81" s="311">
        <v>0</v>
      </c>
      <c r="AY81" s="312">
        <v>0</v>
      </c>
      <c r="AZ81" s="313">
        <v>0</v>
      </c>
      <c r="BA81" s="311">
        <v>0</v>
      </c>
      <c r="BB81" s="311">
        <v>0</v>
      </c>
      <c r="BC81" s="311">
        <v>0</v>
      </c>
      <c r="BD81" s="311">
        <v>0</v>
      </c>
      <c r="BE81" s="311">
        <v>0</v>
      </c>
      <c r="BF81" s="311">
        <v>0</v>
      </c>
      <c r="BG81" s="311">
        <v>0</v>
      </c>
      <c r="BH81" s="311">
        <v>0</v>
      </c>
      <c r="BI81" s="311">
        <v>0</v>
      </c>
      <c r="BJ81" s="311">
        <v>0</v>
      </c>
      <c r="BK81" s="312">
        <v>0</v>
      </c>
      <c r="BL81" s="311">
        <v>0</v>
      </c>
      <c r="BM81" s="311">
        <v>0</v>
      </c>
      <c r="BN81" s="311">
        <v>0</v>
      </c>
      <c r="BO81" s="311">
        <v>0</v>
      </c>
      <c r="BP81" s="311">
        <v>0</v>
      </c>
      <c r="BQ81" s="311">
        <v>0</v>
      </c>
      <c r="BR81" s="311">
        <v>0</v>
      </c>
      <c r="BS81" s="311">
        <v>0</v>
      </c>
      <c r="BT81" s="311">
        <v>0</v>
      </c>
      <c r="BU81" s="311">
        <v>0</v>
      </c>
      <c r="BV81" s="311">
        <v>0</v>
      </c>
      <c r="BW81" s="314">
        <v>0</v>
      </c>
    </row>
    <row r="82" spans="1:75" ht="17" thickBot="1" x14ac:dyDescent="0.5">
      <c r="A82" s="462"/>
      <c r="B82" s="535" t="s">
        <v>431</v>
      </c>
      <c r="C82" s="239" t="s">
        <v>403</v>
      </c>
      <c r="D82" s="207">
        <v>0</v>
      </c>
      <c r="E82" s="208">
        <v>0</v>
      </c>
      <c r="F82" s="208">
        <v>0</v>
      </c>
      <c r="G82" s="208">
        <v>1</v>
      </c>
      <c r="H82" s="208">
        <v>0</v>
      </c>
      <c r="I82" s="208">
        <v>0</v>
      </c>
      <c r="J82" s="208">
        <v>0</v>
      </c>
      <c r="K82" s="208">
        <v>0</v>
      </c>
      <c r="L82" s="208">
        <v>0</v>
      </c>
      <c r="M82" s="208">
        <v>1</v>
      </c>
      <c r="N82" s="208">
        <v>0</v>
      </c>
      <c r="O82" s="209">
        <v>0</v>
      </c>
      <c r="P82" s="208">
        <v>1</v>
      </c>
      <c r="Q82" s="208">
        <v>1</v>
      </c>
      <c r="R82" s="208">
        <v>0</v>
      </c>
      <c r="S82" s="208">
        <v>0</v>
      </c>
      <c r="T82" s="208">
        <v>0</v>
      </c>
      <c r="U82" s="208">
        <v>0</v>
      </c>
      <c r="V82" s="208">
        <v>1</v>
      </c>
      <c r="W82" s="208">
        <v>1</v>
      </c>
      <c r="X82" s="208">
        <v>0</v>
      </c>
      <c r="Y82" s="210">
        <v>0</v>
      </c>
      <c r="Z82" s="210">
        <v>0</v>
      </c>
      <c r="AA82" s="211">
        <v>0</v>
      </c>
      <c r="AB82" s="212">
        <v>0</v>
      </c>
      <c r="AC82" s="210">
        <v>1</v>
      </c>
      <c r="AD82" s="210">
        <v>0</v>
      </c>
      <c r="AE82" s="210">
        <v>1</v>
      </c>
      <c r="AF82" s="210">
        <v>1</v>
      </c>
      <c r="AG82" s="210">
        <v>0</v>
      </c>
      <c r="AH82" s="210">
        <v>1</v>
      </c>
      <c r="AI82" s="210">
        <v>0</v>
      </c>
      <c r="AJ82" s="210">
        <v>0</v>
      </c>
      <c r="AK82" s="210">
        <v>0</v>
      </c>
      <c r="AL82" s="210">
        <v>0</v>
      </c>
      <c r="AM82" s="211">
        <v>0</v>
      </c>
      <c r="AN82" s="242">
        <v>0</v>
      </c>
      <c r="AO82" s="208">
        <v>0</v>
      </c>
      <c r="AP82" s="208">
        <v>0</v>
      </c>
      <c r="AQ82" s="208">
        <v>0</v>
      </c>
      <c r="AR82" s="208">
        <v>0</v>
      </c>
      <c r="AS82" s="208">
        <v>0</v>
      </c>
      <c r="AT82" s="208">
        <v>0</v>
      </c>
      <c r="AU82" s="208">
        <v>0</v>
      </c>
      <c r="AV82" s="208">
        <v>0</v>
      </c>
      <c r="AW82" s="208">
        <v>0</v>
      </c>
      <c r="AX82" s="208">
        <v>0</v>
      </c>
      <c r="AY82" s="209">
        <v>1</v>
      </c>
      <c r="AZ82" s="207">
        <v>0</v>
      </c>
      <c r="BA82" s="208">
        <v>0</v>
      </c>
      <c r="BB82" s="208">
        <v>0</v>
      </c>
      <c r="BC82" s="208">
        <v>0</v>
      </c>
      <c r="BD82" s="208">
        <v>0</v>
      </c>
      <c r="BE82" s="208">
        <v>0</v>
      </c>
      <c r="BF82" s="208">
        <v>0</v>
      </c>
      <c r="BG82" s="208">
        <v>0</v>
      </c>
      <c r="BH82" s="208">
        <v>0</v>
      </c>
      <c r="BI82" s="208">
        <v>0</v>
      </c>
      <c r="BJ82" s="208">
        <v>0</v>
      </c>
      <c r="BK82" s="209">
        <v>0</v>
      </c>
      <c r="BL82" s="208">
        <v>0</v>
      </c>
      <c r="BM82" s="208">
        <v>1</v>
      </c>
      <c r="BN82" s="208">
        <v>0</v>
      </c>
      <c r="BO82" s="208">
        <v>0</v>
      </c>
      <c r="BP82" s="208">
        <v>0</v>
      </c>
      <c r="BQ82" s="208">
        <v>0</v>
      </c>
      <c r="BR82" s="208">
        <v>0</v>
      </c>
      <c r="BS82" s="208">
        <v>0</v>
      </c>
      <c r="BT82" s="208">
        <v>1</v>
      </c>
      <c r="BU82" s="210">
        <v>0</v>
      </c>
      <c r="BV82" s="210">
        <v>0</v>
      </c>
      <c r="BW82" s="213">
        <v>0</v>
      </c>
    </row>
    <row r="83" spans="1:75" ht="17" thickBot="1" x14ac:dyDescent="0.5">
      <c r="A83" s="462"/>
      <c r="B83" s="535"/>
      <c r="C83" s="280" t="s">
        <v>398</v>
      </c>
      <c r="D83" s="281">
        <v>0</v>
      </c>
      <c r="E83" s="286">
        <v>0</v>
      </c>
      <c r="F83" s="286">
        <v>0</v>
      </c>
      <c r="G83" s="286">
        <v>1</v>
      </c>
      <c r="H83" s="286">
        <v>0</v>
      </c>
      <c r="I83" s="286">
        <v>0</v>
      </c>
      <c r="J83" s="286">
        <v>0</v>
      </c>
      <c r="K83" s="286">
        <v>0</v>
      </c>
      <c r="L83" s="286">
        <v>0</v>
      </c>
      <c r="M83" s="286">
        <v>0</v>
      </c>
      <c r="N83" s="286">
        <v>0</v>
      </c>
      <c r="O83" s="287">
        <v>0</v>
      </c>
      <c r="P83" s="286">
        <v>1</v>
      </c>
      <c r="Q83" s="286">
        <v>1</v>
      </c>
      <c r="R83" s="286">
        <v>0</v>
      </c>
      <c r="S83" s="286">
        <v>0</v>
      </c>
      <c r="T83" s="286">
        <v>0</v>
      </c>
      <c r="U83" s="286">
        <v>0</v>
      </c>
      <c r="V83" s="286">
        <v>0</v>
      </c>
      <c r="W83" s="286">
        <v>1</v>
      </c>
      <c r="X83" s="286">
        <v>0</v>
      </c>
      <c r="Y83" s="288">
        <v>0</v>
      </c>
      <c r="Z83" s="288">
        <v>0</v>
      </c>
      <c r="AA83" s="289">
        <v>0</v>
      </c>
      <c r="AB83" s="290">
        <v>0</v>
      </c>
      <c r="AC83" s="288">
        <v>1</v>
      </c>
      <c r="AD83" s="288">
        <v>0</v>
      </c>
      <c r="AE83" s="288">
        <v>1</v>
      </c>
      <c r="AF83" s="288">
        <v>1</v>
      </c>
      <c r="AG83" s="288">
        <v>0</v>
      </c>
      <c r="AH83" s="288">
        <v>1</v>
      </c>
      <c r="AI83" s="288">
        <v>0</v>
      </c>
      <c r="AJ83" s="288">
        <v>0</v>
      </c>
      <c r="AK83" s="288">
        <v>0</v>
      </c>
      <c r="AL83" s="288">
        <v>0</v>
      </c>
      <c r="AM83" s="289">
        <v>0</v>
      </c>
      <c r="AN83" s="291">
        <v>0</v>
      </c>
      <c r="AO83" s="286">
        <v>0</v>
      </c>
      <c r="AP83" s="286">
        <v>0</v>
      </c>
      <c r="AQ83" s="286">
        <v>0</v>
      </c>
      <c r="AR83" s="286">
        <v>0</v>
      </c>
      <c r="AS83" s="286">
        <v>0</v>
      </c>
      <c r="AT83" s="286">
        <v>0</v>
      </c>
      <c r="AU83" s="286">
        <v>0</v>
      </c>
      <c r="AV83" s="286">
        <v>0</v>
      </c>
      <c r="AW83" s="286">
        <v>0</v>
      </c>
      <c r="AX83" s="286">
        <v>0</v>
      </c>
      <c r="AY83" s="287">
        <v>1</v>
      </c>
      <c r="AZ83" s="281">
        <v>0</v>
      </c>
      <c r="BA83" s="286">
        <v>0</v>
      </c>
      <c r="BB83" s="286">
        <v>0</v>
      </c>
      <c r="BC83" s="286">
        <v>0</v>
      </c>
      <c r="BD83" s="286">
        <v>0</v>
      </c>
      <c r="BE83" s="286">
        <v>0</v>
      </c>
      <c r="BF83" s="286">
        <v>0</v>
      </c>
      <c r="BG83" s="286">
        <v>0</v>
      </c>
      <c r="BH83" s="286">
        <v>0</v>
      </c>
      <c r="BI83" s="286">
        <v>0</v>
      </c>
      <c r="BJ83" s="286">
        <v>0</v>
      </c>
      <c r="BK83" s="287">
        <v>0</v>
      </c>
      <c r="BL83" s="286">
        <v>0</v>
      </c>
      <c r="BM83" s="286">
        <v>1</v>
      </c>
      <c r="BN83" s="286">
        <v>0</v>
      </c>
      <c r="BO83" s="286">
        <v>0</v>
      </c>
      <c r="BP83" s="286">
        <v>0</v>
      </c>
      <c r="BQ83" s="286">
        <v>0</v>
      </c>
      <c r="BR83" s="286">
        <v>0</v>
      </c>
      <c r="BS83" s="286">
        <v>0</v>
      </c>
      <c r="BT83" s="286">
        <v>1</v>
      </c>
      <c r="BU83" s="288">
        <v>0</v>
      </c>
      <c r="BV83" s="288">
        <v>0</v>
      </c>
      <c r="BW83" s="293">
        <v>0</v>
      </c>
    </row>
    <row r="84" spans="1:75" ht="17" thickBot="1" x14ac:dyDescent="0.5">
      <c r="A84" s="462"/>
      <c r="B84" s="535"/>
      <c r="C84" s="280" t="s">
        <v>404</v>
      </c>
      <c r="D84" s="282">
        <v>0</v>
      </c>
      <c r="E84" s="295">
        <v>0</v>
      </c>
      <c r="F84" s="295">
        <v>0</v>
      </c>
      <c r="G84" s="295">
        <v>0</v>
      </c>
      <c r="H84" s="295">
        <v>0</v>
      </c>
      <c r="I84" s="295">
        <v>0</v>
      </c>
      <c r="J84" s="295">
        <v>0</v>
      </c>
      <c r="K84" s="295">
        <v>0</v>
      </c>
      <c r="L84" s="295">
        <v>0</v>
      </c>
      <c r="M84" s="295">
        <v>0</v>
      </c>
      <c r="N84" s="295">
        <v>0</v>
      </c>
      <c r="O84" s="296">
        <v>0</v>
      </c>
      <c r="P84" s="295">
        <v>1</v>
      </c>
      <c r="Q84" s="295">
        <v>0</v>
      </c>
      <c r="R84" s="295">
        <v>0</v>
      </c>
      <c r="S84" s="295">
        <v>0</v>
      </c>
      <c r="T84" s="295">
        <v>0</v>
      </c>
      <c r="U84" s="295">
        <v>0</v>
      </c>
      <c r="V84" s="295">
        <v>0</v>
      </c>
      <c r="W84" s="295">
        <v>0</v>
      </c>
      <c r="X84" s="295">
        <v>0</v>
      </c>
      <c r="Y84" s="297">
        <v>0</v>
      </c>
      <c r="Z84" s="297">
        <v>0</v>
      </c>
      <c r="AA84" s="298">
        <v>0</v>
      </c>
      <c r="AB84" s="299">
        <v>0</v>
      </c>
      <c r="AC84" s="297">
        <v>1</v>
      </c>
      <c r="AD84" s="297">
        <v>0</v>
      </c>
      <c r="AE84" s="297">
        <v>1</v>
      </c>
      <c r="AF84" s="297">
        <v>1</v>
      </c>
      <c r="AG84" s="297">
        <v>0</v>
      </c>
      <c r="AH84" s="297">
        <v>1</v>
      </c>
      <c r="AI84" s="297">
        <v>0</v>
      </c>
      <c r="AJ84" s="297">
        <v>0</v>
      </c>
      <c r="AK84" s="297">
        <v>0</v>
      </c>
      <c r="AL84" s="297">
        <v>0</v>
      </c>
      <c r="AM84" s="298">
        <v>0</v>
      </c>
      <c r="AN84" s="300">
        <v>0</v>
      </c>
      <c r="AO84" s="295">
        <v>0</v>
      </c>
      <c r="AP84" s="295">
        <v>0</v>
      </c>
      <c r="AQ84" s="295">
        <v>0</v>
      </c>
      <c r="AR84" s="295">
        <v>0</v>
      </c>
      <c r="AS84" s="295">
        <v>0</v>
      </c>
      <c r="AT84" s="295">
        <v>0</v>
      </c>
      <c r="AU84" s="295">
        <v>0</v>
      </c>
      <c r="AV84" s="295">
        <v>0</v>
      </c>
      <c r="AW84" s="295">
        <v>0</v>
      </c>
      <c r="AX84" s="295">
        <v>0</v>
      </c>
      <c r="AY84" s="296">
        <v>0</v>
      </c>
      <c r="AZ84" s="282">
        <v>0</v>
      </c>
      <c r="BA84" s="295">
        <v>0</v>
      </c>
      <c r="BB84" s="295">
        <v>0</v>
      </c>
      <c r="BC84" s="295">
        <v>0</v>
      </c>
      <c r="BD84" s="295">
        <v>0</v>
      </c>
      <c r="BE84" s="295">
        <v>0</v>
      </c>
      <c r="BF84" s="295">
        <v>0</v>
      </c>
      <c r="BG84" s="295">
        <v>0</v>
      </c>
      <c r="BH84" s="295">
        <v>0</v>
      </c>
      <c r="BI84" s="295">
        <v>0</v>
      </c>
      <c r="BJ84" s="295">
        <v>0</v>
      </c>
      <c r="BK84" s="296">
        <v>0</v>
      </c>
      <c r="BL84" s="295">
        <v>0</v>
      </c>
      <c r="BM84" s="295">
        <v>0</v>
      </c>
      <c r="BN84" s="295">
        <v>0</v>
      </c>
      <c r="BO84" s="295">
        <v>0</v>
      </c>
      <c r="BP84" s="295">
        <v>0</v>
      </c>
      <c r="BQ84" s="295">
        <v>0</v>
      </c>
      <c r="BR84" s="295">
        <v>0</v>
      </c>
      <c r="BS84" s="295">
        <v>0</v>
      </c>
      <c r="BT84" s="295">
        <v>1</v>
      </c>
      <c r="BU84" s="297">
        <v>0</v>
      </c>
      <c r="BV84" s="297">
        <v>0</v>
      </c>
      <c r="BW84" s="302">
        <v>0</v>
      </c>
    </row>
    <row r="85" spans="1:75" ht="17" thickBot="1" x14ac:dyDescent="0.35">
      <c r="A85" s="462"/>
      <c r="B85" s="535"/>
      <c r="C85" s="280" t="s">
        <v>399</v>
      </c>
      <c r="D85" s="283">
        <v>0</v>
      </c>
      <c r="E85" s="303">
        <v>0</v>
      </c>
      <c r="F85" s="303">
        <v>0</v>
      </c>
      <c r="G85" s="303">
        <v>1</v>
      </c>
      <c r="H85" s="303">
        <v>0</v>
      </c>
      <c r="I85" s="303">
        <v>0</v>
      </c>
      <c r="J85" s="303">
        <v>0</v>
      </c>
      <c r="K85" s="303">
        <v>0</v>
      </c>
      <c r="L85" s="303">
        <v>0</v>
      </c>
      <c r="M85" s="303">
        <v>0</v>
      </c>
      <c r="N85" s="303">
        <v>0</v>
      </c>
      <c r="O85" s="304">
        <v>0</v>
      </c>
      <c r="P85" s="303">
        <v>1</v>
      </c>
      <c r="Q85" s="303">
        <v>1</v>
      </c>
      <c r="R85" s="303">
        <v>0</v>
      </c>
      <c r="S85" s="303">
        <v>0</v>
      </c>
      <c r="T85" s="303">
        <v>0</v>
      </c>
      <c r="U85" s="303">
        <v>0</v>
      </c>
      <c r="V85" s="303">
        <v>0</v>
      </c>
      <c r="W85" s="303">
        <v>1</v>
      </c>
      <c r="X85" s="303">
        <v>0</v>
      </c>
      <c r="Y85" s="303">
        <v>0</v>
      </c>
      <c r="Z85" s="303">
        <v>0</v>
      </c>
      <c r="AA85" s="304">
        <v>0</v>
      </c>
      <c r="AB85" s="303">
        <v>0</v>
      </c>
      <c r="AC85" s="303">
        <v>1</v>
      </c>
      <c r="AD85" s="303">
        <v>0</v>
      </c>
      <c r="AE85" s="303">
        <v>1</v>
      </c>
      <c r="AF85" s="303">
        <v>1</v>
      </c>
      <c r="AG85" s="303">
        <v>0</v>
      </c>
      <c r="AH85" s="303">
        <v>1</v>
      </c>
      <c r="AI85" s="303">
        <v>0</v>
      </c>
      <c r="AJ85" s="303">
        <v>0</v>
      </c>
      <c r="AK85" s="303">
        <v>0</v>
      </c>
      <c r="AL85" s="303">
        <v>0</v>
      </c>
      <c r="AM85" s="304">
        <v>0</v>
      </c>
      <c r="AN85" s="305">
        <v>0</v>
      </c>
      <c r="AO85" s="303">
        <v>0</v>
      </c>
      <c r="AP85" s="303">
        <v>0</v>
      </c>
      <c r="AQ85" s="303">
        <v>0</v>
      </c>
      <c r="AR85" s="303">
        <v>0</v>
      </c>
      <c r="AS85" s="303">
        <v>0</v>
      </c>
      <c r="AT85" s="303">
        <v>0</v>
      </c>
      <c r="AU85" s="303">
        <v>0</v>
      </c>
      <c r="AV85" s="303">
        <v>0</v>
      </c>
      <c r="AW85" s="303">
        <v>0</v>
      </c>
      <c r="AX85" s="303">
        <v>0</v>
      </c>
      <c r="AY85" s="304">
        <v>1</v>
      </c>
      <c r="AZ85" s="283">
        <v>0</v>
      </c>
      <c r="BA85" s="303">
        <v>0</v>
      </c>
      <c r="BB85" s="303">
        <v>0</v>
      </c>
      <c r="BC85" s="303">
        <v>0</v>
      </c>
      <c r="BD85" s="303">
        <v>0</v>
      </c>
      <c r="BE85" s="303">
        <v>0</v>
      </c>
      <c r="BF85" s="303">
        <v>0</v>
      </c>
      <c r="BG85" s="303">
        <v>0</v>
      </c>
      <c r="BH85" s="303">
        <v>0</v>
      </c>
      <c r="BI85" s="303">
        <v>0</v>
      </c>
      <c r="BJ85" s="303">
        <v>0</v>
      </c>
      <c r="BK85" s="304">
        <v>0</v>
      </c>
      <c r="BL85" s="303">
        <v>0</v>
      </c>
      <c r="BM85" s="303">
        <v>1</v>
      </c>
      <c r="BN85" s="303">
        <v>0</v>
      </c>
      <c r="BO85" s="303">
        <v>0</v>
      </c>
      <c r="BP85" s="303">
        <v>0</v>
      </c>
      <c r="BQ85" s="303">
        <v>0</v>
      </c>
      <c r="BR85" s="303">
        <v>0</v>
      </c>
      <c r="BS85" s="303">
        <v>0</v>
      </c>
      <c r="BT85" s="303">
        <v>1</v>
      </c>
      <c r="BU85" s="303">
        <v>0</v>
      </c>
      <c r="BV85" s="303">
        <v>0</v>
      </c>
      <c r="BW85" s="306">
        <v>0</v>
      </c>
    </row>
    <row r="86" spans="1:75" ht="17" thickBot="1" x14ac:dyDescent="0.35">
      <c r="A86" s="462"/>
      <c r="B86" s="535"/>
      <c r="C86" s="280" t="s">
        <v>400</v>
      </c>
      <c r="D86" s="284">
        <v>0</v>
      </c>
      <c r="E86" s="307">
        <v>0</v>
      </c>
      <c r="F86" s="307">
        <v>0</v>
      </c>
      <c r="G86" s="307">
        <v>1</v>
      </c>
      <c r="H86" s="307">
        <v>0</v>
      </c>
      <c r="I86" s="307">
        <v>0</v>
      </c>
      <c r="J86" s="307">
        <v>0</v>
      </c>
      <c r="K86" s="307">
        <v>0</v>
      </c>
      <c r="L86" s="307">
        <v>0</v>
      </c>
      <c r="M86" s="307">
        <v>1</v>
      </c>
      <c r="N86" s="307">
        <v>0</v>
      </c>
      <c r="O86" s="308">
        <v>0</v>
      </c>
      <c r="P86" s="307">
        <v>0</v>
      </c>
      <c r="Q86" s="307">
        <v>1</v>
      </c>
      <c r="R86" s="307">
        <v>0</v>
      </c>
      <c r="S86" s="307">
        <v>0</v>
      </c>
      <c r="T86" s="307">
        <v>0</v>
      </c>
      <c r="U86" s="307">
        <v>0</v>
      </c>
      <c r="V86" s="307">
        <v>1</v>
      </c>
      <c r="W86" s="307">
        <v>1</v>
      </c>
      <c r="X86" s="307">
        <v>0</v>
      </c>
      <c r="Y86" s="307">
        <v>0</v>
      </c>
      <c r="Z86" s="307">
        <v>0</v>
      </c>
      <c r="AA86" s="308">
        <v>0</v>
      </c>
      <c r="AB86" s="307">
        <v>0</v>
      </c>
      <c r="AC86" s="307">
        <v>0</v>
      </c>
      <c r="AD86" s="307">
        <v>0</v>
      </c>
      <c r="AE86" s="307">
        <v>0</v>
      </c>
      <c r="AF86" s="307">
        <v>0</v>
      </c>
      <c r="AG86" s="307">
        <v>0</v>
      </c>
      <c r="AH86" s="307">
        <v>0</v>
      </c>
      <c r="AI86" s="307">
        <v>0</v>
      </c>
      <c r="AJ86" s="307">
        <v>0</v>
      </c>
      <c r="AK86" s="307">
        <v>0</v>
      </c>
      <c r="AL86" s="307">
        <v>0</v>
      </c>
      <c r="AM86" s="308">
        <v>0</v>
      </c>
      <c r="AN86" s="309">
        <v>0</v>
      </c>
      <c r="AO86" s="307">
        <v>0</v>
      </c>
      <c r="AP86" s="307">
        <v>0</v>
      </c>
      <c r="AQ86" s="307">
        <v>0</v>
      </c>
      <c r="AR86" s="307">
        <v>0</v>
      </c>
      <c r="AS86" s="307">
        <v>0</v>
      </c>
      <c r="AT86" s="307">
        <v>0</v>
      </c>
      <c r="AU86" s="307">
        <v>0</v>
      </c>
      <c r="AV86" s="307">
        <v>0</v>
      </c>
      <c r="AW86" s="307">
        <v>0</v>
      </c>
      <c r="AX86" s="307">
        <v>0</v>
      </c>
      <c r="AY86" s="308">
        <v>1</v>
      </c>
      <c r="AZ86" s="284">
        <v>0</v>
      </c>
      <c r="BA86" s="307">
        <v>0</v>
      </c>
      <c r="BB86" s="307">
        <v>0</v>
      </c>
      <c r="BC86" s="307">
        <v>0</v>
      </c>
      <c r="BD86" s="307">
        <v>0</v>
      </c>
      <c r="BE86" s="307">
        <v>0</v>
      </c>
      <c r="BF86" s="307">
        <v>0</v>
      </c>
      <c r="BG86" s="307">
        <v>0</v>
      </c>
      <c r="BH86" s="307">
        <v>0</v>
      </c>
      <c r="BI86" s="307">
        <v>0</v>
      </c>
      <c r="BJ86" s="307">
        <v>0</v>
      </c>
      <c r="BK86" s="308">
        <v>0</v>
      </c>
      <c r="BL86" s="307">
        <v>0</v>
      </c>
      <c r="BM86" s="307">
        <v>1</v>
      </c>
      <c r="BN86" s="307">
        <v>0</v>
      </c>
      <c r="BO86" s="307">
        <v>0</v>
      </c>
      <c r="BP86" s="307">
        <v>0</v>
      </c>
      <c r="BQ86" s="307">
        <v>0</v>
      </c>
      <c r="BR86" s="307">
        <v>0</v>
      </c>
      <c r="BS86" s="307">
        <v>0</v>
      </c>
      <c r="BT86" s="307">
        <v>0</v>
      </c>
      <c r="BU86" s="307">
        <v>0</v>
      </c>
      <c r="BV86" s="307">
        <v>0</v>
      </c>
      <c r="BW86" s="310">
        <v>0</v>
      </c>
    </row>
    <row r="87" spans="1:75" ht="17" thickBot="1" x14ac:dyDescent="0.35">
      <c r="A87" s="462"/>
      <c r="B87" s="536"/>
      <c r="C87" s="280" t="s">
        <v>401</v>
      </c>
      <c r="D87" s="285">
        <v>0</v>
      </c>
      <c r="E87" s="311">
        <v>0</v>
      </c>
      <c r="F87" s="311">
        <v>0</v>
      </c>
      <c r="G87" s="311">
        <v>1</v>
      </c>
      <c r="H87" s="311">
        <v>0</v>
      </c>
      <c r="I87" s="311">
        <v>0</v>
      </c>
      <c r="J87" s="311">
        <v>0</v>
      </c>
      <c r="K87" s="311">
        <v>0</v>
      </c>
      <c r="L87" s="311">
        <v>0</v>
      </c>
      <c r="M87" s="311">
        <v>1</v>
      </c>
      <c r="N87" s="311">
        <v>0</v>
      </c>
      <c r="O87" s="312">
        <v>0</v>
      </c>
      <c r="P87" s="311">
        <v>0</v>
      </c>
      <c r="Q87" s="311">
        <v>1</v>
      </c>
      <c r="R87" s="311">
        <v>0</v>
      </c>
      <c r="S87" s="311">
        <v>0</v>
      </c>
      <c r="T87" s="311">
        <v>0</v>
      </c>
      <c r="U87" s="311">
        <v>0</v>
      </c>
      <c r="V87" s="311">
        <v>1</v>
      </c>
      <c r="W87" s="311">
        <v>1</v>
      </c>
      <c r="X87" s="311">
        <v>0</v>
      </c>
      <c r="Y87" s="311">
        <v>0</v>
      </c>
      <c r="Z87" s="311">
        <v>0</v>
      </c>
      <c r="AA87" s="312">
        <v>0</v>
      </c>
      <c r="AB87" s="311">
        <v>0</v>
      </c>
      <c r="AC87" s="311">
        <v>0</v>
      </c>
      <c r="AD87" s="311">
        <v>0</v>
      </c>
      <c r="AE87" s="311">
        <v>0</v>
      </c>
      <c r="AF87" s="311">
        <v>0</v>
      </c>
      <c r="AG87" s="311">
        <v>0</v>
      </c>
      <c r="AH87" s="311">
        <v>0</v>
      </c>
      <c r="AI87" s="311">
        <v>0</v>
      </c>
      <c r="AJ87" s="311">
        <v>0</v>
      </c>
      <c r="AK87" s="311">
        <v>0</v>
      </c>
      <c r="AL87" s="311">
        <v>0</v>
      </c>
      <c r="AM87" s="312">
        <v>0</v>
      </c>
      <c r="AN87" s="313">
        <v>0</v>
      </c>
      <c r="AO87" s="311">
        <v>0</v>
      </c>
      <c r="AP87" s="311">
        <v>0</v>
      </c>
      <c r="AQ87" s="311">
        <v>0</v>
      </c>
      <c r="AR87" s="311">
        <v>0</v>
      </c>
      <c r="AS87" s="311">
        <v>0</v>
      </c>
      <c r="AT87" s="311">
        <v>0</v>
      </c>
      <c r="AU87" s="311">
        <v>0</v>
      </c>
      <c r="AV87" s="311">
        <v>0</v>
      </c>
      <c r="AW87" s="311">
        <v>0</v>
      </c>
      <c r="AX87" s="311">
        <v>0</v>
      </c>
      <c r="AY87" s="312">
        <v>1</v>
      </c>
      <c r="AZ87" s="285">
        <v>0</v>
      </c>
      <c r="BA87" s="311">
        <v>0</v>
      </c>
      <c r="BB87" s="311">
        <v>0</v>
      </c>
      <c r="BC87" s="311">
        <v>0</v>
      </c>
      <c r="BD87" s="311">
        <v>0</v>
      </c>
      <c r="BE87" s="311">
        <v>0</v>
      </c>
      <c r="BF87" s="311">
        <v>0</v>
      </c>
      <c r="BG87" s="311">
        <v>0</v>
      </c>
      <c r="BH87" s="311">
        <v>0</v>
      </c>
      <c r="BI87" s="311">
        <v>0</v>
      </c>
      <c r="BJ87" s="311">
        <v>0</v>
      </c>
      <c r="BK87" s="312">
        <v>0</v>
      </c>
      <c r="BL87" s="311">
        <v>0</v>
      </c>
      <c r="BM87" s="311">
        <v>1</v>
      </c>
      <c r="BN87" s="311">
        <v>0</v>
      </c>
      <c r="BO87" s="311">
        <v>0</v>
      </c>
      <c r="BP87" s="311">
        <v>0</v>
      </c>
      <c r="BQ87" s="311">
        <v>0</v>
      </c>
      <c r="BR87" s="311">
        <v>0</v>
      </c>
      <c r="BS87" s="311">
        <v>0</v>
      </c>
      <c r="BT87" s="311">
        <v>0</v>
      </c>
      <c r="BU87" s="311">
        <v>0</v>
      </c>
      <c r="BV87" s="311">
        <v>0</v>
      </c>
      <c r="BW87" s="314">
        <v>0</v>
      </c>
    </row>
    <row r="88" spans="1:75" ht="17" thickBot="1" x14ac:dyDescent="0.5">
      <c r="A88" s="462"/>
      <c r="B88" s="535" t="s">
        <v>213</v>
      </c>
      <c r="C88" s="239" t="s">
        <v>403</v>
      </c>
      <c r="D88" s="207">
        <v>0</v>
      </c>
      <c r="E88" s="208">
        <v>0</v>
      </c>
      <c r="F88" s="208">
        <v>0</v>
      </c>
      <c r="G88" s="208">
        <v>0</v>
      </c>
      <c r="H88" s="208">
        <v>0</v>
      </c>
      <c r="I88" s="208">
        <v>0</v>
      </c>
      <c r="J88" s="208">
        <v>0</v>
      </c>
      <c r="K88" s="208">
        <v>1</v>
      </c>
      <c r="L88" s="208">
        <v>0</v>
      </c>
      <c r="M88" s="208">
        <v>0</v>
      </c>
      <c r="N88" s="208">
        <v>0</v>
      </c>
      <c r="O88" s="209">
        <v>0</v>
      </c>
      <c r="P88" s="208">
        <v>0</v>
      </c>
      <c r="Q88" s="208">
        <v>1</v>
      </c>
      <c r="R88" s="208">
        <v>0</v>
      </c>
      <c r="S88" s="208">
        <v>0</v>
      </c>
      <c r="T88" s="208">
        <v>0</v>
      </c>
      <c r="U88" s="208">
        <v>0</v>
      </c>
      <c r="V88" s="208">
        <v>0</v>
      </c>
      <c r="W88" s="208">
        <v>0</v>
      </c>
      <c r="X88" s="208">
        <v>0</v>
      </c>
      <c r="Y88" s="210">
        <v>1</v>
      </c>
      <c r="Z88" s="210">
        <v>0</v>
      </c>
      <c r="AA88" s="211">
        <v>0</v>
      </c>
      <c r="AB88" s="207">
        <v>0</v>
      </c>
      <c r="AC88" s="208">
        <v>0</v>
      </c>
      <c r="AD88" s="208">
        <v>0</v>
      </c>
      <c r="AE88" s="208">
        <v>0</v>
      </c>
      <c r="AF88" s="208">
        <v>0</v>
      </c>
      <c r="AG88" s="208">
        <v>0</v>
      </c>
      <c r="AH88" s="208">
        <v>0</v>
      </c>
      <c r="AI88" s="208">
        <v>0</v>
      </c>
      <c r="AJ88" s="208">
        <v>0</v>
      </c>
      <c r="AK88" s="208">
        <v>0</v>
      </c>
      <c r="AL88" s="208">
        <v>0</v>
      </c>
      <c r="AM88" s="209">
        <v>1</v>
      </c>
      <c r="AN88" s="208">
        <v>1</v>
      </c>
      <c r="AO88" s="208">
        <v>0</v>
      </c>
      <c r="AP88" s="208">
        <v>0</v>
      </c>
      <c r="AQ88" s="208">
        <v>0</v>
      </c>
      <c r="AR88" s="208">
        <v>0</v>
      </c>
      <c r="AS88" s="208">
        <v>0</v>
      </c>
      <c r="AT88" s="208">
        <v>0</v>
      </c>
      <c r="AU88" s="208">
        <v>1</v>
      </c>
      <c r="AV88" s="208">
        <v>0</v>
      </c>
      <c r="AW88" s="210">
        <v>0</v>
      </c>
      <c r="AX88" s="210">
        <v>0</v>
      </c>
      <c r="AY88" s="211">
        <v>0</v>
      </c>
      <c r="AZ88" s="242">
        <v>0</v>
      </c>
      <c r="BA88" s="208">
        <v>0</v>
      </c>
      <c r="BB88" s="208">
        <v>0</v>
      </c>
      <c r="BC88" s="208">
        <v>0</v>
      </c>
      <c r="BD88" s="208">
        <v>0</v>
      </c>
      <c r="BE88" s="208">
        <v>0</v>
      </c>
      <c r="BF88" s="208">
        <v>0</v>
      </c>
      <c r="BG88" s="208">
        <v>0</v>
      </c>
      <c r="BH88" s="208">
        <v>0</v>
      </c>
      <c r="BI88" s="208">
        <v>0</v>
      </c>
      <c r="BJ88" s="208">
        <v>1</v>
      </c>
      <c r="BK88" s="209">
        <v>0</v>
      </c>
      <c r="BL88" s="208">
        <v>0</v>
      </c>
      <c r="BM88" s="208">
        <v>0</v>
      </c>
      <c r="BN88" s="208">
        <v>0</v>
      </c>
      <c r="BO88" s="208">
        <v>0</v>
      </c>
      <c r="BP88" s="208">
        <v>0</v>
      </c>
      <c r="BQ88" s="208">
        <v>0</v>
      </c>
      <c r="BR88" s="208">
        <v>0</v>
      </c>
      <c r="BS88" s="208">
        <v>0</v>
      </c>
      <c r="BT88" s="208">
        <v>0</v>
      </c>
      <c r="BU88" s="210">
        <v>0</v>
      </c>
      <c r="BV88" s="210">
        <v>0</v>
      </c>
      <c r="BW88" s="213">
        <v>0</v>
      </c>
    </row>
    <row r="89" spans="1:75" ht="17" thickBot="1" x14ac:dyDescent="0.5">
      <c r="A89" s="462"/>
      <c r="B89" s="535"/>
      <c r="C89" s="280" t="s">
        <v>398</v>
      </c>
      <c r="D89" s="281">
        <v>0</v>
      </c>
      <c r="E89" s="286">
        <v>0</v>
      </c>
      <c r="F89" s="286">
        <v>0</v>
      </c>
      <c r="G89" s="286">
        <v>0</v>
      </c>
      <c r="H89" s="286">
        <v>0</v>
      </c>
      <c r="I89" s="286">
        <v>0</v>
      </c>
      <c r="J89" s="286">
        <v>0</v>
      </c>
      <c r="K89" s="286">
        <v>1</v>
      </c>
      <c r="L89" s="286">
        <v>0</v>
      </c>
      <c r="M89" s="286">
        <v>0</v>
      </c>
      <c r="N89" s="286">
        <v>0</v>
      </c>
      <c r="O89" s="287">
        <v>0</v>
      </c>
      <c r="P89" s="286">
        <v>0</v>
      </c>
      <c r="Q89" s="286">
        <v>1</v>
      </c>
      <c r="R89" s="286">
        <v>0</v>
      </c>
      <c r="S89" s="286">
        <v>0</v>
      </c>
      <c r="T89" s="286">
        <v>0</v>
      </c>
      <c r="U89" s="286">
        <v>0</v>
      </c>
      <c r="V89" s="286">
        <v>0</v>
      </c>
      <c r="W89" s="286">
        <v>0</v>
      </c>
      <c r="X89" s="286">
        <v>0</v>
      </c>
      <c r="Y89" s="288">
        <v>1</v>
      </c>
      <c r="Z89" s="288">
        <v>0</v>
      </c>
      <c r="AA89" s="289">
        <v>0</v>
      </c>
      <c r="AB89" s="281">
        <v>0</v>
      </c>
      <c r="AC89" s="286">
        <v>0</v>
      </c>
      <c r="AD89" s="286">
        <v>0</v>
      </c>
      <c r="AE89" s="286">
        <v>0</v>
      </c>
      <c r="AF89" s="286">
        <v>0</v>
      </c>
      <c r="AG89" s="286">
        <v>0</v>
      </c>
      <c r="AH89" s="286">
        <v>0</v>
      </c>
      <c r="AI89" s="286">
        <v>0</v>
      </c>
      <c r="AJ89" s="286">
        <v>0</v>
      </c>
      <c r="AK89" s="286">
        <v>0</v>
      </c>
      <c r="AL89" s="286">
        <v>0</v>
      </c>
      <c r="AM89" s="287">
        <v>1</v>
      </c>
      <c r="AN89" s="286">
        <v>1</v>
      </c>
      <c r="AO89" s="286">
        <v>0</v>
      </c>
      <c r="AP89" s="286">
        <v>0</v>
      </c>
      <c r="AQ89" s="286">
        <v>0</v>
      </c>
      <c r="AR89" s="286">
        <v>0</v>
      </c>
      <c r="AS89" s="286">
        <v>0</v>
      </c>
      <c r="AT89" s="286">
        <v>0</v>
      </c>
      <c r="AU89" s="286">
        <v>1</v>
      </c>
      <c r="AV89" s="286">
        <v>0</v>
      </c>
      <c r="AW89" s="288">
        <v>0</v>
      </c>
      <c r="AX89" s="288">
        <v>0</v>
      </c>
      <c r="AY89" s="289">
        <v>0</v>
      </c>
      <c r="AZ89" s="291">
        <v>0</v>
      </c>
      <c r="BA89" s="286">
        <v>0</v>
      </c>
      <c r="BB89" s="286">
        <v>0</v>
      </c>
      <c r="BC89" s="286">
        <v>0</v>
      </c>
      <c r="BD89" s="286">
        <v>0</v>
      </c>
      <c r="BE89" s="286">
        <v>0</v>
      </c>
      <c r="BF89" s="286">
        <v>0</v>
      </c>
      <c r="BG89" s="286">
        <v>0</v>
      </c>
      <c r="BH89" s="286">
        <v>0</v>
      </c>
      <c r="BI89" s="286">
        <v>0</v>
      </c>
      <c r="BJ89" s="286">
        <v>1</v>
      </c>
      <c r="BK89" s="287">
        <v>0</v>
      </c>
      <c r="BL89" s="286">
        <v>0</v>
      </c>
      <c r="BM89" s="286">
        <v>0</v>
      </c>
      <c r="BN89" s="286">
        <v>0</v>
      </c>
      <c r="BO89" s="286">
        <v>0</v>
      </c>
      <c r="BP89" s="286">
        <v>0</v>
      </c>
      <c r="BQ89" s="286">
        <v>0</v>
      </c>
      <c r="BR89" s="286">
        <v>0</v>
      </c>
      <c r="BS89" s="286">
        <v>0</v>
      </c>
      <c r="BT89" s="286">
        <v>0</v>
      </c>
      <c r="BU89" s="288">
        <v>0</v>
      </c>
      <c r="BV89" s="288">
        <v>0</v>
      </c>
      <c r="BW89" s="293">
        <v>0</v>
      </c>
    </row>
    <row r="90" spans="1:75" ht="17" thickBot="1" x14ac:dyDescent="0.5">
      <c r="A90" s="462"/>
      <c r="B90" s="535"/>
      <c r="C90" s="280" t="s">
        <v>404</v>
      </c>
      <c r="D90" s="282">
        <v>0</v>
      </c>
      <c r="E90" s="295">
        <v>0</v>
      </c>
      <c r="F90" s="295">
        <v>0</v>
      </c>
      <c r="G90" s="295">
        <v>0</v>
      </c>
      <c r="H90" s="295">
        <v>0</v>
      </c>
      <c r="I90" s="295">
        <v>0</v>
      </c>
      <c r="J90" s="295">
        <v>0</v>
      </c>
      <c r="K90" s="295">
        <v>0</v>
      </c>
      <c r="L90" s="295">
        <v>0</v>
      </c>
      <c r="M90" s="295">
        <v>0</v>
      </c>
      <c r="N90" s="295">
        <v>0</v>
      </c>
      <c r="O90" s="296">
        <v>0</v>
      </c>
      <c r="P90" s="295">
        <v>0</v>
      </c>
      <c r="Q90" s="295">
        <v>1</v>
      </c>
      <c r="R90" s="295">
        <v>0</v>
      </c>
      <c r="S90" s="295">
        <v>0</v>
      </c>
      <c r="T90" s="295">
        <v>0</v>
      </c>
      <c r="U90" s="295">
        <v>0</v>
      </c>
      <c r="V90" s="295">
        <v>0</v>
      </c>
      <c r="W90" s="295">
        <v>0</v>
      </c>
      <c r="X90" s="295">
        <v>0</v>
      </c>
      <c r="Y90" s="297">
        <v>1</v>
      </c>
      <c r="Z90" s="297">
        <v>0</v>
      </c>
      <c r="AA90" s="298">
        <v>0</v>
      </c>
      <c r="AB90" s="282">
        <v>0</v>
      </c>
      <c r="AC90" s="295">
        <v>0</v>
      </c>
      <c r="AD90" s="295">
        <v>0</v>
      </c>
      <c r="AE90" s="295">
        <v>0</v>
      </c>
      <c r="AF90" s="295">
        <v>0</v>
      </c>
      <c r="AG90" s="295">
        <v>0</v>
      </c>
      <c r="AH90" s="295">
        <v>0</v>
      </c>
      <c r="AI90" s="295">
        <v>0</v>
      </c>
      <c r="AJ90" s="295">
        <v>0</v>
      </c>
      <c r="AK90" s="295">
        <v>0</v>
      </c>
      <c r="AL90" s="295">
        <v>0</v>
      </c>
      <c r="AM90" s="296">
        <v>1</v>
      </c>
      <c r="AN90" s="295">
        <v>1</v>
      </c>
      <c r="AO90" s="295">
        <v>0</v>
      </c>
      <c r="AP90" s="295">
        <v>0</v>
      </c>
      <c r="AQ90" s="295">
        <v>0</v>
      </c>
      <c r="AR90" s="295">
        <v>0</v>
      </c>
      <c r="AS90" s="295">
        <v>0</v>
      </c>
      <c r="AT90" s="295">
        <v>0</v>
      </c>
      <c r="AU90" s="295">
        <v>0</v>
      </c>
      <c r="AV90" s="295">
        <v>0</v>
      </c>
      <c r="AW90" s="297">
        <v>0</v>
      </c>
      <c r="AX90" s="297">
        <v>0</v>
      </c>
      <c r="AY90" s="298">
        <v>0</v>
      </c>
      <c r="AZ90" s="300">
        <v>0</v>
      </c>
      <c r="BA90" s="295">
        <v>0</v>
      </c>
      <c r="BB90" s="295">
        <v>0</v>
      </c>
      <c r="BC90" s="295">
        <v>0</v>
      </c>
      <c r="BD90" s="295">
        <v>0</v>
      </c>
      <c r="BE90" s="295">
        <v>0</v>
      </c>
      <c r="BF90" s="295">
        <v>0</v>
      </c>
      <c r="BG90" s="295">
        <v>0</v>
      </c>
      <c r="BH90" s="295">
        <v>0</v>
      </c>
      <c r="BI90" s="295">
        <v>0</v>
      </c>
      <c r="BJ90" s="295">
        <v>0</v>
      </c>
      <c r="BK90" s="296">
        <v>0</v>
      </c>
      <c r="BL90" s="295">
        <v>0</v>
      </c>
      <c r="BM90" s="295">
        <v>0</v>
      </c>
      <c r="BN90" s="295">
        <v>0</v>
      </c>
      <c r="BO90" s="295">
        <v>0</v>
      </c>
      <c r="BP90" s="295">
        <v>0</v>
      </c>
      <c r="BQ90" s="295">
        <v>0</v>
      </c>
      <c r="BR90" s="295">
        <v>0</v>
      </c>
      <c r="BS90" s="295">
        <v>0</v>
      </c>
      <c r="BT90" s="295">
        <v>0</v>
      </c>
      <c r="BU90" s="297">
        <v>0</v>
      </c>
      <c r="BV90" s="297">
        <v>0</v>
      </c>
      <c r="BW90" s="302">
        <v>0</v>
      </c>
    </row>
    <row r="91" spans="1:75" ht="17" thickBot="1" x14ac:dyDescent="0.35">
      <c r="A91" s="462"/>
      <c r="B91" s="535"/>
      <c r="C91" s="280" t="s">
        <v>399</v>
      </c>
      <c r="D91" s="283">
        <v>0</v>
      </c>
      <c r="E91" s="303">
        <v>0</v>
      </c>
      <c r="F91" s="303">
        <v>0</v>
      </c>
      <c r="G91" s="303">
        <v>0</v>
      </c>
      <c r="H91" s="303">
        <v>0</v>
      </c>
      <c r="I91" s="303">
        <v>0</v>
      </c>
      <c r="J91" s="303">
        <v>0</v>
      </c>
      <c r="K91" s="303">
        <v>1</v>
      </c>
      <c r="L91" s="303">
        <v>0</v>
      </c>
      <c r="M91" s="303">
        <v>0</v>
      </c>
      <c r="N91" s="303">
        <v>0</v>
      </c>
      <c r="O91" s="304">
        <v>0</v>
      </c>
      <c r="P91" s="303">
        <v>0</v>
      </c>
      <c r="Q91" s="303">
        <v>1</v>
      </c>
      <c r="R91" s="303">
        <v>0</v>
      </c>
      <c r="S91" s="303">
        <v>0</v>
      </c>
      <c r="T91" s="303">
        <v>0</v>
      </c>
      <c r="U91" s="303">
        <v>0</v>
      </c>
      <c r="V91" s="303">
        <v>0</v>
      </c>
      <c r="W91" s="303">
        <v>0</v>
      </c>
      <c r="X91" s="303">
        <v>0</v>
      </c>
      <c r="Y91" s="303">
        <v>1</v>
      </c>
      <c r="Z91" s="303">
        <v>0</v>
      </c>
      <c r="AA91" s="304">
        <v>0</v>
      </c>
      <c r="AB91" s="283">
        <v>0</v>
      </c>
      <c r="AC91" s="303">
        <v>0</v>
      </c>
      <c r="AD91" s="303">
        <v>0</v>
      </c>
      <c r="AE91" s="303">
        <v>0</v>
      </c>
      <c r="AF91" s="303">
        <v>0</v>
      </c>
      <c r="AG91" s="303">
        <v>0</v>
      </c>
      <c r="AH91" s="303">
        <v>0</v>
      </c>
      <c r="AI91" s="303">
        <v>0</v>
      </c>
      <c r="AJ91" s="303">
        <v>0</v>
      </c>
      <c r="AK91" s="303">
        <v>0</v>
      </c>
      <c r="AL91" s="303">
        <v>0</v>
      </c>
      <c r="AM91" s="304">
        <v>1</v>
      </c>
      <c r="AN91" s="303">
        <v>1</v>
      </c>
      <c r="AO91" s="303">
        <v>0</v>
      </c>
      <c r="AP91" s="303">
        <v>0</v>
      </c>
      <c r="AQ91" s="303">
        <v>0</v>
      </c>
      <c r="AR91" s="303">
        <v>0</v>
      </c>
      <c r="AS91" s="303">
        <v>0</v>
      </c>
      <c r="AT91" s="303">
        <v>0</v>
      </c>
      <c r="AU91" s="303">
        <v>1</v>
      </c>
      <c r="AV91" s="303">
        <v>0</v>
      </c>
      <c r="AW91" s="303">
        <v>0</v>
      </c>
      <c r="AX91" s="303">
        <v>0</v>
      </c>
      <c r="AY91" s="304">
        <v>0</v>
      </c>
      <c r="AZ91" s="305">
        <v>0</v>
      </c>
      <c r="BA91" s="303">
        <v>0</v>
      </c>
      <c r="BB91" s="303">
        <v>0</v>
      </c>
      <c r="BC91" s="303">
        <v>0</v>
      </c>
      <c r="BD91" s="303">
        <v>0</v>
      </c>
      <c r="BE91" s="303">
        <v>0</v>
      </c>
      <c r="BF91" s="303">
        <v>0</v>
      </c>
      <c r="BG91" s="303">
        <v>0</v>
      </c>
      <c r="BH91" s="303">
        <v>0</v>
      </c>
      <c r="BI91" s="303">
        <v>0</v>
      </c>
      <c r="BJ91" s="303">
        <v>1</v>
      </c>
      <c r="BK91" s="304">
        <v>0</v>
      </c>
      <c r="BL91" s="303">
        <v>0</v>
      </c>
      <c r="BM91" s="303">
        <v>0</v>
      </c>
      <c r="BN91" s="303">
        <v>0</v>
      </c>
      <c r="BO91" s="303">
        <v>0</v>
      </c>
      <c r="BP91" s="303">
        <v>0</v>
      </c>
      <c r="BQ91" s="303">
        <v>0</v>
      </c>
      <c r="BR91" s="303">
        <v>0</v>
      </c>
      <c r="BS91" s="303">
        <v>0</v>
      </c>
      <c r="BT91" s="303">
        <v>0</v>
      </c>
      <c r="BU91" s="303">
        <v>0</v>
      </c>
      <c r="BV91" s="303">
        <v>0</v>
      </c>
      <c r="BW91" s="306">
        <v>0</v>
      </c>
    </row>
    <row r="92" spans="1:75" ht="17" thickBot="1" x14ac:dyDescent="0.35">
      <c r="A92" s="462"/>
      <c r="B92" s="535"/>
      <c r="C92" s="280" t="s">
        <v>400</v>
      </c>
      <c r="D92" s="284">
        <v>0</v>
      </c>
      <c r="E92" s="307">
        <v>0</v>
      </c>
      <c r="F92" s="307">
        <v>0</v>
      </c>
      <c r="G92" s="307">
        <v>0</v>
      </c>
      <c r="H92" s="307">
        <v>0</v>
      </c>
      <c r="I92" s="307">
        <v>0</v>
      </c>
      <c r="J92" s="307">
        <v>0</v>
      </c>
      <c r="K92" s="307">
        <v>0</v>
      </c>
      <c r="L92" s="307">
        <v>0</v>
      </c>
      <c r="M92" s="307">
        <v>0</v>
      </c>
      <c r="N92" s="307">
        <v>0</v>
      </c>
      <c r="O92" s="308">
        <v>0</v>
      </c>
      <c r="P92" s="307">
        <v>0</v>
      </c>
      <c r="Q92" s="307">
        <v>0</v>
      </c>
      <c r="R92" s="307">
        <v>0</v>
      </c>
      <c r="S92" s="307">
        <v>0</v>
      </c>
      <c r="T92" s="307">
        <v>0</v>
      </c>
      <c r="U92" s="307">
        <v>0</v>
      </c>
      <c r="V92" s="307">
        <v>0</v>
      </c>
      <c r="W92" s="307">
        <v>0</v>
      </c>
      <c r="X92" s="307">
        <v>0</v>
      </c>
      <c r="Y92" s="307">
        <v>0</v>
      </c>
      <c r="Z92" s="307">
        <v>0</v>
      </c>
      <c r="AA92" s="308">
        <v>0</v>
      </c>
      <c r="AB92" s="284">
        <v>0</v>
      </c>
      <c r="AC92" s="307">
        <v>0</v>
      </c>
      <c r="AD92" s="307">
        <v>0</v>
      </c>
      <c r="AE92" s="307">
        <v>0</v>
      </c>
      <c r="AF92" s="307">
        <v>0</v>
      </c>
      <c r="AG92" s="307">
        <v>0</v>
      </c>
      <c r="AH92" s="307">
        <v>0</v>
      </c>
      <c r="AI92" s="307">
        <v>0</v>
      </c>
      <c r="AJ92" s="307">
        <v>0</v>
      </c>
      <c r="AK92" s="307">
        <v>0</v>
      </c>
      <c r="AL92" s="307">
        <v>0</v>
      </c>
      <c r="AM92" s="308">
        <v>0</v>
      </c>
      <c r="AN92" s="307">
        <v>0</v>
      </c>
      <c r="AO92" s="307">
        <v>0</v>
      </c>
      <c r="AP92" s="307">
        <v>0</v>
      </c>
      <c r="AQ92" s="307">
        <v>0</v>
      </c>
      <c r="AR92" s="307">
        <v>0</v>
      </c>
      <c r="AS92" s="307">
        <v>0</v>
      </c>
      <c r="AT92" s="307">
        <v>0</v>
      </c>
      <c r="AU92" s="307">
        <v>0</v>
      </c>
      <c r="AV92" s="307">
        <v>0</v>
      </c>
      <c r="AW92" s="307">
        <v>0</v>
      </c>
      <c r="AX92" s="307">
        <v>0</v>
      </c>
      <c r="AY92" s="308">
        <v>0</v>
      </c>
      <c r="AZ92" s="309">
        <v>0</v>
      </c>
      <c r="BA92" s="307">
        <v>0</v>
      </c>
      <c r="BB92" s="307">
        <v>0</v>
      </c>
      <c r="BC92" s="307">
        <v>0</v>
      </c>
      <c r="BD92" s="307">
        <v>0</v>
      </c>
      <c r="BE92" s="307">
        <v>0</v>
      </c>
      <c r="BF92" s="307">
        <v>0</v>
      </c>
      <c r="BG92" s="307">
        <v>0</v>
      </c>
      <c r="BH92" s="307">
        <v>0</v>
      </c>
      <c r="BI92" s="307">
        <v>0</v>
      </c>
      <c r="BJ92" s="307">
        <v>1</v>
      </c>
      <c r="BK92" s="308">
        <v>0</v>
      </c>
      <c r="BL92" s="307">
        <v>0</v>
      </c>
      <c r="BM92" s="307">
        <v>0</v>
      </c>
      <c r="BN92" s="307">
        <v>0</v>
      </c>
      <c r="BO92" s="307">
        <v>0</v>
      </c>
      <c r="BP92" s="307">
        <v>0</v>
      </c>
      <c r="BQ92" s="307">
        <v>0</v>
      </c>
      <c r="BR92" s="307">
        <v>0</v>
      </c>
      <c r="BS92" s="307">
        <v>0</v>
      </c>
      <c r="BT92" s="307">
        <v>0</v>
      </c>
      <c r="BU92" s="307">
        <v>0</v>
      </c>
      <c r="BV92" s="307">
        <v>0</v>
      </c>
      <c r="BW92" s="310">
        <v>0</v>
      </c>
    </row>
    <row r="93" spans="1:75" ht="17" thickBot="1" x14ac:dyDescent="0.35">
      <c r="A93" s="462"/>
      <c r="B93" s="536"/>
      <c r="C93" s="315" t="s">
        <v>401</v>
      </c>
      <c r="D93" s="285">
        <v>0</v>
      </c>
      <c r="E93" s="311">
        <v>0</v>
      </c>
      <c r="F93" s="311">
        <v>0</v>
      </c>
      <c r="G93" s="311">
        <v>0</v>
      </c>
      <c r="H93" s="311">
        <v>0</v>
      </c>
      <c r="I93" s="311">
        <v>0</v>
      </c>
      <c r="J93" s="311">
        <v>0</v>
      </c>
      <c r="K93" s="311">
        <v>0</v>
      </c>
      <c r="L93" s="311">
        <v>0</v>
      </c>
      <c r="M93" s="311">
        <v>0</v>
      </c>
      <c r="N93" s="311">
        <v>0</v>
      </c>
      <c r="O93" s="312">
        <v>0</v>
      </c>
      <c r="P93" s="311">
        <v>0</v>
      </c>
      <c r="Q93" s="311">
        <v>0</v>
      </c>
      <c r="R93" s="311">
        <v>0</v>
      </c>
      <c r="S93" s="311">
        <v>0</v>
      </c>
      <c r="T93" s="311">
        <v>0</v>
      </c>
      <c r="U93" s="311">
        <v>0</v>
      </c>
      <c r="V93" s="311">
        <v>0</v>
      </c>
      <c r="W93" s="311">
        <v>0</v>
      </c>
      <c r="X93" s="311">
        <v>0</v>
      </c>
      <c r="Y93" s="311">
        <v>1</v>
      </c>
      <c r="Z93" s="311">
        <v>0</v>
      </c>
      <c r="AA93" s="312">
        <v>0</v>
      </c>
      <c r="AB93" s="285">
        <v>0</v>
      </c>
      <c r="AC93" s="311">
        <v>0</v>
      </c>
      <c r="AD93" s="311">
        <v>0</v>
      </c>
      <c r="AE93" s="311">
        <v>0</v>
      </c>
      <c r="AF93" s="311">
        <v>0</v>
      </c>
      <c r="AG93" s="311">
        <v>0</v>
      </c>
      <c r="AH93" s="311">
        <v>0</v>
      </c>
      <c r="AI93" s="311">
        <v>0</v>
      </c>
      <c r="AJ93" s="311">
        <v>0</v>
      </c>
      <c r="AK93" s="311">
        <v>0</v>
      </c>
      <c r="AL93" s="311">
        <v>0</v>
      </c>
      <c r="AM93" s="312">
        <v>0</v>
      </c>
      <c r="AN93" s="311">
        <v>0</v>
      </c>
      <c r="AO93" s="311">
        <v>0</v>
      </c>
      <c r="AP93" s="311">
        <v>0</v>
      </c>
      <c r="AQ93" s="311">
        <v>0</v>
      </c>
      <c r="AR93" s="311">
        <v>0</v>
      </c>
      <c r="AS93" s="311">
        <v>0</v>
      </c>
      <c r="AT93" s="311">
        <v>0</v>
      </c>
      <c r="AU93" s="311">
        <v>0</v>
      </c>
      <c r="AV93" s="311">
        <v>0</v>
      </c>
      <c r="AW93" s="311">
        <v>0</v>
      </c>
      <c r="AX93" s="311">
        <v>0</v>
      </c>
      <c r="AY93" s="312">
        <v>0</v>
      </c>
      <c r="AZ93" s="313">
        <v>0</v>
      </c>
      <c r="BA93" s="311">
        <v>0</v>
      </c>
      <c r="BB93" s="311">
        <v>0</v>
      </c>
      <c r="BC93" s="311">
        <v>0</v>
      </c>
      <c r="BD93" s="311">
        <v>0</v>
      </c>
      <c r="BE93" s="311">
        <v>0</v>
      </c>
      <c r="BF93" s="311">
        <v>0</v>
      </c>
      <c r="BG93" s="311">
        <v>0</v>
      </c>
      <c r="BH93" s="311">
        <v>0</v>
      </c>
      <c r="BI93" s="311">
        <v>0</v>
      </c>
      <c r="BJ93" s="311">
        <v>1</v>
      </c>
      <c r="BK93" s="312">
        <v>0</v>
      </c>
      <c r="BL93" s="311">
        <v>0</v>
      </c>
      <c r="BM93" s="311">
        <v>0</v>
      </c>
      <c r="BN93" s="311">
        <v>0</v>
      </c>
      <c r="BO93" s="311">
        <v>0</v>
      </c>
      <c r="BP93" s="311">
        <v>0</v>
      </c>
      <c r="BQ93" s="311">
        <v>0</v>
      </c>
      <c r="BR93" s="311">
        <v>0</v>
      </c>
      <c r="BS93" s="311">
        <v>0</v>
      </c>
      <c r="BT93" s="311">
        <v>0</v>
      </c>
      <c r="BU93" s="311">
        <v>0</v>
      </c>
      <c r="BV93" s="311">
        <v>0</v>
      </c>
      <c r="BW93" s="314">
        <v>0</v>
      </c>
    </row>
    <row r="94" spans="1:75" ht="17" thickBot="1" x14ac:dyDescent="0.5">
      <c r="A94" s="462"/>
      <c r="B94" s="535" t="s">
        <v>204</v>
      </c>
      <c r="C94" s="239" t="s">
        <v>403</v>
      </c>
      <c r="D94" s="207">
        <v>0</v>
      </c>
      <c r="E94" s="208">
        <v>0</v>
      </c>
      <c r="F94" s="208">
        <v>1</v>
      </c>
      <c r="G94" s="208">
        <v>0</v>
      </c>
      <c r="H94" s="208">
        <v>0</v>
      </c>
      <c r="I94" s="208">
        <v>0</v>
      </c>
      <c r="J94" s="208">
        <v>0</v>
      </c>
      <c r="K94" s="208">
        <v>0</v>
      </c>
      <c r="L94" s="208">
        <v>0</v>
      </c>
      <c r="M94" s="208">
        <v>0</v>
      </c>
      <c r="N94" s="208">
        <v>0</v>
      </c>
      <c r="O94" s="209">
        <v>1</v>
      </c>
      <c r="P94" s="208">
        <v>0</v>
      </c>
      <c r="Q94" s="208">
        <v>0</v>
      </c>
      <c r="R94" s="208">
        <v>1</v>
      </c>
      <c r="S94" s="208">
        <v>0</v>
      </c>
      <c r="T94" s="208">
        <v>0</v>
      </c>
      <c r="U94" s="208">
        <v>0</v>
      </c>
      <c r="V94" s="208">
        <v>0</v>
      </c>
      <c r="W94" s="208">
        <v>0</v>
      </c>
      <c r="X94" s="208">
        <v>0</v>
      </c>
      <c r="Y94" s="210">
        <v>1</v>
      </c>
      <c r="Z94" s="210">
        <v>0</v>
      </c>
      <c r="AA94" s="211">
        <v>0</v>
      </c>
      <c r="AB94" s="207">
        <v>0</v>
      </c>
      <c r="AC94" s="208">
        <v>0</v>
      </c>
      <c r="AD94" s="208">
        <v>0</v>
      </c>
      <c r="AE94" s="208">
        <v>0</v>
      </c>
      <c r="AF94" s="208">
        <v>0</v>
      </c>
      <c r="AG94" s="208">
        <v>0</v>
      </c>
      <c r="AH94" s="208">
        <v>0</v>
      </c>
      <c r="AI94" s="208">
        <v>0</v>
      </c>
      <c r="AJ94" s="208">
        <v>1</v>
      </c>
      <c r="AK94" s="208">
        <v>0</v>
      </c>
      <c r="AL94" s="208">
        <v>0</v>
      </c>
      <c r="AM94" s="209">
        <v>0</v>
      </c>
      <c r="AN94" s="208">
        <v>0</v>
      </c>
      <c r="AO94" s="208">
        <v>0</v>
      </c>
      <c r="AP94" s="208">
        <v>0</v>
      </c>
      <c r="AQ94" s="208">
        <v>1</v>
      </c>
      <c r="AR94" s="208">
        <v>0</v>
      </c>
      <c r="AS94" s="208">
        <v>0</v>
      </c>
      <c r="AT94" s="208">
        <v>0</v>
      </c>
      <c r="AU94" s="208">
        <v>1</v>
      </c>
      <c r="AV94" s="208">
        <v>0</v>
      </c>
      <c r="AW94" s="210">
        <v>0</v>
      </c>
      <c r="AX94" s="210">
        <v>0</v>
      </c>
      <c r="AY94" s="211">
        <v>1</v>
      </c>
      <c r="AZ94" s="242">
        <v>0</v>
      </c>
      <c r="BA94" s="208">
        <v>0</v>
      </c>
      <c r="BB94" s="208">
        <v>0</v>
      </c>
      <c r="BC94" s="208">
        <v>0</v>
      </c>
      <c r="BD94" s="208">
        <v>0</v>
      </c>
      <c r="BE94" s="208">
        <v>0</v>
      </c>
      <c r="BF94" s="208">
        <v>1</v>
      </c>
      <c r="BG94" s="208">
        <v>0</v>
      </c>
      <c r="BH94" s="208">
        <v>0</v>
      </c>
      <c r="BI94" s="208">
        <v>0</v>
      </c>
      <c r="BJ94" s="208">
        <v>0</v>
      </c>
      <c r="BK94" s="209">
        <v>0</v>
      </c>
      <c r="BL94" s="208">
        <v>0</v>
      </c>
      <c r="BM94" s="208">
        <v>0</v>
      </c>
      <c r="BN94" s="208">
        <v>0</v>
      </c>
      <c r="BO94" s="208">
        <v>0</v>
      </c>
      <c r="BP94" s="208">
        <v>0</v>
      </c>
      <c r="BQ94" s="208">
        <v>0</v>
      </c>
      <c r="BR94" s="208">
        <v>0</v>
      </c>
      <c r="BS94" s="208">
        <v>0</v>
      </c>
      <c r="BT94" s="208">
        <v>0</v>
      </c>
      <c r="BU94" s="210">
        <v>0</v>
      </c>
      <c r="BV94" s="210">
        <v>1</v>
      </c>
      <c r="BW94" s="213">
        <v>1</v>
      </c>
    </row>
    <row r="95" spans="1:75" ht="17" thickBot="1" x14ac:dyDescent="0.5">
      <c r="A95" s="462"/>
      <c r="B95" s="535"/>
      <c r="C95" s="280" t="s">
        <v>398</v>
      </c>
      <c r="D95" s="281">
        <v>0</v>
      </c>
      <c r="E95" s="286">
        <v>0</v>
      </c>
      <c r="F95" s="286">
        <v>1</v>
      </c>
      <c r="G95" s="286">
        <v>0</v>
      </c>
      <c r="H95" s="286">
        <v>0</v>
      </c>
      <c r="I95" s="286">
        <v>0</v>
      </c>
      <c r="J95" s="286">
        <v>0</v>
      </c>
      <c r="K95" s="286">
        <v>0</v>
      </c>
      <c r="L95" s="286">
        <v>0</v>
      </c>
      <c r="M95" s="286">
        <v>0</v>
      </c>
      <c r="N95" s="286">
        <v>0</v>
      </c>
      <c r="O95" s="287">
        <v>1</v>
      </c>
      <c r="P95" s="286">
        <v>0</v>
      </c>
      <c r="Q95" s="286">
        <v>0</v>
      </c>
      <c r="R95" s="286">
        <v>1</v>
      </c>
      <c r="S95" s="286">
        <v>0</v>
      </c>
      <c r="T95" s="286">
        <v>0</v>
      </c>
      <c r="U95" s="286">
        <v>0</v>
      </c>
      <c r="V95" s="286">
        <v>0</v>
      </c>
      <c r="W95" s="286">
        <v>0</v>
      </c>
      <c r="X95" s="286">
        <v>0</v>
      </c>
      <c r="Y95" s="288">
        <v>1</v>
      </c>
      <c r="Z95" s="288">
        <v>0</v>
      </c>
      <c r="AA95" s="289">
        <v>0</v>
      </c>
      <c r="AB95" s="281">
        <v>0</v>
      </c>
      <c r="AC95" s="286">
        <v>0</v>
      </c>
      <c r="AD95" s="286">
        <v>0</v>
      </c>
      <c r="AE95" s="286">
        <v>0</v>
      </c>
      <c r="AF95" s="286">
        <v>0</v>
      </c>
      <c r="AG95" s="286">
        <v>0</v>
      </c>
      <c r="AH95" s="286">
        <v>0</v>
      </c>
      <c r="AI95" s="286">
        <v>0</v>
      </c>
      <c r="AJ95" s="286">
        <v>1</v>
      </c>
      <c r="AK95" s="286">
        <v>0</v>
      </c>
      <c r="AL95" s="286">
        <v>0</v>
      </c>
      <c r="AM95" s="287">
        <v>0</v>
      </c>
      <c r="AN95" s="286">
        <v>0</v>
      </c>
      <c r="AO95" s="286">
        <v>0</v>
      </c>
      <c r="AP95" s="286">
        <v>0</v>
      </c>
      <c r="AQ95" s="286">
        <v>1</v>
      </c>
      <c r="AR95" s="286">
        <v>0</v>
      </c>
      <c r="AS95" s="286">
        <v>0</v>
      </c>
      <c r="AT95" s="286">
        <v>0</v>
      </c>
      <c r="AU95" s="286">
        <v>1</v>
      </c>
      <c r="AV95" s="286">
        <v>0</v>
      </c>
      <c r="AW95" s="288">
        <v>0</v>
      </c>
      <c r="AX95" s="288">
        <v>0</v>
      </c>
      <c r="AY95" s="289">
        <v>1</v>
      </c>
      <c r="AZ95" s="291">
        <v>0</v>
      </c>
      <c r="BA95" s="286">
        <v>0</v>
      </c>
      <c r="BB95" s="286">
        <v>0</v>
      </c>
      <c r="BC95" s="286">
        <v>0</v>
      </c>
      <c r="BD95" s="286">
        <v>0</v>
      </c>
      <c r="BE95" s="286">
        <v>0</v>
      </c>
      <c r="BF95" s="286">
        <v>1</v>
      </c>
      <c r="BG95" s="286">
        <v>0</v>
      </c>
      <c r="BH95" s="286">
        <v>0</v>
      </c>
      <c r="BI95" s="286">
        <v>0</v>
      </c>
      <c r="BJ95" s="286">
        <v>0</v>
      </c>
      <c r="BK95" s="287">
        <v>0</v>
      </c>
      <c r="BL95" s="286">
        <v>0</v>
      </c>
      <c r="BM95" s="286">
        <v>0</v>
      </c>
      <c r="BN95" s="286">
        <v>0</v>
      </c>
      <c r="BO95" s="286">
        <v>0</v>
      </c>
      <c r="BP95" s="286">
        <v>0</v>
      </c>
      <c r="BQ95" s="286">
        <v>0</v>
      </c>
      <c r="BR95" s="286">
        <v>0</v>
      </c>
      <c r="BS95" s="286">
        <v>0</v>
      </c>
      <c r="BT95" s="286">
        <v>0</v>
      </c>
      <c r="BU95" s="288">
        <v>0</v>
      </c>
      <c r="BV95" s="288">
        <v>0</v>
      </c>
      <c r="BW95" s="293">
        <v>1</v>
      </c>
    </row>
    <row r="96" spans="1:75" ht="17" thickBot="1" x14ac:dyDescent="0.5">
      <c r="A96" s="462"/>
      <c r="B96" s="535"/>
      <c r="C96" s="280" t="s">
        <v>404</v>
      </c>
      <c r="D96" s="282">
        <v>0</v>
      </c>
      <c r="E96" s="295">
        <v>0</v>
      </c>
      <c r="F96" s="295">
        <v>1</v>
      </c>
      <c r="G96" s="295">
        <v>0</v>
      </c>
      <c r="H96" s="295">
        <v>0</v>
      </c>
      <c r="I96" s="295">
        <v>0</v>
      </c>
      <c r="J96" s="295">
        <v>0</v>
      </c>
      <c r="K96" s="295">
        <v>0</v>
      </c>
      <c r="L96" s="295">
        <v>0</v>
      </c>
      <c r="M96" s="295">
        <v>0</v>
      </c>
      <c r="N96" s="295">
        <v>0</v>
      </c>
      <c r="O96" s="296">
        <v>0</v>
      </c>
      <c r="P96" s="295">
        <v>0</v>
      </c>
      <c r="Q96" s="295">
        <v>0</v>
      </c>
      <c r="R96" s="295">
        <v>1</v>
      </c>
      <c r="S96" s="295">
        <v>0</v>
      </c>
      <c r="T96" s="295">
        <v>0</v>
      </c>
      <c r="U96" s="295">
        <v>0</v>
      </c>
      <c r="V96" s="295">
        <v>0</v>
      </c>
      <c r="W96" s="295">
        <v>0</v>
      </c>
      <c r="X96" s="295">
        <v>0</v>
      </c>
      <c r="Y96" s="297">
        <v>0</v>
      </c>
      <c r="Z96" s="297">
        <v>0</v>
      </c>
      <c r="AA96" s="298">
        <v>0</v>
      </c>
      <c r="AB96" s="282">
        <v>0</v>
      </c>
      <c r="AC96" s="295">
        <v>0</v>
      </c>
      <c r="AD96" s="295">
        <v>0</v>
      </c>
      <c r="AE96" s="295">
        <v>0</v>
      </c>
      <c r="AF96" s="295">
        <v>0</v>
      </c>
      <c r="AG96" s="295">
        <v>0</v>
      </c>
      <c r="AH96" s="295">
        <v>0</v>
      </c>
      <c r="AI96" s="295">
        <v>0</v>
      </c>
      <c r="AJ96" s="295">
        <v>1</v>
      </c>
      <c r="AK96" s="295">
        <v>0</v>
      </c>
      <c r="AL96" s="295">
        <v>0</v>
      </c>
      <c r="AM96" s="296">
        <v>0</v>
      </c>
      <c r="AN96" s="295">
        <v>0</v>
      </c>
      <c r="AO96" s="295">
        <v>0</v>
      </c>
      <c r="AP96" s="295">
        <v>0</v>
      </c>
      <c r="AQ96" s="295">
        <v>1</v>
      </c>
      <c r="AR96" s="295">
        <v>0</v>
      </c>
      <c r="AS96" s="295">
        <v>0</v>
      </c>
      <c r="AT96" s="295">
        <v>0</v>
      </c>
      <c r="AU96" s="295">
        <v>0</v>
      </c>
      <c r="AV96" s="295">
        <v>0</v>
      </c>
      <c r="AW96" s="297">
        <v>0</v>
      </c>
      <c r="AX96" s="297">
        <v>0</v>
      </c>
      <c r="AY96" s="298">
        <v>0</v>
      </c>
      <c r="AZ96" s="300">
        <v>0</v>
      </c>
      <c r="BA96" s="295">
        <v>0</v>
      </c>
      <c r="BB96" s="295">
        <v>0</v>
      </c>
      <c r="BC96" s="295">
        <v>0</v>
      </c>
      <c r="BD96" s="295">
        <v>0</v>
      </c>
      <c r="BE96" s="295">
        <v>0</v>
      </c>
      <c r="BF96" s="295">
        <v>0</v>
      </c>
      <c r="BG96" s="295">
        <v>0</v>
      </c>
      <c r="BH96" s="295">
        <v>0</v>
      </c>
      <c r="BI96" s="295">
        <v>0</v>
      </c>
      <c r="BJ96" s="295">
        <v>0</v>
      </c>
      <c r="BK96" s="296">
        <v>0</v>
      </c>
      <c r="BL96" s="295">
        <v>0</v>
      </c>
      <c r="BM96" s="295">
        <v>0</v>
      </c>
      <c r="BN96" s="295">
        <v>0</v>
      </c>
      <c r="BO96" s="295">
        <v>0</v>
      </c>
      <c r="BP96" s="295">
        <v>0</v>
      </c>
      <c r="BQ96" s="295">
        <v>0</v>
      </c>
      <c r="BR96" s="295">
        <v>0</v>
      </c>
      <c r="BS96" s="295">
        <v>0</v>
      </c>
      <c r="BT96" s="295">
        <v>0</v>
      </c>
      <c r="BU96" s="297">
        <v>0</v>
      </c>
      <c r="BV96" s="297">
        <v>0</v>
      </c>
      <c r="BW96" s="302">
        <v>0</v>
      </c>
    </row>
    <row r="97" spans="1:75" ht="17" thickBot="1" x14ac:dyDescent="0.35">
      <c r="A97" s="462"/>
      <c r="B97" s="535"/>
      <c r="C97" s="280" t="s">
        <v>399</v>
      </c>
      <c r="D97" s="283">
        <v>0</v>
      </c>
      <c r="E97" s="303">
        <v>0</v>
      </c>
      <c r="F97" s="303">
        <v>1</v>
      </c>
      <c r="G97" s="303">
        <v>0</v>
      </c>
      <c r="H97" s="303">
        <v>0</v>
      </c>
      <c r="I97" s="303">
        <v>0</v>
      </c>
      <c r="J97" s="303">
        <v>0</v>
      </c>
      <c r="K97" s="303">
        <v>0</v>
      </c>
      <c r="L97" s="303">
        <v>0</v>
      </c>
      <c r="M97" s="303">
        <v>0</v>
      </c>
      <c r="N97" s="303">
        <v>0</v>
      </c>
      <c r="O97" s="304">
        <v>1</v>
      </c>
      <c r="P97" s="303">
        <v>0</v>
      </c>
      <c r="Q97" s="303">
        <v>0</v>
      </c>
      <c r="R97" s="303">
        <v>1</v>
      </c>
      <c r="S97" s="303">
        <v>0</v>
      </c>
      <c r="T97" s="303">
        <v>0</v>
      </c>
      <c r="U97" s="303">
        <v>0</v>
      </c>
      <c r="V97" s="303">
        <v>0</v>
      </c>
      <c r="W97" s="303">
        <v>0</v>
      </c>
      <c r="X97" s="303">
        <v>0</v>
      </c>
      <c r="Y97" s="303">
        <v>1</v>
      </c>
      <c r="Z97" s="303">
        <v>0</v>
      </c>
      <c r="AA97" s="304">
        <v>0</v>
      </c>
      <c r="AB97" s="283">
        <v>0</v>
      </c>
      <c r="AC97" s="303">
        <v>0</v>
      </c>
      <c r="AD97" s="303">
        <v>0</v>
      </c>
      <c r="AE97" s="303">
        <v>0</v>
      </c>
      <c r="AF97" s="303">
        <v>0</v>
      </c>
      <c r="AG97" s="303">
        <v>0</v>
      </c>
      <c r="AH97" s="303">
        <v>0</v>
      </c>
      <c r="AI97" s="303">
        <v>0</v>
      </c>
      <c r="AJ97" s="303">
        <v>1</v>
      </c>
      <c r="AK97" s="303">
        <v>0</v>
      </c>
      <c r="AL97" s="303">
        <v>0</v>
      </c>
      <c r="AM97" s="304">
        <v>0</v>
      </c>
      <c r="AN97" s="303">
        <v>0</v>
      </c>
      <c r="AO97" s="303">
        <v>0</v>
      </c>
      <c r="AP97" s="303">
        <v>0</v>
      </c>
      <c r="AQ97" s="303">
        <v>1</v>
      </c>
      <c r="AR97" s="303">
        <v>0</v>
      </c>
      <c r="AS97" s="303">
        <v>0</v>
      </c>
      <c r="AT97" s="303">
        <v>0</v>
      </c>
      <c r="AU97" s="303">
        <v>1</v>
      </c>
      <c r="AV97" s="303">
        <v>0</v>
      </c>
      <c r="AW97" s="303">
        <v>0</v>
      </c>
      <c r="AX97" s="303">
        <v>0</v>
      </c>
      <c r="AY97" s="304">
        <v>1</v>
      </c>
      <c r="AZ97" s="305">
        <v>0</v>
      </c>
      <c r="BA97" s="303">
        <v>0</v>
      </c>
      <c r="BB97" s="303">
        <v>0</v>
      </c>
      <c r="BC97" s="303">
        <v>0</v>
      </c>
      <c r="BD97" s="303">
        <v>0</v>
      </c>
      <c r="BE97" s="303">
        <v>0</v>
      </c>
      <c r="BF97" s="303">
        <v>1</v>
      </c>
      <c r="BG97" s="303">
        <v>0</v>
      </c>
      <c r="BH97" s="303">
        <v>0</v>
      </c>
      <c r="BI97" s="303">
        <v>0</v>
      </c>
      <c r="BJ97" s="303">
        <v>0</v>
      </c>
      <c r="BK97" s="304">
        <v>0</v>
      </c>
      <c r="BL97" s="303">
        <v>0</v>
      </c>
      <c r="BM97" s="303">
        <v>0</v>
      </c>
      <c r="BN97" s="303">
        <v>0</v>
      </c>
      <c r="BO97" s="303">
        <v>0</v>
      </c>
      <c r="BP97" s="303">
        <v>0</v>
      </c>
      <c r="BQ97" s="303">
        <v>0</v>
      </c>
      <c r="BR97" s="303">
        <v>0</v>
      </c>
      <c r="BS97" s="303">
        <v>0</v>
      </c>
      <c r="BT97" s="303">
        <v>0</v>
      </c>
      <c r="BU97" s="303">
        <v>0</v>
      </c>
      <c r="BV97" s="303">
        <v>0</v>
      </c>
      <c r="BW97" s="306">
        <v>1</v>
      </c>
    </row>
    <row r="98" spans="1:75" ht="17" thickBot="1" x14ac:dyDescent="0.35">
      <c r="A98" s="462"/>
      <c r="B98" s="535"/>
      <c r="C98" s="280" t="s">
        <v>400</v>
      </c>
      <c r="D98" s="284">
        <v>0</v>
      </c>
      <c r="E98" s="307">
        <v>0</v>
      </c>
      <c r="F98" s="307">
        <v>0</v>
      </c>
      <c r="G98" s="307">
        <v>0</v>
      </c>
      <c r="H98" s="307">
        <v>0</v>
      </c>
      <c r="I98" s="307">
        <v>0</v>
      </c>
      <c r="J98" s="307">
        <v>0</v>
      </c>
      <c r="K98" s="307">
        <v>0</v>
      </c>
      <c r="L98" s="307">
        <v>0</v>
      </c>
      <c r="M98" s="307">
        <v>0</v>
      </c>
      <c r="N98" s="307">
        <v>0</v>
      </c>
      <c r="O98" s="308">
        <v>1</v>
      </c>
      <c r="P98" s="307">
        <v>0</v>
      </c>
      <c r="Q98" s="307">
        <v>0</v>
      </c>
      <c r="R98" s="307">
        <v>0</v>
      </c>
      <c r="S98" s="307">
        <v>0</v>
      </c>
      <c r="T98" s="307">
        <v>0</v>
      </c>
      <c r="U98" s="307">
        <v>0</v>
      </c>
      <c r="V98" s="307">
        <v>0</v>
      </c>
      <c r="W98" s="307">
        <v>0</v>
      </c>
      <c r="X98" s="307">
        <v>0</v>
      </c>
      <c r="Y98" s="307">
        <v>0</v>
      </c>
      <c r="Z98" s="307">
        <v>0</v>
      </c>
      <c r="AA98" s="308">
        <v>0</v>
      </c>
      <c r="AB98" s="284">
        <v>0</v>
      </c>
      <c r="AC98" s="307">
        <v>0</v>
      </c>
      <c r="AD98" s="307">
        <v>0</v>
      </c>
      <c r="AE98" s="307">
        <v>0</v>
      </c>
      <c r="AF98" s="307">
        <v>0</v>
      </c>
      <c r="AG98" s="307">
        <v>0</v>
      </c>
      <c r="AH98" s="307">
        <v>0</v>
      </c>
      <c r="AI98" s="307">
        <v>0</v>
      </c>
      <c r="AJ98" s="307">
        <v>0</v>
      </c>
      <c r="AK98" s="307">
        <v>0</v>
      </c>
      <c r="AL98" s="307">
        <v>0</v>
      </c>
      <c r="AM98" s="308">
        <v>0</v>
      </c>
      <c r="AN98" s="307">
        <v>0</v>
      </c>
      <c r="AO98" s="307">
        <v>0</v>
      </c>
      <c r="AP98" s="307">
        <v>0</v>
      </c>
      <c r="AQ98" s="307">
        <v>0</v>
      </c>
      <c r="AR98" s="307">
        <v>0</v>
      </c>
      <c r="AS98" s="307">
        <v>0</v>
      </c>
      <c r="AT98" s="307">
        <v>0</v>
      </c>
      <c r="AU98" s="307">
        <v>1</v>
      </c>
      <c r="AV98" s="307">
        <v>0</v>
      </c>
      <c r="AW98" s="307">
        <v>0</v>
      </c>
      <c r="AX98" s="307">
        <v>0</v>
      </c>
      <c r="AY98" s="308">
        <v>1</v>
      </c>
      <c r="AZ98" s="309">
        <v>0</v>
      </c>
      <c r="BA98" s="307">
        <v>0</v>
      </c>
      <c r="BB98" s="307">
        <v>0</v>
      </c>
      <c r="BC98" s="307">
        <v>0</v>
      </c>
      <c r="BD98" s="307">
        <v>0</v>
      </c>
      <c r="BE98" s="307">
        <v>0</v>
      </c>
      <c r="BF98" s="307">
        <v>1</v>
      </c>
      <c r="BG98" s="307">
        <v>0</v>
      </c>
      <c r="BH98" s="307">
        <v>0</v>
      </c>
      <c r="BI98" s="307">
        <v>0</v>
      </c>
      <c r="BJ98" s="307">
        <v>0</v>
      </c>
      <c r="BK98" s="308">
        <v>0</v>
      </c>
      <c r="BL98" s="307">
        <v>0</v>
      </c>
      <c r="BM98" s="307">
        <v>0</v>
      </c>
      <c r="BN98" s="307">
        <v>0</v>
      </c>
      <c r="BO98" s="307">
        <v>0</v>
      </c>
      <c r="BP98" s="307">
        <v>0</v>
      </c>
      <c r="BQ98" s="307">
        <v>0</v>
      </c>
      <c r="BR98" s="307">
        <v>0</v>
      </c>
      <c r="BS98" s="307">
        <v>0</v>
      </c>
      <c r="BT98" s="307">
        <v>0</v>
      </c>
      <c r="BU98" s="307">
        <v>0</v>
      </c>
      <c r="BV98" s="307">
        <v>1</v>
      </c>
      <c r="BW98" s="310">
        <v>1</v>
      </c>
    </row>
    <row r="99" spans="1:75" ht="17" thickBot="1" x14ac:dyDescent="0.35">
      <c r="A99" s="462"/>
      <c r="B99" s="536"/>
      <c r="C99" s="280" t="s">
        <v>401</v>
      </c>
      <c r="D99" s="285">
        <v>0</v>
      </c>
      <c r="E99" s="311">
        <v>0</v>
      </c>
      <c r="F99" s="311">
        <v>0</v>
      </c>
      <c r="G99" s="311">
        <v>0</v>
      </c>
      <c r="H99" s="311">
        <v>0</v>
      </c>
      <c r="I99" s="311">
        <v>0</v>
      </c>
      <c r="J99" s="311">
        <v>0</v>
      </c>
      <c r="K99" s="311">
        <v>0</v>
      </c>
      <c r="L99" s="311">
        <v>0</v>
      </c>
      <c r="M99" s="311">
        <v>0</v>
      </c>
      <c r="N99" s="311">
        <v>0</v>
      </c>
      <c r="O99" s="312">
        <v>1</v>
      </c>
      <c r="P99" s="311">
        <v>0</v>
      </c>
      <c r="Q99" s="311">
        <v>0</v>
      </c>
      <c r="R99" s="311">
        <v>0</v>
      </c>
      <c r="S99" s="311">
        <v>0</v>
      </c>
      <c r="T99" s="311">
        <v>0</v>
      </c>
      <c r="U99" s="311">
        <v>0</v>
      </c>
      <c r="V99" s="311">
        <v>0</v>
      </c>
      <c r="W99" s="311">
        <v>0</v>
      </c>
      <c r="X99" s="311">
        <v>0</v>
      </c>
      <c r="Y99" s="311">
        <v>0</v>
      </c>
      <c r="Z99" s="311">
        <v>0</v>
      </c>
      <c r="AA99" s="312">
        <v>0</v>
      </c>
      <c r="AB99" s="285">
        <v>0</v>
      </c>
      <c r="AC99" s="311">
        <v>0</v>
      </c>
      <c r="AD99" s="311">
        <v>0</v>
      </c>
      <c r="AE99" s="311">
        <v>0</v>
      </c>
      <c r="AF99" s="311">
        <v>0</v>
      </c>
      <c r="AG99" s="311">
        <v>0</v>
      </c>
      <c r="AH99" s="311">
        <v>0</v>
      </c>
      <c r="AI99" s="311">
        <v>0</v>
      </c>
      <c r="AJ99" s="311">
        <v>0</v>
      </c>
      <c r="AK99" s="311">
        <v>0</v>
      </c>
      <c r="AL99" s="311">
        <v>0</v>
      </c>
      <c r="AM99" s="312">
        <v>0</v>
      </c>
      <c r="AN99" s="311">
        <v>0</v>
      </c>
      <c r="AO99" s="311">
        <v>0</v>
      </c>
      <c r="AP99" s="311">
        <v>0</v>
      </c>
      <c r="AQ99" s="311">
        <v>0</v>
      </c>
      <c r="AR99" s="311">
        <v>0</v>
      </c>
      <c r="AS99" s="311">
        <v>0</v>
      </c>
      <c r="AT99" s="311">
        <v>0</v>
      </c>
      <c r="AU99" s="311">
        <v>1</v>
      </c>
      <c r="AV99" s="311">
        <v>0</v>
      </c>
      <c r="AW99" s="311">
        <v>0</v>
      </c>
      <c r="AX99" s="311">
        <v>0</v>
      </c>
      <c r="AY99" s="312">
        <v>1</v>
      </c>
      <c r="AZ99" s="313">
        <v>0</v>
      </c>
      <c r="BA99" s="311">
        <v>0</v>
      </c>
      <c r="BB99" s="311">
        <v>0</v>
      </c>
      <c r="BC99" s="311">
        <v>0</v>
      </c>
      <c r="BD99" s="311">
        <v>0</v>
      </c>
      <c r="BE99" s="311">
        <v>0</v>
      </c>
      <c r="BF99" s="311">
        <v>1</v>
      </c>
      <c r="BG99" s="311">
        <v>0</v>
      </c>
      <c r="BH99" s="311">
        <v>0</v>
      </c>
      <c r="BI99" s="311">
        <v>0</v>
      </c>
      <c r="BJ99" s="311">
        <v>0</v>
      </c>
      <c r="BK99" s="312">
        <v>0</v>
      </c>
      <c r="BL99" s="311">
        <v>0</v>
      </c>
      <c r="BM99" s="311">
        <v>0</v>
      </c>
      <c r="BN99" s="311">
        <v>0</v>
      </c>
      <c r="BO99" s="311">
        <v>0</v>
      </c>
      <c r="BP99" s="311">
        <v>0</v>
      </c>
      <c r="BQ99" s="311">
        <v>0</v>
      </c>
      <c r="BR99" s="311">
        <v>0</v>
      </c>
      <c r="BS99" s="311">
        <v>0</v>
      </c>
      <c r="BT99" s="311">
        <v>0</v>
      </c>
      <c r="BU99" s="311">
        <v>0</v>
      </c>
      <c r="BV99" s="311">
        <v>1</v>
      </c>
      <c r="BW99" s="314">
        <v>1</v>
      </c>
    </row>
    <row r="100" spans="1:75" ht="17" thickBot="1" x14ac:dyDescent="0.5">
      <c r="A100" s="462"/>
      <c r="B100" s="535" t="s">
        <v>264</v>
      </c>
      <c r="C100" s="239" t="s">
        <v>403</v>
      </c>
      <c r="D100" s="207">
        <v>2</v>
      </c>
      <c r="E100" s="208">
        <v>1</v>
      </c>
      <c r="F100" s="208">
        <v>2</v>
      </c>
      <c r="G100" s="208">
        <v>0</v>
      </c>
      <c r="H100" s="208">
        <v>0</v>
      </c>
      <c r="I100" s="208">
        <v>1</v>
      </c>
      <c r="J100" s="208">
        <v>1</v>
      </c>
      <c r="K100" s="208">
        <v>2</v>
      </c>
      <c r="L100" s="208">
        <v>2</v>
      </c>
      <c r="M100" s="208">
        <v>0</v>
      </c>
      <c r="N100" s="208">
        <v>1</v>
      </c>
      <c r="O100" s="209">
        <v>1</v>
      </c>
      <c r="P100" s="208">
        <v>2</v>
      </c>
      <c r="Q100" s="208">
        <v>0</v>
      </c>
      <c r="R100" s="208">
        <v>2</v>
      </c>
      <c r="S100" s="208">
        <v>1</v>
      </c>
      <c r="T100" s="208">
        <v>1</v>
      </c>
      <c r="U100" s="208">
        <v>0</v>
      </c>
      <c r="V100" s="208">
        <v>0</v>
      </c>
      <c r="W100" s="208">
        <v>0</v>
      </c>
      <c r="X100" s="208">
        <v>0</v>
      </c>
      <c r="Y100" s="210">
        <v>3</v>
      </c>
      <c r="Z100" s="210">
        <v>1</v>
      </c>
      <c r="AA100" s="211">
        <v>0</v>
      </c>
      <c r="AB100" s="212">
        <v>1</v>
      </c>
      <c r="AC100" s="210">
        <v>0</v>
      </c>
      <c r="AD100" s="210">
        <v>1</v>
      </c>
      <c r="AE100" s="210">
        <v>4</v>
      </c>
      <c r="AF100" s="210">
        <v>0</v>
      </c>
      <c r="AG100" s="210">
        <v>3</v>
      </c>
      <c r="AH100" s="210">
        <v>0</v>
      </c>
      <c r="AI100" s="210">
        <v>3</v>
      </c>
      <c r="AJ100" s="210">
        <v>2</v>
      </c>
      <c r="AK100" s="210">
        <v>0</v>
      </c>
      <c r="AL100" s="210">
        <v>1</v>
      </c>
      <c r="AM100" s="211">
        <v>2</v>
      </c>
      <c r="AN100" s="242">
        <v>5</v>
      </c>
      <c r="AO100" s="208">
        <v>2</v>
      </c>
      <c r="AP100" s="208">
        <v>1</v>
      </c>
      <c r="AQ100" s="208">
        <v>5</v>
      </c>
      <c r="AR100" s="208">
        <v>1</v>
      </c>
      <c r="AS100" s="208">
        <v>5</v>
      </c>
      <c r="AT100" s="208">
        <v>5</v>
      </c>
      <c r="AU100" s="208">
        <v>2</v>
      </c>
      <c r="AV100" s="208">
        <v>2</v>
      </c>
      <c r="AW100" s="208">
        <v>6</v>
      </c>
      <c r="AX100" s="208">
        <v>4</v>
      </c>
      <c r="AY100" s="209">
        <v>3</v>
      </c>
      <c r="AZ100" s="207">
        <v>2</v>
      </c>
      <c r="BA100" s="208">
        <v>3</v>
      </c>
      <c r="BB100" s="208">
        <v>2</v>
      </c>
      <c r="BC100" s="208">
        <v>2</v>
      </c>
      <c r="BD100" s="208">
        <v>5</v>
      </c>
      <c r="BE100" s="208">
        <v>2</v>
      </c>
      <c r="BF100" s="208">
        <v>3</v>
      </c>
      <c r="BG100" s="208">
        <v>2</v>
      </c>
      <c r="BH100" s="208">
        <v>1</v>
      </c>
      <c r="BI100" s="208">
        <v>0</v>
      </c>
      <c r="BJ100" s="208">
        <v>3</v>
      </c>
      <c r="BK100" s="209">
        <v>3</v>
      </c>
      <c r="BL100" s="208">
        <v>1</v>
      </c>
      <c r="BM100" s="208">
        <v>0</v>
      </c>
      <c r="BN100" s="208">
        <v>1</v>
      </c>
      <c r="BO100" s="208">
        <v>2</v>
      </c>
      <c r="BP100" s="208">
        <v>3</v>
      </c>
      <c r="BQ100" s="208">
        <v>4</v>
      </c>
      <c r="BR100" s="208">
        <v>1</v>
      </c>
      <c r="BS100" s="208">
        <v>2</v>
      </c>
      <c r="BT100" s="208">
        <v>0</v>
      </c>
      <c r="BU100" s="210">
        <v>5</v>
      </c>
      <c r="BV100" s="210">
        <v>1</v>
      </c>
      <c r="BW100" s="213">
        <v>1</v>
      </c>
    </row>
    <row r="101" spans="1:75" ht="17" thickBot="1" x14ac:dyDescent="0.5">
      <c r="A101" s="462"/>
      <c r="B101" s="535"/>
      <c r="C101" s="280" t="s">
        <v>398</v>
      </c>
      <c r="D101" s="281">
        <v>2</v>
      </c>
      <c r="E101" s="286">
        <v>1</v>
      </c>
      <c r="F101" s="286">
        <v>1</v>
      </c>
      <c r="G101" s="286">
        <v>0</v>
      </c>
      <c r="H101" s="286">
        <v>0</v>
      </c>
      <c r="I101" s="286">
        <v>1</v>
      </c>
      <c r="J101" s="286">
        <v>1</v>
      </c>
      <c r="K101" s="286">
        <v>1</v>
      </c>
      <c r="L101" s="286">
        <v>1</v>
      </c>
      <c r="M101" s="286">
        <v>0</v>
      </c>
      <c r="N101" s="286">
        <v>1</v>
      </c>
      <c r="O101" s="287">
        <v>1</v>
      </c>
      <c r="P101" s="286">
        <v>2</v>
      </c>
      <c r="Q101" s="286">
        <v>0</v>
      </c>
      <c r="R101" s="286">
        <v>1</v>
      </c>
      <c r="S101" s="286">
        <v>1</v>
      </c>
      <c r="T101" s="286">
        <v>1</v>
      </c>
      <c r="U101" s="286">
        <v>0</v>
      </c>
      <c r="V101" s="286">
        <v>0</v>
      </c>
      <c r="W101" s="286">
        <v>0</v>
      </c>
      <c r="X101" s="286">
        <v>0</v>
      </c>
      <c r="Y101" s="288">
        <v>3</v>
      </c>
      <c r="Z101" s="288">
        <v>1</v>
      </c>
      <c r="AA101" s="289">
        <v>0</v>
      </c>
      <c r="AB101" s="290">
        <v>1</v>
      </c>
      <c r="AC101" s="288">
        <v>0</v>
      </c>
      <c r="AD101" s="288">
        <v>1</v>
      </c>
      <c r="AE101" s="288">
        <v>3</v>
      </c>
      <c r="AF101" s="288">
        <v>0</v>
      </c>
      <c r="AG101" s="288">
        <v>1</v>
      </c>
      <c r="AH101" s="288">
        <v>0</v>
      </c>
      <c r="AI101" s="288">
        <v>3</v>
      </c>
      <c r="AJ101" s="288">
        <v>0</v>
      </c>
      <c r="AK101" s="288">
        <v>0</v>
      </c>
      <c r="AL101" s="288">
        <v>1</v>
      </c>
      <c r="AM101" s="289">
        <v>1</v>
      </c>
      <c r="AN101" s="291">
        <v>5</v>
      </c>
      <c r="AO101" s="286">
        <v>2</v>
      </c>
      <c r="AP101" s="286">
        <v>0</v>
      </c>
      <c r="AQ101" s="286">
        <v>2</v>
      </c>
      <c r="AR101" s="286">
        <v>1</v>
      </c>
      <c r="AS101" s="286">
        <v>4</v>
      </c>
      <c r="AT101" s="286">
        <v>5</v>
      </c>
      <c r="AU101" s="286">
        <v>1</v>
      </c>
      <c r="AV101" s="286">
        <v>2</v>
      </c>
      <c r="AW101" s="286">
        <v>4</v>
      </c>
      <c r="AX101" s="286">
        <v>2</v>
      </c>
      <c r="AY101" s="287">
        <v>3</v>
      </c>
      <c r="AZ101" s="281">
        <v>2</v>
      </c>
      <c r="BA101" s="286">
        <v>3</v>
      </c>
      <c r="BB101" s="286">
        <v>2</v>
      </c>
      <c r="BC101" s="286">
        <v>1</v>
      </c>
      <c r="BD101" s="286">
        <v>1</v>
      </c>
      <c r="BE101" s="286">
        <v>2</v>
      </c>
      <c r="BF101" s="286">
        <v>3</v>
      </c>
      <c r="BG101" s="286">
        <v>1</v>
      </c>
      <c r="BH101" s="286">
        <v>1</v>
      </c>
      <c r="BI101" s="286">
        <v>0</v>
      </c>
      <c r="BJ101" s="286">
        <v>2</v>
      </c>
      <c r="BK101" s="287">
        <v>2</v>
      </c>
      <c r="BL101" s="286">
        <v>1</v>
      </c>
      <c r="BM101" s="286">
        <v>0</v>
      </c>
      <c r="BN101" s="286">
        <v>0</v>
      </c>
      <c r="BO101" s="286">
        <v>2</v>
      </c>
      <c r="BP101" s="286">
        <v>3</v>
      </c>
      <c r="BQ101" s="286">
        <v>3</v>
      </c>
      <c r="BR101" s="286">
        <v>1</v>
      </c>
      <c r="BS101" s="286">
        <v>2</v>
      </c>
      <c r="BT101" s="286">
        <v>0</v>
      </c>
      <c r="BU101" s="288">
        <v>1</v>
      </c>
      <c r="BV101" s="288">
        <v>1</v>
      </c>
      <c r="BW101" s="293">
        <v>1</v>
      </c>
    </row>
    <row r="102" spans="1:75" ht="17" thickBot="1" x14ac:dyDescent="0.5">
      <c r="A102" s="462"/>
      <c r="B102" s="535"/>
      <c r="C102" s="280" t="s">
        <v>404</v>
      </c>
      <c r="D102" s="282">
        <v>1</v>
      </c>
      <c r="E102" s="295">
        <v>0</v>
      </c>
      <c r="F102" s="295">
        <v>0</v>
      </c>
      <c r="G102" s="295">
        <v>0</v>
      </c>
      <c r="H102" s="295">
        <v>0</v>
      </c>
      <c r="I102" s="295">
        <v>0</v>
      </c>
      <c r="J102" s="295">
        <v>0</v>
      </c>
      <c r="K102" s="295">
        <v>0</v>
      </c>
      <c r="L102" s="295">
        <v>0</v>
      </c>
      <c r="M102" s="295">
        <v>0</v>
      </c>
      <c r="N102" s="295">
        <v>0</v>
      </c>
      <c r="O102" s="296">
        <v>0</v>
      </c>
      <c r="P102" s="295">
        <v>0</v>
      </c>
      <c r="Q102" s="295">
        <v>0</v>
      </c>
      <c r="R102" s="295">
        <v>0</v>
      </c>
      <c r="S102" s="295">
        <v>0</v>
      </c>
      <c r="T102" s="295">
        <v>1</v>
      </c>
      <c r="U102" s="295">
        <v>0</v>
      </c>
      <c r="V102" s="295">
        <v>0</v>
      </c>
      <c r="W102" s="295">
        <v>0</v>
      </c>
      <c r="X102" s="295">
        <v>0</v>
      </c>
      <c r="Y102" s="297">
        <v>2</v>
      </c>
      <c r="Z102" s="297">
        <v>0</v>
      </c>
      <c r="AA102" s="298">
        <v>0</v>
      </c>
      <c r="AB102" s="299">
        <v>0</v>
      </c>
      <c r="AC102" s="297">
        <v>0</v>
      </c>
      <c r="AD102" s="297">
        <v>0</v>
      </c>
      <c r="AE102" s="297">
        <v>0</v>
      </c>
      <c r="AF102" s="297">
        <v>0</v>
      </c>
      <c r="AG102" s="297">
        <v>0</v>
      </c>
      <c r="AH102" s="297">
        <v>0</v>
      </c>
      <c r="AI102" s="297">
        <v>0</v>
      </c>
      <c r="AJ102" s="297">
        <v>0</v>
      </c>
      <c r="AK102" s="297">
        <v>0</v>
      </c>
      <c r="AL102" s="297">
        <v>0</v>
      </c>
      <c r="AM102" s="298">
        <v>0</v>
      </c>
      <c r="AN102" s="300">
        <v>1</v>
      </c>
      <c r="AO102" s="295">
        <v>0</v>
      </c>
      <c r="AP102" s="295">
        <v>0</v>
      </c>
      <c r="AQ102" s="295">
        <v>0</v>
      </c>
      <c r="AR102" s="295">
        <v>0</v>
      </c>
      <c r="AS102" s="295">
        <v>0</v>
      </c>
      <c r="AT102" s="295">
        <v>1</v>
      </c>
      <c r="AU102" s="295">
        <v>0</v>
      </c>
      <c r="AV102" s="295">
        <v>0</v>
      </c>
      <c r="AW102" s="295">
        <v>1</v>
      </c>
      <c r="AX102" s="295">
        <v>1</v>
      </c>
      <c r="AY102" s="296">
        <v>0</v>
      </c>
      <c r="AZ102" s="282">
        <v>0</v>
      </c>
      <c r="BA102" s="295">
        <v>0</v>
      </c>
      <c r="BB102" s="295">
        <v>0</v>
      </c>
      <c r="BC102" s="295">
        <v>0</v>
      </c>
      <c r="BD102" s="295">
        <v>0</v>
      </c>
      <c r="BE102" s="295">
        <v>1</v>
      </c>
      <c r="BF102" s="295">
        <v>0</v>
      </c>
      <c r="BG102" s="295">
        <v>0</v>
      </c>
      <c r="BH102" s="295">
        <v>0</v>
      </c>
      <c r="BI102" s="295">
        <v>0</v>
      </c>
      <c r="BJ102" s="295">
        <v>0</v>
      </c>
      <c r="BK102" s="296">
        <v>1</v>
      </c>
      <c r="BL102" s="295">
        <v>0</v>
      </c>
      <c r="BM102" s="295">
        <v>0</v>
      </c>
      <c r="BN102" s="295">
        <v>0</v>
      </c>
      <c r="BO102" s="295">
        <v>0</v>
      </c>
      <c r="BP102" s="295">
        <v>0</v>
      </c>
      <c r="BQ102" s="295">
        <v>0</v>
      </c>
      <c r="BR102" s="295">
        <v>0</v>
      </c>
      <c r="BS102" s="295">
        <v>0</v>
      </c>
      <c r="BT102" s="295">
        <v>0</v>
      </c>
      <c r="BU102" s="297">
        <v>0</v>
      </c>
      <c r="BV102" s="297">
        <v>0</v>
      </c>
      <c r="BW102" s="302">
        <v>0</v>
      </c>
    </row>
    <row r="103" spans="1:75" ht="17" thickBot="1" x14ac:dyDescent="0.35">
      <c r="A103" s="462"/>
      <c r="B103" s="535"/>
      <c r="C103" s="280" t="s">
        <v>399</v>
      </c>
      <c r="D103" s="283">
        <v>2</v>
      </c>
      <c r="E103" s="303">
        <v>1</v>
      </c>
      <c r="F103" s="303">
        <v>1</v>
      </c>
      <c r="G103" s="303">
        <v>0</v>
      </c>
      <c r="H103" s="303">
        <v>0</v>
      </c>
      <c r="I103" s="303">
        <v>1</v>
      </c>
      <c r="J103" s="303">
        <v>1</v>
      </c>
      <c r="K103" s="303">
        <v>1</v>
      </c>
      <c r="L103" s="303">
        <v>1</v>
      </c>
      <c r="M103" s="303">
        <v>0</v>
      </c>
      <c r="N103" s="303">
        <v>1</v>
      </c>
      <c r="O103" s="304">
        <v>1</v>
      </c>
      <c r="P103" s="303">
        <v>2</v>
      </c>
      <c r="Q103" s="303">
        <v>0</v>
      </c>
      <c r="R103" s="303">
        <v>1</v>
      </c>
      <c r="S103" s="303">
        <v>1</v>
      </c>
      <c r="T103" s="303">
        <v>1</v>
      </c>
      <c r="U103" s="303">
        <v>0</v>
      </c>
      <c r="V103" s="303">
        <v>0</v>
      </c>
      <c r="W103" s="303">
        <v>0</v>
      </c>
      <c r="X103" s="303">
        <v>0</v>
      </c>
      <c r="Y103" s="303">
        <v>3</v>
      </c>
      <c r="Z103" s="303">
        <v>1</v>
      </c>
      <c r="AA103" s="304">
        <v>0</v>
      </c>
      <c r="AB103" s="303">
        <v>1</v>
      </c>
      <c r="AC103" s="303">
        <v>0</v>
      </c>
      <c r="AD103" s="303">
        <v>1</v>
      </c>
      <c r="AE103" s="303">
        <v>3</v>
      </c>
      <c r="AF103" s="303">
        <v>0</v>
      </c>
      <c r="AG103" s="303">
        <v>1</v>
      </c>
      <c r="AH103" s="303">
        <v>0</v>
      </c>
      <c r="AI103" s="303">
        <v>3</v>
      </c>
      <c r="AJ103" s="303">
        <v>0</v>
      </c>
      <c r="AK103" s="303">
        <v>0</v>
      </c>
      <c r="AL103" s="303">
        <v>1</v>
      </c>
      <c r="AM103" s="304">
        <v>1</v>
      </c>
      <c r="AN103" s="305">
        <v>5</v>
      </c>
      <c r="AO103" s="303">
        <v>2</v>
      </c>
      <c r="AP103" s="303">
        <v>0</v>
      </c>
      <c r="AQ103" s="303">
        <v>2</v>
      </c>
      <c r="AR103" s="303">
        <v>1</v>
      </c>
      <c r="AS103" s="303">
        <v>4</v>
      </c>
      <c r="AT103" s="303">
        <v>5</v>
      </c>
      <c r="AU103" s="303">
        <v>1</v>
      </c>
      <c r="AV103" s="303">
        <v>2</v>
      </c>
      <c r="AW103" s="303">
        <v>4</v>
      </c>
      <c r="AX103" s="303">
        <v>2</v>
      </c>
      <c r="AY103" s="304">
        <v>3</v>
      </c>
      <c r="AZ103" s="283">
        <v>2</v>
      </c>
      <c r="BA103" s="303">
        <v>3</v>
      </c>
      <c r="BB103" s="303">
        <v>2</v>
      </c>
      <c r="BC103" s="303">
        <v>1</v>
      </c>
      <c r="BD103" s="303">
        <v>1</v>
      </c>
      <c r="BE103" s="303">
        <v>2</v>
      </c>
      <c r="BF103" s="303">
        <v>3</v>
      </c>
      <c r="BG103" s="303">
        <v>1</v>
      </c>
      <c r="BH103" s="303">
        <v>1</v>
      </c>
      <c r="BI103" s="303">
        <v>0</v>
      </c>
      <c r="BJ103" s="303">
        <v>2</v>
      </c>
      <c r="BK103" s="304">
        <v>2</v>
      </c>
      <c r="BL103" s="303">
        <v>1</v>
      </c>
      <c r="BM103" s="303">
        <v>0</v>
      </c>
      <c r="BN103" s="303">
        <v>0</v>
      </c>
      <c r="BO103" s="303">
        <v>2</v>
      </c>
      <c r="BP103" s="303">
        <v>3</v>
      </c>
      <c r="BQ103" s="303">
        <v>3</v>
      </c>
      <c r="BR103" s="303">
        <v>1</v>
      </c>
      <c r="BS103" s="303">
        <v>2</v>
      </c>
      <c r="BT103" s="303">
        <v>0</v>
      </c>
      <c r="BU103" s="303">
        <v>1</v>
      </c>
      <c r="BV103" s="303">
        <v>1</v>
      </c>
      <c r="BW103" s="306">
        <v>1</v>
      </c>
    </row>
    <row r="104" spans="1:75" ht="17" thickBot="1" x14ac:dyDescent="0.35">
      <c r="A104" s="462"/>
      <c r="B104" s="535"/>
      <c r="C104" s="280" t="s">
        <v>400</v>
      </c>
      <c r="D104" s="284">
        <v>0</v>
      </c>
      <c r="E104" s="307">
        <v>1</v>
      </c>
      <c r="F104" s="307">
        <v>2</v>
      </c>
      <c r="G104" s="307">
        <v>0</v>
      </c>
      <c r="H104" s="307">
        <v>0</v>
      </c>
      <c r="I104" s="307">
        <v>1</v>
      </c>
      <c r="J104" s="307">
        <v>1</v>
      </c>
      <c r="K104" s="307">
        <v>2</v>
      </c>
      <c r="L104" s="307">
        <v>1</v>
      </c>
      <c r="M104" s="307">
        <v>0</v>
      </c>
      <c r="N104" s="307">
        <v>1</v>
      </c>
      <c r="O104" s="308">
        <v>0</v>
      </c>
      <c r="P104" s="307">
        <v>2</v>
      </c>
      <c r="Q104" s="307">
        <v>0</v>
      </c>
      <c r="R104" s="307">
        <v>1</v>
      </c>
      <c r="S104" s="307">
        <v>0</v>
      </c>
      <c r="T104" s="307">
        <v>0</v>
      </c>
      <c r="U104" s="307">
        <v>0</v>
      </c>
      <c r="V104" s="307">
        <v>0</v>
      </c>
      <c r="W104" s="307">
        <v>0</v>
      </c>
      <c r="X104" s="307">
        <v>0</v>
      </c>
      <c r="Y104" s="307">
        <v>1</v>
      </c>
      <c r="Z104" s="307">
        <v>0</v>
      </c>
      <c r="AA104" s="308">
        <v>0</v>
      </c>
      <c r="AB104" s="307">
        <v>1</v>
      </c>
      <c r="AC104" s="307">
        <v>0</v>
      </c>
      <c r="AD104" s="307">
        <v>0</v>
      </c>
      <c r="AE104" s="307">
        <v>2</v>
      </c>
      <c r="AF104" s="307">
        <v>0</v>
      </c>
      <c r="AG104" s="307">
        <v>3</v>
      </c>
      <c r="AH104" s="307">
        <v>0</v>
      </c>
      <c r="AI104" s="307">
        <v>0</v>
      </c>
      <c r="AJ104" s="307">
        <v>2</v>
      </c>
      <c r="AK104" s="307">
        <v>0</v>
      </c>
      <c r="AL104" s="307">
        <v>1</v>
      </c>
      <c r="AM104" s="308">
        <v>2</v>
      </c>
      <c r="AN104" s="309">
        <v>1</v>
      </c>
      <c r="AO104" s="307">
        <v>1</v>
      </c>
      <c r="AP104" s="307">
        <v>1</v>
      </c>
      <c r="AQ104" s="307">
        <v>4</v>
      </c>
      <c r="AR104" s="307">
        <v>0</v>
      </c>
      <c r="AS104" s="307">
        <v>3</v>
      </c>
      <c r="AT104" s="307">
        <v>4</v>
      </c>
      <c r="AU104" s="307">
        <v>1</v>
      </c>
      <c r="AV104" s="307">
        <v>2</v>
      </c>
      <c r="AW104" s="307">
        <v>3</v>
      </c>
      <c r="AX104" s="307">
        <v>1</v>
      </c>
      <c r="AY104" s="308">
        <v>2</v>
      </c>
      <c r="AZ104" s="284">
        <v>1</v>
      </c>
      <c r="BA104" s="307">
        <v>0</v>
      </c>
      <c r="BB104" s="307">
        <v>0</v>
      </c>
      <c r="BC104" s="307">
        <v>1</v>
      </c>
      <c r="BD104" s="307">
        <v>1</v>
      </c>
      <c r="BE104" s="307">
        <v>0</v>
      </c>
      <c r="BF104" s="307">
        <v>1</v>
      </c>
      <c r="BG104" s="307">
        <v>2</v>
      </c>
      <c r="BH104" s="307">
        <v>0</v>
      </c>
      <c r="BI104" s="307">
        <v>0</v>
      </c>
      <c r="BJ104" s="307">
        <v>1</v>
      </c>
      <c r="BK104" s="308">
        <v>1</v>
      </c>
      <c r="BL104" s="307">
        <v>1</v>
      </c>
      <c r="BM104" s="307">
        <v>0</v>
      </c>
      <c r="BN104" s="307">
        <v>0</v>
      </c>
      <c r="BO104" s="307">
        <v>1</v>
      </c>
      <c r="BP104" s="307">
        <v>2</v>
      </c>
      <c r="BQ104" s="307">
        <v>3</v>
      </c>
      <c r="BR104" s="307">
        <v>1</v>
      </c>
      <c r="BS104" s="307">
        <v>0</v>
      </c>
      <c r="BT104" s="307">
        <v>0</v>
      </c>
      <c r="BU104" s="307">
        <v>1</v>
      </c>
      <c r="BV104" s="307">
        <v>0</v>
      </c>
      <c r="BW104" s="310">
        <v>0</v>
      </c>
    </row>
    <row r="105" spans="1:75" ht="17" thickBot="1" x14ac:dyDescent="0.35">
      <c r="A105" s="462"/>
      <c r="B105" s="536"/>
      <c r="C105" s="280" t="s">
        <v>401</v>
      </c>
      <c r="D105" s="285">
        <v>0</v>
      </c>
      <c r="E105" s="311">
        <v>1</v>
      </c>
      <c r="F105" s="311">
        <v>2</v>
      </c>
      <c r="G105" s="311">
        <v>0</v>
      </c>
      <c r="H105" s="311">
        <v>0</v>
      </c>
      <c r="I105" s="311">
        <v>1</v>
      </c>
      <c r="J105" s="311">
        <v>1</v>
      </c>
      <c r="K105" s="311">
        <v>2</v>
      </c>
      <c r="L105" s="311">
        <v>1</v>
      </c>
      <c r="M105" s="311">
        <v>0</v>
      </c>
      <c r="N105" s="311">
        <v>1</v>
      </c>
      <c r="O105" s="312">
        <v>0</v>
      </c>
      <c r="P105" s="311">
        <v>2</v>
      </c>
      <c r="Q105" s="311">
        <v>0</v>
      </c>
      <c r="R105" s="311">
        <v>1</v>
      </c>
      <c r="S105" s="311">
        <v>0</v>
      </c>
      <c r="T105" s="311">
        <v>0</v>
      </c>
      <c r="U105" s="311">
        <v>0</v>
      </c>
      <c r="V105" s="311">
        <v>0</v>
      </c>
      <c r="W105" s="311">
        <v>0</v>
      </c>
      <c r="X105" s="311">
        <v>0</v>
      </c>
      <c r="Y105" s="311">
        <v>1</v>
      </c>
      <c r="Z105" s="311">
        <v>0</v>
      </c>
      <c r="AA105" s="312">
        <v>0</v>
      </c>
      <c r="AB105" s="311">
        <v>1</v>
      </c>
      <c r="AC105" s="311">
        <v>0</v>
      </c>
      <c r="AD105" s="311">
        <v>0</v>
      </c>
      <c r="AE105" s="311">
        <v>2</v>
      </c>
      <c r="AF105" s="311">
        <v>0</v>
      </c>
      <c r="AG105" s="311">
        <v>3</v>
      </c>
      <c r="AH105" s="311">
        <v>0</v>
      </c>
      <c r="AI105" s="311">
        <v>0</v>
      </c>
      <c r="AJ105" s="311">
        <v>2</v>
      </c>
      <c r="AK105" s="311">
        <v>0</v>
      </c>
      <c r="AL105" s="311">
        <v>1</v>
      </c>
      <c r="AM105" s="312">
        <v>2</v>
      </c>
      <c r="AN105" s="313">
        <v>1</v>
      </c>
      <c r="AO105" s="311">
        <v>1</v>
      </c>
      <c r="AP105" s="311">
        <v>1</v>
      </c>
      <c r="AQ105" s="311">
        <v>4</v>
      </c>
      <c r="AR105" s="311">
        <v>0</v>
      </c>
      <c r="AS105" s="311">
        <v>3</v>
      </c>
      <c r="AT105" s="311">
        <v>5</v>
      </c>
      <c r="AU105" s="311">
        <v>1</v>
      </c>
      <c r="AV105" s="311">
        <v>2</v>
      </c>
      <c r="AW105" s="311">
        <v>3</v>
      </c>
      <c r="AX105" s="311">
        <v>1</v>
      </c>
      <c r="AY105" s="312">
        <v>2</v>
      </c>
      <c r="AZ105" s="285">
        <v>1</v>
      </c>
      <c r="BA105" s="311">
        <v>0</v>
      </c>
      <c r="BB105" s="311">
        <v>0</v>
      </c>
      <c r="BC105" s="311">
        <v>1</v>
      </c>
      <c r="BD105" s="311">
        <v>1</v>
      </c>
      <c r="BE105" s="311">
        <v>0</v>
      </c>
      <c r="BF105" s="311">
        <v>1</v>
      </c>
      <c r="BG105" s="311">
        <v>2</v>
      </c>
      <c r="BH105" s="311">
        <v>0</v>
      </c>
      <c r="BI105" s="311">
        <v>0</v>
      </c>
      <c r="BJ105" s="311">
        <v>1</v>
      </c>
      <c r="BK105" s="312">
        <v>1</v>
      </c>
      <c r="BL105" s="311">
        <v>1</v>
      </c>
      <c r="BM105" s="311">
        <v>0</v>
      </c>
      <c r="BN105" s="311">
        <v>0</v>
      </c>
      <c r="BO105" s="311">
        <v>1</v>
      </c>
      <c r="BP105" s="311">
        <v>2</v>
      </c>
      <c r="BQ105" s="311">
        <v>3</v>
      </c>
      <c r="BR105" s="311">
        <v>1</v>
      </c>
      <c r="BS105" s="311">
        <v>0</v>
      </c>
      <c r="BT105" s="311">
        <v>0</v>
      </c>
      <c r="BU105" s="311">
        <v>1</v>
      </c>
      <c r="BV105" s="311">
        <v>0</v>
      </c>
      <c r="BW105" s="314">
        <v>0</v>
      </c>
    </row>
    <row r="106" spans="1:75" ht="17" thickBot="1" x14ac:dyDescent="0.5">
      <c r="A106" s="462"/>
      <c r="B106" s="535" t="s">
        <v>295</v>
      </c>
      <c r="C106" s="239" t="s">
        <v>403</v>
      </c>
      <c r="D106" s="207">
        <v>0</v>
      </c>
      <c r="E106" s="208">
        <v>2</v>
      </c>
      <c r="F106" s="208">
        <v>1</v>
      </c>
      <c r="G106" s="208">
        <v>2</v>
      </c>
      <c r="H106" s="208">
        <v>0</v>
      </c>
      <c r="I106" s="208">
        <v>1</v>
      </c>
      <c r="J106" s="208">
        <v>1</v>
      </c>
      <c r="K106" s="208">
        <v>0</v>
      </c>
      <c r="L106" s="208">
        <v>1</v>
      </c>
      <c r="M106" s="208">
        <v>1</v>
      </c>
      <c r="N106" s="208">
        <v>2</v>
      </c>
      <c r="O106" s="209">
        <v>1</v>
      </c>
      <c r="P106" s="208">
        <v>0</v>
      </c>
      <c r="Q106" s="208">
        <v>1</v>
      </c>
      <c r="R106" s="208">
        <v>0</v>
      </c>
      <c r="S106" s="208">
        <v>1</v>
      </c>
      <c r="T106" s="208">
        <v>0</v>
      </c>
      <c r="U106" s="208">
        <v>1</v>
      </c>
      <c r="V106" s="208">
        <v>1</v>
      </c>
      <c r="W106" s="208">
        <v>0</v>
      </c>
      <c r="X106" s="208">
        <v>2</v>
      </c>
      <c r="Y106" s="210">
        <v>2</v>
      </c>
      <c r="Z106" s="210">
        <v>2</v>
      </c>
      <c r="AA106" s="211">
        <v>4</v>
      </c>
      <c r="AB106" s="207">
        <v>2</v>
      </c>
      <c r="AC106" s="208">
        <v>0</v>
      </c>
      <c r="AD106" s="208">
        <v>3</v>
      </c>
      <c r="AE106" s="208">
        <v>1</v>
      </c>
      <c r="AF106" s="208">
        <v>1</v>
      </c>
      <c r="AG106" s="208">
        <v>2</v>
      </c>
      <c r="AH106" s="208">
        <v>0</v>
      </c>
      <c r="AI106" s="208">
        <v>1</v>
      </c>
      <c r="AJ106" s="208">
        <v>0</v>
      </c>
      <c r="AK106" s="208">
        <v>1</v>
      </c>
      <c r="AL106" s="208">
        <v>1</v>
      </c>
      <c r="AM106" s="209">
        <v>0</v>
      </c>
      <c r="AN106" s="208">
        <v>1</v>
      </c>
      <c r="AO106" s="208">
        <v>2</v>
      </c>
      <c r="AP106" s="208">
        <v>1</v>
      </c>
      <c r="AQ106" s="208">
        <v>0</v>
      </c>
      <c r="AR106" s="208">
        <v>0</v>
      </c>
      <c r="AS106" s="208">
        <v>0</v>
      </c>
      <c r="AT106" s="208">
        <v>2</v>
      </c>
      <c r="AU106" s="208">
        <v>0</v>
      </c>
      <c r="AV106" s="208">
        <v>1</v>
      </c>
      <c r="AW106" s="210">
        <v>1</v>
      </c>
      <c r="AX106" s="210">
        <v>0</v>
      </c>
      <c r="AY106" s="211">
        <v>0</v>
      </c>
      <c r="AZ106" s="242">
        <v>0</v>
      </c>
      <c r="BA106" s="208">
        <v>3</v>
      </c>
      <c r="BB106" s="208">
        <v>2</v>
      </c>
      <c r="BC106" s="208">
        <v>2</v>
      </c>
      <c r="BD106" s="208">
        <v>5</v>
      </c>
      <c r="BE106" s="208">
        <v>2</v>
      </c>
      <c r="BF106" s="208">
        <v>2</v>
      </c>
      <c r="BG106" s="208">
        <v>0</v>
      </c>
      <c r="BH106" s="208">
        <v>0</v>
      </c>
      <c r="BI106" s="208">
        <v>1</v>
      </c>
      <c r="BJ106" s="208">
        <v>3</v>
      </c>
      <c r="BK106" s="209">
        <v>1</v>
      </c>
      <c r="BL106" s="208">
        <v>3</v>
      </c>
      <c r="BM106" s="208">
        <v>2</v>
      </c>
      <c r="BN106" s="208">
        <v>2</v>
      </c>
      <c r="BO106" s="208">
        <v>0</v>
      </c>
      <c r="BP106" s="208">
        <v>0</v>
      </c>
      <c r="BQ106" s="208">
        <v>1</v>
      </c>
      <c r="BR106" s="208">
        <v>1</v>
      </c>
      <c r="BS106" s="208">
        <v>0</v>
      </c>
      <c r="BT106" s="208">
        <v>2</v>
      </c>
      <c r="BU106" s="210">
        <v>4</v>
      </c>
      <c r="BV106" s="210">
        <v>0</v>
      </c>
      <c r="BW106" s="213">
        <v>2</v>
      </c>
    </row>
    <row r="107" spans="1:75" ht="17" thickBot="1" x14ac:dyDescent="0.5">
      <c r="A107" s="462"/>
      <c r="B107" s="535"/>
      <c r="C107" s="280" t="s">
        <v>398</v>
      </c>
      <c r="D107" s="281">
        <v>0</v>
      </c>
      <c r="E107" s="286">
        <v>2</v>
      </c>
      <c r="F107" s="286">
        <v>1</v>
      </c>
      <c r="G107" s="286">
        <v>2</v>
      </c>
      <c r="H107" s="286">
        <v>0</v>
      </c>
      <c r="I107" s="286">
        <v>1</v>
      </c>
      <c r="J107" s="286">
        <v>1</v>
      </c>
      <c r="K107" s="286">
        <v>0</v>
      </c>
      <c r="L107" s="286">
        <v>1</v>
      </c>
      <c r="M107" s="286">
        <v>0</v>
      </c>
      <c r="N107" s="286">
        <v>2</v>
      </c>
      <c r="O107" s="287">
        <v>0</v>
      </c>
      <c r="P107" s="286">
        <v>0</v>
      </c>
      <c r="Q107" s="286">
        <v>1</v>
      </c>
      <c r="R107" s="286">
        <v>0</v>
      </c>
      <c r="S107" s="286">
        <v>1</v>
      </c>
      <c r="T107" s="286">
        <v>0</v>
      </c>
      <c r="U107" s="286">
        <v>1</v>
      </c>
      <c r="V107" s="286">
        <v>1</v>
      </c>
      <c r="W107" s="286">
        <v>0</v>
      </c>
      <c r="X107" s="286">
        <v>2</v>
      </c>
      <c r="Y107" s="288">
        <v>1</v>
      </c>
      <c r="Z107" s="288">
        <v>1</v>
      </c>
      <c r="AA107" s="289">
        <v>4</v>
      </c>
      <c r="AB107" s="281">
        <v>2</v>
      </c>
      <c r="AC107" s="286">
        <v>0</v>
      </c>
      <c r="AD107" s="286">
        <v>3</v>
      </c>
      <c r="AE107" s="286">
        <v>1</v>
      </c>
      <c r="AF107" s="286">
        <v>1</v>
      </c>
      <c r="AG107" s="286">
        <v>2</v>
      </c>
      <c r="AH107" s="286">
        <v>0</v>
      </c>
      <c r="AI107" s="286">
        <v>1</v>
      </c>
      <c r="AJ107" s="286">
        <v>0</v>
      </c>
      <c r="AK107" s="286">
        <v>1</v>
      </c>
      <c r="AL107" s="286">
        <v>0</v>
      </c>
      <c r="AM107" s="287">
        <v>0</v>
      </c>
      <c r="AN107" s="286">
        <v>1</v>
      </c>
      <c r="AO107" s="286">
        <v>2</v>
      </c>
      <c r="AP107" s="286">
        <v>1</v>
      </c>
      <c r="AQ107" s="286">
        <v>0</v>
      </c>
      <c r="AR107" s="286">
        <v>0</v>
      </c>
      <c r="AS107" s="286">
        <v>0</v>
      </c>
      <c r="AT107" s="286">
        <v>1</v>
      </c>
      <c r="AU107" s="286">
        <v>0</v>
      </c>
      <c r="AV107" s="286">
        <v>1</v>
      </c>
      <c r="AW107" s="288">
        <v>1</v>
      </c>
      <c r="AX107" s="288">
        <v>0</v>
      </c>
      <c r="AY107" s="289">
        <v>0</v>
      </c>
      <c r="AZ107" s="291">
        <v>0</v>
      </c>
      <c r="BA107" s="286">
        <v>3</v>
      </c>
      <c r="BB107" s="286">
        <v>2</v>
      </c>
      <c r="BC107" s="286">
        <v>1</v>
      </c>
      <c r="BD107" s="286">
        <v>5</v>
      </c>
      <c r="BE107" s="286">
        <v>2</v>
      </c>
      <c r="BF107" s="286">
        <v>2</v>
      </c>
      <c r="BG107" s="286">
        <v>0</v>
      </c>
      <c r="BH107" s="286">
        <v>0</v>
      </c>
      <c r="BI107" s="286">
        <v>1</v>
      </c>
      <c r="BJ107" s="286">
        <v>3</v>
      </c>
      <c r="BK107" s="287">
        <v>0</v>
      </c>
      <c r="BL107" s="286">
        <v>3</v>
      </c>
      <c r="BM107" s="286">
        <v>2</v>
      </c>
      <c r="BN107" s="286">
        <v>1</v>
      </c>
      <c r="BO107" s="286">
        <v>0</v>
      </c>
      <c r="BP107" s="286">
        <v>0</v>
      </c>
      <c r="BQ107" s="286">
        <v>1</v>
      </c>
      <c r="BR107" s="286">
        <v>1</v>
      </c>
      <c r="BS107" s="286">
        <v>0</v>
      </c>
      <c r="BT107" s="286">
        <v>0</v>
      </c>
      <c r="BU107" s="288">
        <v>4</v>
      </c>
      <c r="BV107" s="288">
        <v>0</v>
      </c>
      <c r="BW107" s="293">
        <v>1</v>
      </c>
    </row>
    <row r="108" spans="1:75" ht="17" thickBot="1" x14ac:dyDescent="0.5">
      <c r="A108" s="462"/>
      <c r="B108" s="535"/>
      <c r="C108" s="280" t="s">
        <v>404</v>
      </c>
      <c r="D108" s="282">
        <v>0</v>
      </c>
      <c r="E108" s="295">
        <v>0</v>
      </c>
      <c r="F108" s="295">
        <v>0</v>
      </c>
      <c r="G108" s="295">
        <v>0</v>
      </c>
      <c r="H108" s="295">
        <v>0</v>
      </c>
      <c r="I108" s="295">
        <v>0</v>
      </c>
      <c r="J108" s="295">
        <v>0</v>
      </c>
      <c r="K108" s="295">
        <v>0</v>
      </c>
      <c r="L108" s="295">
        <v>0</v>
      </c>
      <c r="M108" s="295">
        <v>0</v>
      </c>
      <c r="N108" s="295">
        <v>1</v>
      </c>
      <c r="O108" s="296">
        <v>0</v>
      </c>
      <c r="P108" s="295">
        <v>0</v>
      </c>
      <c r="Q108" s="295">
        <v>1</v>
      </c>
      <c r="R108" s="295">
        <v>0</v>
      </c>
      <c r="S108" s="295">
        <v>1</v>
      </c>
      <c r="T108" s="295">
        <v>0</v>
      </c>
      <c r="U108" s="295">
        <v>1</v>
      </c>
      <c r="V108" s="295">
        <v>0</v>
      </c>
      <c r="W108" s="295">
        <v>0</v>
      </c>
      <c r="X108" s="295">
        <v>1</v>
      </c>
      <c r="Y108" s="297">
        <v>0</v>
      </c>
      <c r="Z108" s="297">
        <v>0</v>
      </c>
      <c r="AA108" s="298">
        <v>1</v>
      </c>
      <c r="AB108" s="282">
        <v>0</v>
      </c>
      <c r="AC108" s="295">
        <v>0</v>
      </c>
      <c r="AD108" s="295">
        <v>1</v>
      </c>
      <c r="AE108" s="295">
        <v>1</v>
      </c>
      <c r="AF108" s="295">
        <v>0</v>
      </c>
      <c r="AG108" s="295">
        <v>0</v>
      </c>
      <c r="AH108" s="295">
        <v>0</v>
      </c>
      <c r="AI108" s="295">
        <v>0</v>
      </c>
      <c r="AJ108" s="295">
        <v>0</v>
      </c>
      <c r="AK108" s="295">
        <v>0</v>
      </c>
      <c r="AL108" s="295">
        <v>0</v>
      </c>
      <c r="AM108" s="296">
        <v>0</v>
      </c>
      <c r="AN108" s="295">
        <v>1</v>
      </c>
      <c r="AO108" s="295">
        <v>0</v>
      </c>
      <c r="AP108" s="295">
        <v>0</v>
      </c>
      <c r="AQ108" s="295">
        <v>0</v>
      </c>
      <c r="AR108" s="295">
        <v>0</v>
      </c>
      <c r="AS108" s="295">
        <v>0</v>
      </c>
      <c r="AT108" s="295">
        <v>0</v>
      </c>
      <c r="AU108" s="295">
        <v>0</v>
      </c>
      <c r="AV108" s="295">
        <v>1</v>
      </c>
      <c r="AW108" s="297">
        <v>0</v>
      </c>
      <c r="AX108" s="297">
        <v>0</v>
      </c>
      <c r="AY108" s="298">
        <v>0</v>
      </c>
      <c r="AZ108" s="300">
        <v>0</v>
      </c>
      <c r="BA108" s="295">
        <v>0</v>
      </c>
      <c r="BB108" s="295">
        <v>0</v>
      </c>
      <c r="BC108" s="295">
        <v>0</v>
      </c>
      <c r="BD108" s="295">
        <v>1</v>
      </c>
      <c r="BE108" s="295">
        <v>0</v>
      </c>
      <c r="BF108" s="295">
        <v>0</v>
      </c>
      <c r="BG108" s="295">
        <v>0</v>
      </c>
      <c r="BH108" s="295">
        <v>0</v>
      </c>
      <c r="BI108" s="295">
        <v>0</v>
      </c>
      <c r="BJ108" s="295">
        <v>0</v>
      </c>
      <c r="BK108" s="296">
        <v>0</v>
      </c>
      <c r="BL108" s="295">
        <v>0</v>
      </c>
      <c r="BM108" s="295">
        <v>0</v>
      </c>
      <c r="BN108" s="295">
        <v>0</v>
      </c>
      <c r="BO108" s="295">
        <v>0</v>
      </c>
      <c r="BP108" s="295">
        <v>0</v>
      </c>
      <c r="BQ108" s="295">
        <v>1</v>
      </c>
      <c r="BR108" s="295">
        <v>0</v>
      </c>
      <c r="BS108" s="295">
        <v>0</v>
      </c>
      <c r="BT108" s="295">
        <v>0</v>
      </c>
      <c r="BU108" s="297">
        <v>2</v>
      </c>
      <c r="BV108" s="297">
        <v>0</v>
      </c>
      <c r="BW108" s="302">
        <v>0</v>
      </c>
    </row>
    <row r="109" spans="1:75" ht="17" thickBot="1" x14ac:dyDescent="0.35">
      <c r="A109" s="462"/>
      <c r="B109" s="535"/>
      <c r="C109" s="280" t="s">
        <v>399</v>
      </c>
      <c r="D109" s="283">
        <v>0</v>
      </c>
      <c r="E109" s="303">
        <v>2</v>
      </c>
      <c r="F109" s="303">
        <v>1</v>
      </c>
      <c r="G109" s="303">
        <v>2</v>
      </c>
      <c r="H109" s="303">
        <v>0</v>
      </c>
      <c r="I109" s="303">
        <v>1</v>
      </c>
      <c r="J109" s="303">
        <v>1</v>
      </c>
      <c r="K109" s="303">
        <v>0</v>
      </c>
      <c r="L109" s="303">
        <v>1</v>
      </c>
      <c r="M109" s="303">
        <v>0</v>
      </c>
      <c r="N109" s="303">
        <v>2</v>
      </c>
      <c r="O109" s="304">
        <v>0</v>
      </c>
      <c r="P109" s="303">
        <v>0</v>
      </c>
      <c r="Q109" s="303">
        <v>1</v>
      </c>
      <c r="R109" s="303">
        <v>0</v>
      </c>
      <c r="S109" s="303">
        <v>1</v>
      </c>
      <c r="T109" s="303">
        <v>0</v>
      </c>
      <c r="U109" s="303">
        <v>1</v>
      </c>
      <c r="V109" s="303">
        <v>1</v>
      </c>
      <c r="W109" s="303">
        <v>0</v>
      </c>
      <c r="X109" s="303">
        <v>2</v>
      </c>
      <c r="Y109" s="303">
        <v>1</v>
      </c>
      <c r="Z109" s="303">
        <v>1</v>
      </c>
      <c r="AA109" s="304">
        <v>4</v>
      </c>
      <c r="AB109" s="283">
        <v>2</v>
      </c>
      <c r="AC109" s="303">
        <v>0</v>
      </c>
      <c r="AD109" s="303">
        <v>3</v>
      </c>
      <c r="AE109" s="303">
        <v>1</v>
      </c>
      <c r="AF109" s="303">
        <v>1</v>
      </c>
      <c r="AG109" s="303">
        <v>2</v>
      </c>
      <c r="AH109" s="303">
        <v>0</v>
      </c>
      <c r="AI109" s="303">
        <v>1</v>
      </c>
      <c r="AJ109" s="303">
        <v>0</v>
      </c>
      <c r="AK109" s="303">
        <v>1</v>
      </c>
      <c r="AL109" s="303">
        <v>0</v>
      </c>
      <c r="AM109" s="304">
        <v>0</v>
      </c>
      <c r="AN109" s="303">
        <v>1</v>
      </c>
      <c r="AO109" s="303">
        <v>2</v>
      </c>
      <c r="AP109" s="303">
        <v>1</v>
      </c>
      <c r="AQ109" s="303">
        <v>0</v>
      </c>
      <c r="AR109" s="303">
        <v>0</v>
      </c>
      <c r="AS109" s="303">
        <v>0</v>
      </c>
      <c r="AT109" s="303">
        <v>1</v>
      </c>
      <c r="AU109" s="303">
        <v>0</v>
      </c>
      <c r="AV109" s="303">
        <v>1</v>
      </c>
      <c r="AW109" s="303">
        <v>1</v>
      </c>
      <c r="AX109" s="303">
        <v>0</v>
      </c>
      <c r="AY109" s="304">
        <v>0</v>
      </c>
      <c r="AZ109" s="305">
        <v>0</v>
      </c>
      <c r="BA109" s="303">
        <v>3</v>
      </c>
      <c r="BB109" s="303">
        <v>2</v>
      </c>
      <c r="BC109" s="303">
        <v>1</v>
      </c>
      <c r="BD109" s="303">
        <v>5</v>
      </c>
      <c r="BE109" s="303">
        <v>2</v>
      </c>
      <c r="BF109" s="303">
        <v>2</v>
      </c>
      <c r="BG109" s="303">
        <v>0</v>
      </c>
      <c r="BH109" s="303">
        <v>0</v>
      </c>
      <c r="BI109" s="303">
        <v>1</v>
      </c>
      <c r="BJ109" s="303">
        <v>3</v>
      </c>
      <c r="BK109" s="304">
        <v>0</v>
      </c>
      <c r="BL109" s="303">
        <v>3</v>
      </c>
      <c r="BM109" s="303">
        <v>2</v>
      </c>
      <c r="BN109" s="303">
        <v>1</v>
      </c>
      <c r="BO109" s="303">
        <v>0</v>
      </c>
      <c r="BP109" s="303">
        <v>0</v>
      </c>
      <c r="BQ109" s="303">
        <v>1</v>
      </c>
      <c r="BR109" s="303">
        <v>1</v>
      </c>
      <c r="BS109" s="303">
        <v>0</v>
      </c>
      <c r="BT109" s="303">
        <v>0</v>
      </c>
      <c r="BU109" s="303">
        <v>4</v>
      </c>
      <c r="BV109" s="303">
        <v>0</v>
      </c>
      <c r="BW109" s="306">
        <v>1</v>
      </c>
    </row>
    <row r="110" spans="1:75" ht="17" thickBot="1" x14ac:dyDescent="0.35">
      <c r="A110" s="462"/>
      <c r="B110" s="535"/>
      <c r="C110" s="280" t="s">
        <v>400</v>
      </c>
      <c r="D110" s="284">
        <v>0</v>
      </c>
      <c r="E110" s="307">
        <v>2</v>
      </c>
      <c r="F110" s="307">
        <v>1</v>
      </c>
      <c r="G110" s="307">
        <v>1</v>
      </c>
      <c r="H110" s="307">
        <v>0</v>
      </c>
      <c r="I110" s="307">
        <v>1</v>
      </c>
      <c r="J110" s="307">
        <v>1</v>
      </c>
      <c r="K110" s="307">
        <v>0</v>
      </c>
      <c r="L110" s="307">
        <v>1</v>
      </c>
      <c r="M110" s="307">
        <v>1</v>
      </c>
      <c r="N110" s="307">
        <v>1</v>
      </c>
      <c r="O110" s="308">
        <v>1</v>
      </c>
      <c r="P110" s="307">
        <v>0</v>
      </c>
      <c r="Q110" s="307">
        <v>0</v>
      </c>
      <c r="R110" s="307">
        <v>0</v>
      </c>
      <c r="S110" s="307">
        <v>0</v>
      </c>
      <c r="T110" s="307">
        <v>0</v>
      </c>
      <c r="U110" s="307">
        <v>0</v>
      </c>
      <c r="V110" s="307">
        <v>1</v>
      </c>
      <c r="W110" s="307">
        <v>0</v>
      </c>
      <c r="X110" s="307">
        <v>1</v>
      </c>
      <c r="Y110" s="307">
        <v>2</v>
      </c>
      <c r="Z110" s="307">
        <v>2</v>
      </c>
      <c r="AA110" s="308">
        <v>3</v>
      </c>
      <c r="AB110" s="284">
        <v>2</v>
      </c>
      <c r="AC110" s="307">
        <v>0</v>
      </c>
      <c r="AD110" s="307">
        <v>1</v>
      </c>
      <c r="AE110" s="307">
        <v>0</v>
      </c>
      <c r="AF110" s="307">
        <v>1</v>
      </c>
      <c r="AG110" s="307">
        <v>2</v>
      </c>
      <c r="AH110" s="307">
        <v>0</v>
      </c>
      <c r="AI110" s="307">
        <v>1</v>
      </c>
      <c r="AJ110" s="307">
        <v>0</v>
      </c>
      <c r="AK110" s="307">
        <v>0</v>
      </c>
      <c r="AL110" s="307">
        <v>1</v>
      </c>
      <c r="AM110" s="308">
        <v>0</v>
      </c>
      <c r="AN110" s="307">
        <v>0</v>
      </c>
      <c r="AO110" s="307">
        <v>2</v>
      </c>
      <c r="AP110" s="307">
        <v>1</v>
      </c>
      <c r="AQ110" s="307">
        <v>0</v>
      </c>
      <c r="AR110" s="307">
        <v>0</v>
      </c>
      <c r="AS110" s="307">
        <v>0</v>
      </c>
      <c r="AT110" s="307">
        <v>2</v>
      </c>
      <c r="AU110" s="307">
        <v>0</v>
      </c>
      <c r="AV110" s="307">
        <v>0</v>
      </c>
      <c r="AW110" s="307">
        <v>1</v>
      </c>
      <c r="AX110" s="307">
        <v>0</v>
      </c>
      <c r="AY110" s="308">
        <v>0</v>
      </c>
      <c r="AZ110" s="309">
        <v>0</v>
      </c>
      <c r="BA110" s="307">
        <v>3</v>
      </c>
      <c r="BB110" s="307">
        <v>2</v>
      </c>
      <c r="BC110" s="307">
        <v>2</v>
      </c>
      <c r="BD110" s="307">
        <v>2</v>
      </c>
      <c r="BE110" s="307">
        <v>2</v>
      </c>
      <c r="BF110" s="307">
        <v>2</v>
      </c>
      <c r="BG110" s="307">
        <v>0</v>
      </c>
      <c r="BH110" s="307">
        <v>0</v>
      </c>
      <c r="BI110" s="307">
        <v>1</v>
      </c>
      <c r="BJ110" s="307">
        <v>3</v>
      </c>
      <c r="BK110" s="308">
        <v>1</v>
      </c>
      <c r="BL110" s="307">
        <v>3</v>
      </c>
      <c r="BM110" s="307">
        <v>2</v>
      </c>
      <c r="BN110" s="307">
        <v>2</v>
      </c>
      <c r="BO110" s="307">
        <v>0</v>
      </c>
      <c r="BP110" s="307">
        <v>0</v>
      </c>
      <c r="BQ110" s="307">
        <v>0</v>
      </c>
      <c r="BR110" s="307">
        <v>1</v>
      </c>
      <c r="BS110" s="307">
        <v>0</v>
      </c>
      <c r="BT110" s="307">
        <v>2</v>
      </c>
      <c r="BU110" s="307">
        <v>1</v>
      </c>
      <c r="BV110" s="307">
        <v>0</v>
      </c>
      <c r="BW110" s="310">
        <v>2</v>
      </c>
    </row>
    <row r="111" spans="1:75" ht="17" thickBot="1" x14ac:dyDescent="0.35">
      <c r="A111" s="462"/>
      <c r="B111" s="536"/>
      <c r="C111" s="280" t="s">
        <v>401</v>
      </c>
      <c r="D111" s="285">
        <v>0</v>
      </c>
      <c r="E111" s="311">
        <v>2</v>
      </c>
      <c r="F111" s="311">
        <v>1</v>
      </c>
      <c r="G111" s="311">
        <v>1</v>
      </c>
      <c r="H111" s="311">
        <v>0</v>
      </c>
      <c r="I111" s="311">
        <v>1</v>
      </c>
      <c r="J111" s="311">
        <v>1</v>
      </c>
      <c r="K111" s="311">
        <v>0</v>
      </c>
      <c r="L111" s="311">
        <v>1</v>
      </c>
      <c r="M111" s="311">
        <v>1</v>
      </c>
      <c r="N111" s="311">
        <v>1</v>
      </c>
      <c r="O111" s="312">
        <v>1</v>
      </c>
      <c r="P111" s="311">
        <v>0</v>
      </c>
      <c r="Q111" s="311">
        <v>0</v>
      </c>
      <c r="R111" s="311">
        <v>0</v>
      </c>
      <c r="S111" s="311">
        <v>0</v>
      </c>
      <c r="T111" s="311">
        <v>0</v>
      </c>
      <c r="U111" s="311">
        <v>0</v>
      </c>
      <c r="V111" s="311">
        <v>1</v>
      </c>
      <c r="W111" s="311">
        <v>0</v>
      </c>
      <c r="X111" s="311">
        <v>1</v>
      </c>
      <c r="Y111" s="311">
        <v>2</v>
      </c>
      <c r="Z111" s="311">
        <v>2</v>
      </c>
      <c r="AA111" s="312">
        <v>3</v>
      </c>
      <c r="AB111" s="285">
        <v>2</v>
      </c>
      <c r="AC111" s="311">
        <v>0</v>
      </c>
      <c r="AD111" s="311">
        <v>1</v>
      </c>
      <c r="AE111" s="311">
        <v>0</v>
      </c>
      <c r="AF111" s="311">
        <v>1</v>
      </c>
      <c r="AG111" s="311">
        <v>2</v>
      </c>
      <c r="AH111" s="311">
        <v>0</v>
      </c>
      <c r="AI111" s="311">
        <v>1</v>
      </c>
      <c r="AJ111" s="311">
        <v>0</v>
      </c>
      <c r="AK111" s="311">
        <v>1</v>
      </c>
      <c r="AL111" s="311">
        <v>1</v>
      </c>
      <c r="AM111" s="312">
        <v>0</v>
      </c>
      <c r="AN111" s="311">
        <v>0</v>
      </c>
      <c r="AO111" s="311">
        <v>2</v>
      </c>
      <c r="AP111" s="311">
        <v>1</v>
      </c>
      <c r="AQ111" s="311">
        <v>0</v>
      </c>
      <c r="AR111" s="311">
        <v>0</v>
      </c>
      <c r="AS111" s="311">
        <v>0</v>
      </c>
      <c r="AT111" s="311">
        <v>2</v>
      </c>
      <c r="AU111" s="311">
        <v>0</v>
      </c>
      <c r="AV111" s="311">
        <v>0</v>
      </c>
      <c r="AW111" s="311">
        <v>1</v>
      </c>
      <c r="AX111" s="311">
        <v>0</v>
      </c>
      <c r="AY111" s="312">
        <v>0</v>
      </c>
      <c r="AZ111" s="313">
        <v>0</v>
      </c>
      <c r="BA111" s="311">
        <v>3</v>
      </c>
      <c r="BB111" s="311">
        <v>2</v>
      </c>
      <c r="BC111" s="311">
        <v>2</v>
      </c>
      <c r="BD111" s="311">
        <v>2</v>
      </c>
      <c r="BE111" s="311">
        <v>2</v>
      </c>
      <c r="BF111" s="311">
        <v>2</v>
      </c>
      <c r="BG111" s="311">
        <v>0</v>
      </c>
      <c r="BH111" s="311">
        <v>0</v>
      </c>
      <c r="BI111" s="311">
        <v>1</v>
      </c>
      <c r="BJ111" s="311">
        <v>3</v>
      </c>
      <c r="BK111" s="312">
        <v>1</v>
      </c>
      <c r="BL111" s="311">
        <v>3</v>
      </c>
      <c r="BM111" s="311">
        <v>2</v>
      </c>
      <c r="BN111" s="311">
        <v>2</v>
      </c>
      <c r="BO111" s="311">
        <v>0</v>
      </c>
      <c r="BP111" s="311">
        <v>0</v>
      </c>
      <c r="BQ111" s="311">
        <v>0</v>
      </c>
      <c r="BR111" s="311">
        <v>1</v>
      </c>
      <c r="BS111" s="311">
        <v>0</v>
      </c>
      <c r="BT111" s="311">
        <v>2</v>
      </c>
      <c r="BU111" s="311">
        <v>1</v>
      </c>
      <c r="BV111" s="311">
        <v>0</v>
      </c>
      <c r="BW111" s="314">
        <v>2</v>
      </c>
    </row>
    <row r="112" spans="1:75" ht="17" thickBot="1" x14ac:dyDescent="0.5">
      <c r="A112" s="462"/>
      <c r="B112" s="535" t="s">
        <v>197</v>
      </c>
      <c r="C112" s="239" t="s">
        <v>403</v>
      </c>
      <c r="D112" s="207">
        <v>1</v>
      </c>
      <c r="E112" s="208">
        <v>1</v>
      </c>
      <c r="F112" s="208">
        <v>0</v>
      </c>
      <c r="G112" s="208">
        <v>2</v>
      </c>
      <c r="H112" s="208">
        <v>0</v>
      </c>
      <c r="I112" s="208">
        <v>1</v>
      </c>
      <c r="J112" s="208">
        <v>2</v>
      </c>
      <c r="K112" s="208">
        <v>2</v>
      </c>
      <c r="L112" s="208">
        <v>1</v>
      </c>
      <c r="M112" s="208">
        <v>0</v>
      </c>
      <c r="N112" s="208">
        <v>1</v>
      </c>
      <c r="O112" s="209">
        <v>0</v>
      </c>
      <c r="P112" s="208">
        <v>0</v>
      </c>
      <c r="Q112" s="208">
        <v>1</v>
      </c>
      <c r="R112" s="208">
        <v>0</v>
      </c>
      <c r="S112" s="208">
        <v>2</v>
      </c>
      <c r="T112" s="208">
        <v>1</v>
      </c>
      <c r="U112" s="208">
        <v>0</v>
      </c>
      <c r="V112" s="208">
        <v>1</v>
      </c>
      <c r="W112" s="208">
        <v>0</v>
      </c>
      <c r="X112" s="208">
        <v>0</v>
      </c>
      <c r="Y112" s="210">
        <v>2</v>
      </c>
      <c r="Z112" s="210">
        <v>0</v>
      </c>
      <c r="AA112" s="211">
        <v>3</v>
      </c>
      <c r="AB112" s="207">
        <v>2</v>
      </c>
      <c r="AC112" s="208">
        <v>0</v>
      </c>
      <c r="AD112" s="208">
        <v>0</v>
      </c>
      <c r="AE112" s="208">
        <v>1</v>
      </c>
      <c r="AF112" s="208">
        <v>3</v>
      </c>
      <c r="AG112" s="208">
        <v>1</v>
      </c>
      <c r="AH112" s="208">
        <v>0</v>
      </c>
      <c r="AI112" s="208">
        <v>1</v>
      </c>
      <c r="AJ112" s="208">
        <v>1</v>
      </c>
      <c r="AK112" s="208">
        <v>0</v>
      </c>
      <c r="AL112" s="208">
        <v>2</v>
      </c>
      <c r="AM112" s="209">
        <v>1</v>
      </c>
      <c r="AN112" s="208">
        <v>0</v>
      </c>
      <c r="AO112" s="208">
        <v>1</v>
      </c>
      <c r="AP112" s="208">
        <v>1</v>
      </c>
      <c r="AQ112" s="208">
        <v>1</v>
      </c>
      <c r="AR112" s="208">
        <v>0</v>
      </c>
      <c r="AS112" s="208">
        <v>0</v>
      </c>
      <c r="AT112" s="208">
        <v>1</v>
      </c>
      <c r="AU112" s="208">
        <v>0</v>
      </c>
      <c r="AV112" s="208">
        <v>0</v>
      </c>
      <c r="AW112" s="210">
        <v>0</v>
      </c>
      <c r="AX112" s="210">
        <v>0</v>
      </c>
      <c r="AY112" s="211">
        <v>0</v>
      </c>
      <c r="AZ112" s="242">
        <v>1</v>
      </c>
      <c r="BA112" s="208">
        <v>0</v>
      </c>
      <c r="BB112" s="208">
        <v>0</v>
      </c>
      <c r="BC112" s="208">
        <v>0</v>
      </c>
      <c r="BD112" s="208">
        <v>0</v>
      </c>
      <c r="BE112" s="208">
        <v>0</v>
      </c>
      <c r="BF112" s="208">
        <v>0</v>
      </c>
      <c r="BG112" s="208">
        <v>3</v>
      </c>
      <c r="BH112" s="208">
        <v>0</v>
      </c>
      <c r="BI112" s="208">
        <v>0</v>
      </c>
      <c r="BJ112" s="208">
        <v>1</v>
      </c>
      <c r="BK112" s="209">
        <v>0</v>
      </c>
      <c r="BL112" s="208">
        <v>1</v>
      </c>
      <c r="BM112" s="208">
        <v>0</v>
      </c>
      <c r="BN112" s="208">
        <v>2</v>
      </c>
      <c r="BO112" s="208">
        <v>2</v>
      </c>
      <c r="BP112" s="208">
        <v>2</v>
      </c>
      <c r="BQ112" s="208">
        <v>0</v>
      </c>
      <c r="BR112" s="208">
        <v>1</v>
      </c>
      <c r="BS112" s="208">
        <v>0</v>
      </c>
      <c r="BT112" s="208">
        <v>2</v>
      </c>
      <c r="BU112" s="210">
        <v>0</v>
      </c>
      <c r="BV112" s="210">
        <v>4</v>
      </c>
      <c r="BW112" s="213">
        <v>0</v>
      </c>
    </row>
    <row r="113" spans="1:75" ht="17" thickBot="1" x14ac:dyDescent="0.5">
      <c r="A113" s="462"/>
      <c r="B113" s="535"/>
      <c r="C113" s="280" t="s">
        <v>398</v>
      </c>
      <c r="D113" s="281">
        <v>1</v>
      </c>
      <c r="E113" s="286">
        <v>1</v>
      </c>
      <c r="F113" s="286">
        <v>0</v>
      </c>
      <c r="G113" s="286">
        <v>2</v>
      </c>
      <c r="H113" s="286">
        <v>0</v>
      </c>
      <c r="I113" s="286">
        <v>1</v>
      </c>
      <c r="J113" s="286">
        <v>1</v>
      </c>
      <c r="K113" s="286">
        <v>2</v>
      </c>
      <c r="L113" s="286">
        <v>1</v>
      </c>
      <c r="M113" s="286">
        <v>0</v>
      </c>
      <c r="N113" s="286">
        <v>1</v>
      </c>
      <c r="O113" s="287">
        <v>0</v>
      </c>
      <c r="P113" s="286">
        <v>0</v>
      </c>
      <c r="Q113" s="286">
        <v>1</v>
      </c>
      <c r="R113" s="286">
        <v>0</v>
      </c>
      <c r="S113" s="286">
        <v>2</v>
      </c>
      <c r="T113" s="286">
        <v>1</v>
      </c>
      <c r="U113" s="286">
        <v>0</v>
      </c>
      <c r="V113" s="286">
        <v>1</v>
      </c>
      <c r="W113" s="286">
        <v>0</v>
      </c>
      <c r="X113" s="286">
        <v>0</v>
      </c>
      <c r="Y113" s="288">
        <v>2</v>
      </c>
      <c r="Z113" s="288">
        <v>0</v>
      </c>
      <c r="AA113" s="289">
        <v>1</v>
      </c>
      <c r="AB113" s="281">
        <v>1</v>
      </c>
      <c r="AC113" s="286">
        <v>0</v>
      </c>
      <c r="AD113" s="286">
        <v>0</v>
      </c>
      <c r="AE113" s="286">
        <v>0</v>
      </c>
      <c r="AF113" s="286">
        <v>2</v>
      </c>
      <c r="AG113" s="286">
        <v>1</v>
      </c>
      <c r="AH113" s="286">
        <v>0</v>
      </c>
      <c r="AI113" s="286">
        <v>1</v>
      </c>
      <c r="AJ113" s="286">
        <v>1</v>
      </c>
      <c r="AK113" s="286">
        <v>0</v>
      </c>
      <c r="AL113" s="286">
        <v>2</v>
      </c>
      <c r="AM113" s="287">
        <v>1</v>
      </c>
      <c r="AN113" s="286">
        <v>0</v>
      </c>
      <c r="AO113" s="286">
        <v>1</v>
      </c>
      <c r="AP113" s="286">
        <v>1</v>
      </c>
      <c r="AQ113" s="286">
        <v>1</v>
      </c>
      <c r="AR113" s="286">
        <v>0</v>
      </c>
      <c r="AS113" s="286">
        <v>0</v>
      </c>
      <c r="AT113" s="286">
        <v>1</v>
      </c>
      <c r="AU113" s="286">
        <v>0</v>
      </c>
      <c r="AV113" s="286">
        <v>0</v>
      </c>
      <c r="AW113" s="288">
        <v>0</v>
      </c>
      <c r="AX113" s="288">
        <v>0</v>
      </c>
      <c r="AY113" s="289">
        <v>0</v>
      </c>
      <c r="AZ113" s="291">
        <v>1</v>
      </c>
      <c r="BA113" s="286">
        <v>0</v>
      </c>
      <c r="BB113" s="286">
        <v>0</v>
      </c>
      <c r="BC113" s="286">
        <v>0</v>
      </c>
      <c r="BD113" s="286">
        <v>0</v>
      </c>
      <c r="BE113" s="286">
        <v>0</v>
      </c>
      <c r="BF113" s="286">
        <v>0</v>
      </c>
      <c r="BG113" s="286">
        <v>3</v>
      </c>
      <c r="BH113" s="286">
        <v>0</v>
      </c>
      <c r="BI113" s="286">
        <v>0</v>
      </c>
      <c r="BJ113" s="286">
        <v>1</v>
      </c>
      <c r="BK113" s="287">
        <v>0</v>
      </c>
      <c r="BL113" s="286">
        <v>1</v>
      </c>
      <c r="BM113" s="286">
        <v>0</v>
      </c>
      <c r="BN113" s="286">
        <v>2</v>
      </c>
      <c r="BO113" s="286">
        <v>2</v>
      </c>
      <c r="BP113" s="286">
        <v>2</v>
      </c>
      <c r="BQ113" s="286">
        <v>0</v>
      </c>
      <c r="BR113" s="286">
        <v>1</v>
      </c>
      <c r="BS113" s="286">
        <v>0</v>
      </c>
      <c r="BT113" s="286">
        <v>2</v>
      </c>
      <c r="BU113" s="288">
        <v>0</v>
      </c>
      <c r="BV113" s="288">
        <v>2</v>
      </c>
      <c r="BW113" s="293">
        <v>0</v>
      </c>
    </row>
    <row r="114" spans="1:75" ht="17" thickBot="1" x14ac:dyDescent="0.5">
      <c r="A114" s="462"/>
      <c r="B114" s="535"/>
      <c r="C114" s="280" t="s">
        <v>404</v>
      </c>
      <c r="D114" s="282">
        <v>0</v>
      </c>
      <c r="E114" s="295">
        <v>0</v>
      </c>
      <c r="F114" s="295">
        <v>0</v>
      </c>
      <c r="G114" s="295">
        <v>1</v>
      </c>
      <c r="H114" s="295">
        <v>0</v>
      </c>
      <c r="I114" s="295">
        <v>1</v>
      </c>
      <c r="J114" s="295">
        <v>0</v>
      </c>
      <c r="K114" s="295">
        <v>2</v>
      </c>
      <c r="L114" s="295">
        <v>0</v>
      </c>
      <c r="M114" s="295">
        <v>0</v>
      </c>
      <c r="N114" s="295">
        <v>0</v>
      </c>
      <c r="O114" s="296">
        <v>0</v>
      </c>
      <c r="P114" s="295">
        <v>0</v>
      </c>
      <c r="Q114" s="295">
        <v>1</v>
      </c>
      <c r="R114" s="295">
        <v>0</v>
      </c>
      <c r="S114" s="295">
        <v>0</v>
      </c>
      <c r="T114" s="295">
        <v>0</v>
      </c>
      <c r="U114" s="295">
        <v>0</v>
      </c>
      <c r="V114" s="295">
        <v>0</v>
      </c>
      <c r="W114" s="295">
        <v>0</v>
      </c>
      <c r="X114" s="295">
        <v>0</v>
      </c>
      <c r="Y114" s="297">
        <v>1</v>
      </c>
      <c r="Z114" s="297">
        <v>0</v>
      </c>
      <c r="AA114" s="298">
        <v>0</v>
      </c>
      <c r="AB114" s="282">
        <v>1</v>
      </c>
      <c r="AC114" s="295">
        <v>0</v>
      </c>
      <c r="AD114" s="295">
        <v>0</v>
      </c>
      <c r="AE114" s="295">
        <v>0</v>
      </c>
      <c r="AF114" s="295">
        <v>1</v>
      </c>
      <c r="AG114" s="295">
        <v>1</v>
      </c>
      <c r="AH114" s="295">
        <v>0</v>
      </c>
      <c r="AI114" s="295">
        <v>1</v>
      </c>
      <c r="AJ114" s="295">
        <v>0</v>
      </c>
      <c r="AK114" s="295">
        <v>0</v>
      </c>
      <c r="AL114" s="295">
        <v>1</v>
      </c>
      <c r="AM114" s="296">
        <v>0</v>
      </c>
      <c r="AN114" s="295">
        <v>0</v>
      </c>
      <c r="AO114" s="295">
        <v>0</v>
      </c>
      <c r="AP114" s="295">
        <v>0</v>
      </c>
      <c r="AQ114" s="295">
        <v>0</v>
      </c>
      <c r="AR114" s="295">
        <v>0</v>
      </c>
      <c r="AS114" s="295">
        <v>0</v>
      </c>
      <c r="AT114" s="295">
        <v>1</v>
      </c>
      <c r="AU114" s="295">
        <v>0</v>
      </c>
      <c r="AV114" s="295">
        <v>0</v>
      </c>
      <c r="AW114" s="297">
        <v>0</v>
      </c>
      <c r="AX114" s="297">
        <v>0</v>
      </c>
      <c r="AY114" s="298">
        <v>0</v>
      </c>
      <c r="AZ114" s="300">
        <v>1</v>
      </c>
      <c r="BA114" s="295">
        <v>0</v>
      </c>
      <c r="BB114" s="295">
        <v>0</v>
      </c>
      <c r="BC114" s="295">
        <v>0</v>
      </c>
      <c r="BD114" s="295">
        <v>0</v>
      </c>
      <c r="BE114" s="295">
        <v>0</v>
      </c>
      <c r="BF114" s="295">
        <v>0</v>
      </c>
      <c r="BG114" s="295">
        <v>1</v>
      </c>
      <c r="BH114" s="295">
        <v>0</v>
      </c>
      <c r="BI114" s="295">
        <v>0</v>
      </c>
      <c r="BJ114" s="295">
        <v>0</v>
      </c>
      <c r="BK114" s="296">
        <v>0</v>
      </c>
      <c r="BL114" s="295">
        <v>0</v>
      </c>
      <c r="BM114" s="295">
        <v>0</v>
      </c>
      <c r="BN114" s="295">
        <v>0</v>
      </c>
      <c r="BO114" s="295">
        <v>0</v>
      </c>
      <c r="BP114" s="295">
        <v>0</v>
      </c>
      <c r="BQ114" s="295">
        <v>0</v>
      </c>
      <c r="BR114" s="295">
        <v>0</v>
      </c>
      <c r="BS114" s="295">
        <v>0</v>
      </c>
      <c r="BT114" s="295">
        <v>2</v>
      </c>
      <c r="BU114" s="297">
        <v>0</v>
      </c>
      <c r="BV114" s="297">
        <v>2</v>
      </c>
      <c r="BW114" s="302">
        <v>0</v>
      </c>
    </row>
    <row r="115" spans="1:75" ht="17" thickBot="1" x14ac:dyDescent="0.35">
      <c r="A115" s="462"/>
      <c r="B115" s="535"/>
      <c r="C115" s="280" t="s">
        <v>399</v>
      </c>
      <c r="D115" s="283">
        <v>1</v>
      </c>
      <c r="E115" s="303">
        <v>1</v>
      </c>
      <c r="F115" s="303">
        <v>0</v>
      </c>
      <c r="G115" s="303">
        <v>2</v>
      </c>
      <c r="H115" s="303">
        <v>0</v>
      </c>
      <c r="I115" s="303">
        <v>1</v>
      </c>
      <c r="J115" s="303">
        <v>1</v>
      </c>
      <c r="K115" s="303">
        <v>2</v>
      </c>
      <c r="L115" s="303">
        <v>1</v>
      </c>
      <c r="M115" s="303">
        <v>0</v>
      </c>
      <c r="N115" s="303">
        <v>1</v>
      </c>
      <c r="O115" s="304">
        <v>0</v>
      </c>
      <c r="P115" s="303">
        <v>0</v>
      </c>
      <c r="Q115" s="303">
        <v>1</v>
      </c>
      <c r="R115" s="303">
        <v>0</v>
      </c>
      <c r="S115" s="303">
        <v>2</v>
      </c>
      <c r="T115" s="303">
        <v>1</v>
      </c>
      <c r="U115" s="303">
        <v>0</v>
      </c>
      <c r="V115" s="303">
        <v>1</v>
      </c>
      <c r="W115" s="303">
        <v>0</v>
      </c>
      <c r="X115" s="303">
        <v>0</v>
      </c>
      <c r="Y115" s="303">
        <v>2</v>
      </c>
      <c r="Z115" s="303">
        <v>0</v>
      </c>
      <c r="AA115" s="304">
        <v>1</v>
      </c>
      <c r="AB115" s="283">
        <v>1</v>
      </c>
      <c r="AC115" s="303">
        <v>0</v>
      </c>
      <c r="AD115" s="303">
        <v>0</v>
      </c>
      <c r="AE115" s="303">
        <v>0</v>
      </c>
      <c r="AF115" s="303">
        <v>2</v>
      </c>
      <c r="AG115" s="303">
        <v>1</v>
      </c>
      <c r="AH115" s="303">
        <v>0</v>
      </c>
      <c r="AI115" s="303">
        <v>1</v>
      </c>
      <c r="AJ115" s="303">
        <v>1</v>
      </c>
      <c r="AK115" s="303">
        <v>0</v>
      </c>
      <c r="AL115" s="303">
        <v>2</v>
      </c>
      <c r="AM115" s="304">
        <v>1</v>
      </c>
      <c r="AN115" s="303">
        <v>0</v>
      </c>
      <c r="AO115" s="303">
        <v>1</v>
      </c>
      <c r="AP115" s="303">
        <v>1</v>
      </c>
      <c r="AQ115" s="303">
        <v>1</v>
      </c>
      <c r="AR115" s="303">
        <v>0</v>
      </c>
      <c r="AS115" s="303">
        <v>0</v>
      </c>
      <c r="AT115" s="303">
        <v>1</v>
      </c>
      <c r="AU115" s="303">
        <v>0</v>
      </c>
      <c r="AV115" s="303">
        <v>0</v>
      </c>
      <c r="AW115" s="303">
        <v>0</v>
      </c>
      <c r="AX115" s="303">
        <v>0</v>
      </c>
      <c r="AY115" s="304">
        <v>0</v>
      </c>
      <c r="AZ115" s="305">
        <v>1</v>
      </c>
      <c r="BA115" s="303">
        <v>0</v>
      </c>
      <c r="BB115" s="303">
        <v>0</v>
      </c>
      <c r="BC115" s="303">
        <v>0</v>
      </c>
      <c r="BD115" s="303">
        <v>0</v>
      </c>
      <c r="BE115" s="303">
        <v>0</v>
      </c>
      <c r="BF115" s="303">
        <v>0</v>
      </c>
      <c r="BG115" s="303">
        <v>3</v>
      </c>
      <c r="BH115" s="303">
        <v>0</v>
      </c>
      <c r="BI115" s="303">
        <v>0</v>
      </c>
      <c r="BJ115" s="303">
        <v>1</v>
      </c>
      <c r="BK115" s="304">
        <v>0</v>
      </c>
      <c r="BL115" s="303">
        <v>1</v>
      </c>
      <c r="BM115" s="303">
        <v>0</v>
      </c>
      <c r="BN115" s="303">
        <v>2</v>
      </c>
      <c r="BO115" s="303">
        <v>2</v>
      </c>
      <c r="BP115" s="303">
        <v>2</v>
      </c>
      <c r="BQ115" s="303">
        <v>0</v>
      </c>
      <c r="BR115" s="303">
        <v>1</v>
      </c>
      <c r="BS115" s="303">
        <v>0</v>
      </c>
      <c r="BT115" s="303">
        <v>2</v>
      </c>
      <c r="BU115" s="303">
        <v>0</v>
      </c>
      <c r="BV115" s="303">
        <v>2</v>
      </c>
      <c r="BW115" s="306">
        <v>0</v>
      </c>
    </row>
    <row r="116" spans="1:75" ht="17" thickBot="1" x14ac:dyDescent="0.35">
      <c r="A116" s="462"/>
      <c r="B116" s="535"/>
      <c r="C116" s="280" t="s">
        <v>400</v>
      </c>
      <c r="D116" s="284">
        <v>1</v>
      </c>
      <c r="E116" s="307">
        <v>1</v>
      </c>
      <c r="F116" s="307">
        <v>0</v>
      </c>
      <c r="G116" s="307">
        <v>1</v>
      </c>
      <c r="H116" s="307">
        <v>0</v>
      </c>
      <c r="I116" s="307">
        <v>0</v>
      </c>
      <c r="J116" s="307">
        <v>2</v>
      </c>
      <c r="K116" s="307">
        <v>0</v>
      </c>
      <c r="L116" s="307">
        <v>0</v>
      </c>
      <c r="M116" s="307">
        <v>0</v>
      </c>
      <c r="N116" s="307">
        <v>1</v>
      </c>
      <c r="O116" s="308">
        <v>0</v>
      </c>
      <c r="P116" s="307">
        <v>0</v>
      </c>
      <c r="Q116" s="307">
        <v>0</v>
      </c>
      <c r="R116" s="307">
        <v>0</v>
      </c>
      <c r="S116" s="307">
        <v>1</v>
      </c>
      <c r="T116" s="307">
        <v>0</v>
      </c>
      <c r="U116" s="307">
        <v>0</v>
      </c>
      <c r="V116" s="307">
        <v>1</v>
      </c>
      <c r="W116" s="307">
        <v>0</v>
      </c>
      <c r="X116" s="307">
        <v>0</v>
      </c>
      <c r="Y116" s="307">
        <v>1</v>
      </c>
      <c r="Z116" s="307">
        <v>0</v>
      </c>
      <c r="AA116" s="308">
        <v>2</v>
      </c>
      <c r="AB116" s="284">
        <v>1</v>
      </c>
      <c r="AC116" s="307">
        <v>0</v>
      </c>
      <c r="AD116" s="307">
        <v>0</v>
      </c>
      <c r="AE116" s="307">
        <v>1</v>
      </c>
      <c r="AF116" s="307">
        <v>2</v>
      </c>
      <c r="AG116" s="307">
        <v>0</v>
      </c>
      <c r="AH116" s="307">
        <v>0</v>
      </c>
      <c r="AI116" s="307">
        <v>0</v>
      </c>
      <c r="AJ116" s="307">
        <v>1</v>
      </c>
      <c r="AK116" s="307">
        <v>0</v>
      </c>
      <c r="AL116" s="307">
        <v>1</v>
      </c>
      <c r="AM116" s="308">
        <v>1</v>
      </c>
      <c r="AN116" s="307">
        <v>0</v>
      </c>
      <c r="AO116" s="307">
        <v>1</v>
      </c>
      <c r="AP116" s="307">
        <v>1</v>
      </c>
      <c r="AQ116" s="307">
        <v>1</v>
      </c>
      <c r="AR116" s="307">
        <v>0</v>
      </c>
      <c r="AS116" s="307">
        <v>0</v>
      </c>
      <c r="AT116" s="307">
        <v>0</v>
      </c>
      <c r="AU116" s="307">
        <v>0</v>
      </c>
      <c r="AV116" s="307">
        <v>0</v>
      </c>
      <c r="AW116" s="307">
        <v>0</v>
      </c>
      <c r="AX116" s="307">
        <v>0</v>
      </c>
      <c r="AY116" s="308">
        <v>0</v>
      </c>
      <c r="AZ116" s="309">
        <v>0</v>
      </c>
      <c r="BA116" s="307">
        <v>0</v>
      </c>
      <c r="BB116" s="307">
        <v>0</v>
      </c>
      <c r="BC116" s="307">
        <v>0</v>
      </c>
      <c r="BD116" s="307">
        <v>0</v>
      </c>
      <c r="BE116" s="307">
        <v>0</v>
      </c>
      <c r="BF116" s="307">
        <v>0</v>
      </c>
      <c r="BG116" s="307">
        <v>1</v>
      </c>
      <c r="BH116" s="307">
        <v>0</v>
      </c>
      <c r="BI116" s="307">
        <v>0</v>
      </c>
      <c r="BJ116" s="307">
        <v>1</v>
      </c>
      <c r="BK116" s="308">
        <v>0</v>
      </c>
      <c r="BL116" s="307">
        <v>1</v>
      </c>
      <c r="BM116" s="307">
        <v>0</v>
      </c>
      <c r="BN116" s="307">
        <v>2</v>
      </c>
      <c r="BO116" s="307">
        <v>2</v>
      </c>
      <c r="BP116" s="307">
        <v>2</v>
      </c>
      <c r="BQ116" s="307">
        <v>0</v>
      </c>
      <c r="BR116" s="307">
        <v>1</v>
      </c>
      <c r="BS116" s="307">
        <v>0</v>
      </c>
      <c r="BT116" s="307">
        <v>0</v>
      </c>
      <c r="BU116" s="307">
        <v>0</v>
      </c>
      <c r="BV116" s="307">
        <v>2</v>
      </c>
      <c r="BW116" s="310">
        <v>0</v>
      </c>
    </row>
    <row r="117" spans="1:75" ht="17" thickBot="1" x14ac:dyDescent="0.35">
      <c r="A117" s="463"/>
      <c r="B117" s="536"/>
      <c r="C117" s="315" t="s">
        <v>401</v>
      </c>
      <c r="D117" s="285">
        <v>1</v>
      </c>
      <c r="E117" s="311">
        <v>1</v>
      </c>
      <c r="F117" s="311">
        <v>0</v>
      </c>
      <c r="G117" s="311">
        <v>1</v>
      </c>
      <c r="H117" s="311">
        <v>0</v>
      </c>
      <c r="I117" s="311">
        <v>0</v>
      </c>
      <c r="J117" s="311">
        <v>2</v>
      </c>
      <c r="K117" s="311">
        <v>0</v>
      </c>
      <c r="L117" s="311">
        <v>1</v>
      </c>
      <c r="M117" s="311">
        <v>0</v>
      </c>
      <c r="N117" s="311">
        <v>1</v>
      </c>
      <c r="O117" s="312">
        <v>0</v>
      </c>
      <c r="P117" s="311">
        <v>0</v>
      </c>
      <c r="Q117" s="311">
        <v>0</v>
      </c>
      <c r="R117" s="311">
        <v>0</v>
      </c>
      <c r="S117" s="311">
        <v>1</v>
      </c>
      <c r="T117" s="311">
        <v>0</v>
      </c>
      <c r="U117" s="311">
        <v>0</v>
      </c>
      <c r="V117" s="311">
        <v>1</v>
      </c>
      <c r="W117" s="311">
        <v>0</v>
      </c>
      <c r="X117" s="311">
        <v>0</v>
      </c>
      <c r="Y117" s="311">
        <v>1</v>
      </c>
      <c r="Z117" s="311">
        <v>0</v>
      </c>
      <c r="AA117" s="312">
        <v>2</v>
      </c>
      <c r="AB117" s="285">
        <v>1</v>
      </c>
      <c r="AC117" s="311">
        <v>0</v>
      </c>
      <c r="AD117" s="311">
        <v>0</v>
      </c>
      <c r="AE117" s="311">
        <v>1</v>
      </c>
      <c r="AF117" s="311">
        <v>2</v>
      </c>
      <c r="AG117" s="311">
        <v>0</v>
      </c>
      <c r="AH117" s="311">
        <v>0</v>
      </c>
      <c r="AI117" s="311">
        <v>0</v>
      </c>
      <c r="AJ117" s="311">
        <v>1</v>
      </c>
      <c r="AK117" s="311">
        <v>0</v>
      </c>
      <c r="AL117" s="311">
        <v>1</v>
      </c>
      <c r="AM117" s="312">
        <v>1</v>
      </c>
      <c r="AN117" s="311">
        <v>0</v>
      </c>
      <c r="AO117" s="311">
        <v>1</v>
      </c>
      <c r="AP117" s="311">
        <v>1</v>
      </c>
      <c r="AQ117" s="311">
        <v>1</v>
      </c>
      <c r="AR117" s="311">
        <v>0</v>
      </c>
      <c r="AS117" s="311">
        <v>0</v>
      </c>
      <c r="AT117" s="311">
        <v>0</v>
      </c>
      <c r="AU117" s="311">
        <v>0</v>
      </c>
      <c r="AV117" s="311">
        <v>0</v>
      </c>
      <c r="AW117" s="311">
        <v>0</v>
      </c>
      <c r="AX117" s="311">
        <v>0</v>
      </c>
      <c r="AY117" s="312">
        <v>0</v>
      </c>
      <c r="AZ117" s="313">
        <v>0</v>
      </c>
      <c r="BA117" s="311">
        <v>0</v>
      </c>
      <c r="BB117" s="311">
        <v>0</v>
      </c>
      <c r="BC117" s="311">
        <v>0</v>
      </c>
      <c r="BD117" s="311">
        <v>0</v>
      </c>
      <c r="BE117" s="311">
        <v>0</v>
      </c>
      <c r="BF117" s="311">
        <v>0</v>
      </c>
      <c r="BG117" s="311">
        <v>1</v>
      </c>
      <c r="BH117" s="311">
        <v>0</v>
      </c>
      <c r="BI117" s="311">
        <v>0</v>
      </c>
      <c r="BJ117" s="311">
        <v>1</v>
      </c>
      <c r="BK117" s="312">
        <v>0</v>
      </c>
      <c r="BL117" s="311">
        <v>1</v>
      </c>
      <c r="BM117" s="311">
        <v>0</v>
      </c>
      <c r="BN117" s="311">
        <v>2</v>
      </c>
      <c r="BO117" s="311">
        <v>2</v>
      </c>
      <c r="BP117" s="311">
        <v>2</v>
      </c>
      <c r="BQ117" s="311">
        <v>0</v>
      </c>
      <c r="BR117" s="311">
        <v>1</v>
      </c>
      <c r="BS117" s="311">
        <v>0</v>
      </c>
      <c r="BT117" s="311">
        <v>0</v>
      </c>
      <c r="BU117" s="311">
        <v>0</v>
      </c>
      <c r="BV117" s="311">
        <v>2</v>
      </c>
      <c r="BW117" s="314">
        <v>0</v>
      </c>
    </row>
  </sheetData>
  <mergeCells count="27">
    <mergeCell ref="A46:A117"/>
    <mergeCell ref="B4:B9"/>
    <mergeCell ref="AQ4:AR9"/>
    <mergeCell ref="B10:B15"/>
    <mergeCell ref="AS4:AT9"/>
    <mergeCell ref="D1:BW1"/>
    <mergeCell ref="D2:O2"/>
    <mergeCell ref="P2:AA2"/>
    <mergeCell ref="AB2:AM2"/>
    <mergeCell ref="AN2:AY2"/>
    <mergeCell ref="AZ2:BK2"/>
    <mergeCell ref="BL2:BW2"/>
    <mergeCell ref="BA22:BA27"/>
    <mergeCell ref="BB22:BC27"/>
    <mergeCell ref="C1:C3"/>
    <mergeCell ref="BI28:BJ33"/>
    <mergeCell ref="BK28:BL33"/>
    <mergeCell ref="AL10:AM15"/>
    <mergeCell ref="AN10:AO15"/>
    <mergeCell ref="B16:B21"/>
    <mergeCell ref="BL16:BL21"/>
    <mergeCell ref="BM16:BN21"/>
    <mergeCell ref="BJ34:BK39"/>
    <mergeCell ref="BL34:BM39"/>
    <mergeCell ref="BM40:BM45"/>
    <mergeCell ref="BN40:BO45"/>
    <mergeCell ref="A1:A45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poisson</vt:lpstr>
      <vt:lpstr>result</vt:lpstr>
      <vt:lpstr>施工期表</vt:lpstr>
      <vt:lpstr>control group</vt:lpstr>
      <vt:lpstr>align_test</vt:lpstr>
      <vt:lpstr>1_Pair</vt:lpstr>
      <vt:lpstr>2_Pair</vt:lpstr>
      <vt:lpstr>Pair_test</vt:lpstr>
      <vt:lpstr>to_panel_data</vt:lpstr>
      <vt:lpstr>to_panel_data_test</vt:lpstr>
      <vt:lpstr>總表</vt:lpstr>
      <vt:lpstr>細項總表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</dc:creator>
  <cp:lastModifiedBy>suder ch</cp:lastModifiedBy>
  <dcterms:created xsi:type="dcterms:W3CDTF">2015-06-05T18:19:34Z</dcterms:created>
  <dcterms:modified xsi:type="dcterms:W3CDTF">2026-05-20T11:11:17Z</dcterms:modified>
</cp:coreProperties>
</file>