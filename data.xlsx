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F936A603-7980-471D-A512-6E8150EFBFEA}" xr6:coauthVersionLast="47" xr6:coauthVersionMax="47" xr10:uidLastSave="{00000000-0000-0000-0000-000000000000}"/>
  <bookViews>
    <workbookView xWindow="-110" yWindow="-110" windowWidth="25820" windowHeight="15500" tabRatio="806" firstSheet="4" activeTab="4" xr2:uid="{00000000-000D-0000-FFFF-FFFF00000000}"/>
  </bookViews>
  <sheets>
    <sheet name="poisson" sheetId="35" r:id="rId1"/>
    <sheet name="施工期表" sheetId="19" r:id="rId2"/>
    <sheet name="control group" sheetId="36" r:id="rId3"/>
    <sheet name="align_test" sheetId="38" r:id="rId4"/>
    <sheet name="Pair" sheetId="20" r:id="rId5"/>
    <sheet name="to_panel_data" sheetId="33" r:id="rId6"/>
    <sheet name="to_panel_data_test" sheetId="37" r:id="rId7"/>
    <sheet name="總表" sheetId="30" r:id="rId8"/>
    <sheet name="潮州燒冷冰" sheetId="6" r:id="rId9"/>
    <sheet name="歸仁圓環" sheetId="5" r:id="rId10"/>
    <sheet name="中興新村圓環" sheetId="7" r:id="rId11"/>
    <sheet name="三多商圈圓環" sheetId="9" r:id="rId12"/>
    <sheet name="芒果圓環" sheetId="11" r:id="rId13"/>
    <sheet name="岡山圓環" sheetId="12" r:id="rId14"/>
    <sheet name="大村圓環" sheetId="13" r:id="rId15"/>
    <sheet name="內埔圓環" sheetId="32" r:id="rId16"/>
    <sheet name="南投市中心圓環" sheetId="24" r:id="rId17"/>
    <sheet name="麻豆圓環" sheetId="25" r:id="rId18"/>
    <sheet name="高雄控制組五" sheetId="28" r:id="rId19"/>
    <sheet name="高雄控制組二" sheetId="29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7" i="30" l="1"/>
  <c r="K35" i="30"/>
  <c r="K33" i="30"/>
  <c r="K75" i="30"/>
  <c r="K29" i="30"/>
  <c r="K25" i="30"/>
  <c r="K27" i="30"/>
  <c r="K31" i="30"/>
  <c r="K39" i="30"/>
  <c r="K41" i="30"/>
  <c r="K43" i="30"/>
  <c r="K45" i="30"/>
  <c r="K47" i="30"/>
  <c r="K49" i="30"/>
  <c r="K51" i="30"/>
  <c r="K53" i="30"/>
  <c r="K55" i="30"/>
  <c r="K57" i="30"/>
  <c r="K59" i="30"/>
  <c r="K61" i="30"/>
  <c r="K63" i="30"/>
  <c r="K65" i="30"/>
  <c r="K67" i="30"/>
  <c r="K69" i="30"/>
  <c r="K71" i="30"/>
  <c r="K73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<sst xmlns="http://schemas.openxmlformats.org/spreadsheetml/2006/main" count="2726" uniqueCount="366">
  <si>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</si>
  <si>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</si>
  <si>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</si>
  <si>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</si>
  <si>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</si>
  <si>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</si>
  <si>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</si>
  <si>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</si>
  <si>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</si>
  <si>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</si>
  <si>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</si>
  <si>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</si>
  <si>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</si>
  <si>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</si>
  <si>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</si>
  <si>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</si>
  <si>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</si>
  <si>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</si>
  <si>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</si>
  <si>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</si>
  <si>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</si>
  <si>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</si>
  <si>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</si>
  <si>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</si>
  <si>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</si>
  <si>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施工期間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</si>
  <si>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</si>
  <si>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</si>
  <si>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</si>
  <si>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</si>
  <si>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</si>
  <si>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</si>
  <si>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</si>
  <si>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</si>
  <si>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</si>
  <si>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圓環基本資料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</si>
  <si>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</si>
  <si>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</si>
  <si>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</si>
  <si>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</si>
  <si>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</si>
  <si>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</si>
  <si>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</si>
  <si>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</si>
  <si>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MC-MC</t>
    <phoneticPr fontId="1" type="noConversion"/>
  </si>
  <si>
    <t>MC-PC</t>
    <phoneticPr fontId="1" type="noConversion"/>
  </si>
  <si>
    <t>PC-PC</t>
    <phoneticPr fontId="1" type="noConversion"/>
  </si>
  <si>
    <t>半年總和</t>
    <phoneticPr fontId="1" type="noConversion"/>
  </si>
  <si>
    <t>年總和</t>
    <phoneticPr fontId="1" type="noConversion"/>
  </si>
  <si>
    <t>月總和</t>
    <phoneticPr fontId="1" type="noConversion"/>
  </si>
  <si>
    <t>父類別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</si>
  <si>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</si>
  <si>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</si>
  <si>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</si>
  <si>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</si>
  <si>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</si>
  <si>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</si>
  <si>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</si>
  <si>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</si>
  <si>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</si>
  <si>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</si>
  <si>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</si>
  <si>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</si>
  <si>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</si>
  <si>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</si>
  <si>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</si>
  <si>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</si>
  <si>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</si>
  <si>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</si>
  <si>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</si>
  <si>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</si>
  <si>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</si>
  <si>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</si>
  <si>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</si>
  <si>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</si>
  <si>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</si>
  <si>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</si>
  <si>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</si>
  <si>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</si>
  <si>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</si>
  <si>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</si>
  <si>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</si>
  <si>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</si>
  <si>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</si>
  <si>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</si>
  <si>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</si>
  <si>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</si>
  <si>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</si>
  <si>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</si>
  <si>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</si>
  <si>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</si>
  <si>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</si>
  <si>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</si>
  <si>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</si>
  <si>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</si>
  <si>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</si>
  <si>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</si>
  <si>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</si>
  <si>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</si>
  <si>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</si>
  <si>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</si>
  <si>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</si>
  <si>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</si>
  <si>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</si>
  <si>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</si>
  <si>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</si>
  <si>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</si>
  <si>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</si>
  <si>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</si>
  <si>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</si>
  <si>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</si>
  <si>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</si>
  <si>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</si>
  <si>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</si>
  <si>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</si>
  <si>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</si>
  <si>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</si>
  <si>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</si>
  <si>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</si>
  <si>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</si>
  <si>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</si>
  <si>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</si>
  <si>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</si>
  <si>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</si>
  <si>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</si>
  <si>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</si>
  <si>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</si>
  <si>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</si>
  <si>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</si>
  <si>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</si>
  <si>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</si>
  <si>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</si>
  <si>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</si>
  <si>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</si>
  <si>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</si>
  <si>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</si>
  <si>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</si>
  <si>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</si>
  <si>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</si>
  <si>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</si>
  <si>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</si>
  <si>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</si>
  <si>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</si>
  <si>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</si>
  <si>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</si>
  <si>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</si>
  <si>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</si>
  <si>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</si>
  <si>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</si>
  <si>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</si>
  <si>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</si>
  <si>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</si>
  <si>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</si>
  <si>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</si>
  <si>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</si>
  <si>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</si>
  <si>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</si>
  <si>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</si>
  <si>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</si>
  <si>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</si>
  <si>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</si>
  <si>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</si>
  <si>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</si>
  <si>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</si>
  <si>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</si>
  <si>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</si>
  <si>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</si>
  <si>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</si>
  <si>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</si>
  <si>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</si>
  <si>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</si>
  <si>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</si>
  <si>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</si>
  <si>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</si>
  <si>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5. 麻豆圓環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</si>
  <si>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</si>
  <si>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</si>
  <si>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</si>
  <si>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</si>
  <si>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</si>
  <si>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</si>
  <si>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</si>
  <si>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</si>
  <si>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</si>
  <si>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</si>
  <si>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</si>
  <si>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</si>
  <si>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</si>
  <si>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</si>
  <si>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</si>
  <si>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</si>
  <si>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</si>
  <si>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</si>
  <si>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</si>
  <si>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</si>
  <si>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</si>
  <si>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</si>
  <si>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</si>
  <si>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</si>
  <si>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</si>
  <si>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</si>
  <si>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</si>
  <si>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</si>
  <si>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</si>
  <si>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</si>
  <si>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</si>
  <si>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</si>
  <si>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</si>
  <si>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</si>
  <si>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</si>
  <si>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</si>
  <si>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</si>
  <si>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</si>
  <si>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</si>
  <si>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</si>
  <si>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</si>
  <si>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</si>
  <si>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</si>
  <si>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</si>
  <si>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</si>
  <si>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</si>
  <si>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</si>
  <si>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</si>
  <si>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</si>
  <si>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</si>
  <si>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</si>
  <si>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</si>
  <si>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</si>
  <si>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</si>
  <si>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</si>
  <si>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</si>
  <si>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</si>
  <si>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</si>
  <si>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</si>
  <si>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</si>
  <si>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</si>
  <si>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</si>
  <si>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</si>
  <si>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</si>
  <si>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</si>
  <si>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</si>
  <si>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</si>
  <si>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</si>
  <si>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</si>
  <si>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</si>
  <si>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</si>
  <si>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</si>
  <si>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</si>
  <si>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</si>
  <si>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</si>
  <si>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</si>
  <si>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</si>
  <si>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</si>
  <si>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</si>
  <si>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</si>
  <si>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</si>
  <si>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</si>
  <si>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</si>
  <si>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</si>
  <si>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</si>
  <si>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</si>
  <si>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</si>
  <si>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</si>
  <si>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</si>
  <si>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</si>
  <si>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</si>
  <si>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</si>
  <si>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</si>
  <si>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</si>
  <si>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</si>
  <si>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</si>
  <si>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</si>
  <si>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</si>
  <si>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</si>
  <si>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</si>
  <si>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</si>
  <si>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</si>
  <si>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</si>
  <si>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</si>
  <si>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</si>
  <si>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</si>
  <si>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</si>
  <si>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</si>
  <si>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</si>
  <si>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</si>
  <si>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</si>
  <si>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</si>
  <si>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</si>
  <si>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</si>
  <si>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</si>
  <si>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</si>
  <si>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</si>
  <si>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</si>
  <si>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</si>
  <si>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</si>
  <si>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</si>
  <si>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</si>
  <si>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</si>
  <si>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</si>
  <si>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</si>
  <si>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</si>
  <si>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</si>
  <si>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</si>
  <si>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</si>
  <si>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</si>
  <si>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</si>
  <si>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</si>
  <si>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</si>
  <si>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</si>
  <si>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</si>
  <si>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</si>
  <si>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</si>
  <si>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</si>
  <si>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</si>
  <si>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</si>
  <si>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</si>
  <si>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</si>
  <si>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</si>
  <si>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</si>
  <si>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</si>
  <si>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</si>
  <si>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</si>
  <si>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</si>
  <si>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</si>
  <si>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</si>
  <si>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</si>
  <si>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</si>
  <si>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</si>
  <si>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</si>
  <si>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</si>
  <si>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</si>
  <si>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</si>
  <si>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</si>
  <si>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</si>
  <si>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</si>
  <si>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</si>
  <si>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pair_id</t>
  </si>
  <si>
    <t>treated</t>
  </si>
  <si>
    <t>scale</t>
  </si>
  <si>
    <t>n_pre_bins</t>
  </si>
  <si>
    <t>slope_control</t>
  </si>
  <si>
    <t>slope_treated</t>
  </si>
  <si>
    <t>standardized_slope_diff</t>
  </si>
  <si>
    <t>slope_direction</t>
  </si>
  <si>
    <t>p_value</t>
  </si>
  <si>
    <t>p_status</t>
  </si>
  <si>
    <t>slope_status</t>
  </si>
  <si>
    <t>final_status</t>
  </si>
  <si>
    <t>opposite_direction</t>
  </si>
  <si>
    <t>ok</t>
  </si>
  <si>
    <t>very_small</t>
  </si>
  <si>
    <t>marginal</t>
  </si>
  <si>
    <t>same_direction</t>
  </si>
  <si>
    <t>acceptable</t>
  </si>
  <si>
    <t>large</t>
  </si>
  <si>
    <t>concern</t>
  </si>
  <si>
    <t>slope_direction</t>
    <phoneticPr fontId="1" type="noConversion"/>
  </si>
  <si>
    <t>treated site =潮州燒冷冰</t>
    <phoneticPr fontId="1" type="noConversion"/>
  </si>
  <si>
    <t>exclude</t>
    <phoneticPr fontId="1" type="noConversion"/>
  </si>
  <si>
    <t>standardized_slope_diff</t>
    <phoneticPr fontId="1" type="noConversion"/>
  </si>
  <si>
    <t>ok</t>
    <phoneticPr fontId="1" type="noConversion"/>
  </si>
  <si>
    <t>assist_status</t>
    <phoneticPr fontId="1" type="noConversion"/>
  </si>
  <si>
    <t>pre_mean_treated</t>
  </si>
  <si>
    <t>pre_mean_control</t>
  </si>
  <si>
    <t>standardized_slope_control</t>
  </si>
  <si>
    <t>standardized_slope_treated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</si>
</sst>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81" formatCode="0.000"/>
  </numFmts>
  <fonts count="11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NSimSun"/>
      <family val="3"/>
      <charset val="134"/>
    </font>
    <font>
      <b/>
      <sz val="11"/>
      <color theme="1"/>
      <name val="NSimSun"/>
      <family val="3"/>
      <charset val="134"/>
    </font>
    <font>
      <sz val="11"/>
      <color theme="1"/>
      <name val="新細明體"/>
      <family val="3"/>
      <charset val="136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1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6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9" borderId="0" xfId="0" applyFont="1" applyFill="1" applyBorder="1" applyAlignment="1">
      <alignment horizontal="right" vertical="center"/>
    </xf>
    <xf numFmtId="0" fontId="2" fillId="9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9" borderId="46" xfId="0" applyFont="1" applyFill="1" applyBorder="1" applyAlignment="1">
      <alignment horizontal="right" vertical="center"/>
    </xf>
    <xf numFmtId="0" fontId="2" fillId="9" borderId="39" xfId="0" applyFont="1" applyFill="1" applyBorder="1" applyAlignment="1">
      <alignment horizontal="right" vertical="center"/>
    </xf>
    <xf numFmtId="0" fontId="2" fillId="9" borderId="46" xfId="0" applyFont="1" applyFill="1" applyBorder="1" applyAlignment="1">
      <alignment horizontal="right"/>
    </xf>
    <xf numFmtId="0" fontId="2" fillId="9" borderId="39" xfId="0" applyFont="1" applyFill="1" applyBorder="1" applyAlignment="1">
      <alignment horizontal="right"/>
    </xf>
    <xf numFmtId="0" fontId="2" fillId="9" borderId="47" xfId="0" applyFont="1" applyFill="1" applyBorder="1" applyAlignment="1">
      <alignment horizontal="right"/>
    </xf>
    <xf numFmtId="0" fontId="2" fillId="9" borderId="53" xfId="0" applyFont="1" applyFill="1" applyBorder="1" applyAlignment="1">
      <alignment horizontal="right" vertical="center"/>
    </xf>
    <xf numFmtId="0" fontId="2" fillId="9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8" borderId="46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6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7" xfId="0" applyFont="1" applyFill="1" applyBorder="1" applyAlignment="1">
      <alignment horizontal="right"/>
    </xf>
    <xf numFmtId="0" fontId="2" fillId="8" borderId="46" xfId="0" applyFont="1" applyFill="1" applyBorder="1" applyAlignment="1">
      <alignment vertical="center"/>
    </xf>
    <xf numFmtId="0" fontId="2" fillId="8" borderId="39" xfId="0" applyFont="1" applyFill="1" applyBorder="1" applyAlignment="1">
      <alignment vertical="center"/>
    </xf>
    <xf numFmtId="0" fontId="2" fillId="8" borderId="47" xfId="0" applyFont="1" applyFill="1" applyBorder="1" applyAlignment="1">
      <alignment vertical="center"/>
    </xf>
    <xf numFmtId="0" fontId="2" fillId="8" borderId="47" xfId="0" applyFont="1" applyFill="1" applyBorder="1" applyAlignment="1">
      <alignment horizontal="right" vertical="center"/>
    </xf>
    <xf numFmtId="0" fontId="2" fillId="9" borderId="54" xfId="0" applyFont="1" applyFill="1" applyBorder="1" applyAlignment="1">
      <alignment horizontal="right" vertical="center"/>
    </xf>
    <xf numFmtId="0" fontId="2" fillId="8" borderId="54" xfId="0" applyFont="1" applyFill="1" applyBorder="1" applyAlignment="1">
      <alignment horizontal="right" vertical="center"/>
    </xf>
    <xf numFmtId="0" fontId="2" fillId="8" borderId="48" xfId="0" applyFont="1" applyFill="1" applyBorder="1" applyAlignment="1">
      <alignment horizontal="right"/>
    </xf>
    <xf numFmtId="0" fontId="2" fillId="8" borderId="54" xfId="0" applyFont="1" applyFill="1" applyBorder="1" applyAlignment="1">
      <alignment vertical="center"/>
    </xf>
    <xf numFmtId="0" fontId="2" fillId="8" borderId="48" xfId="0" applyFont="1" applyFill="1" applyBorder="1" applyAlignment="1">
      <alignment vertical="center"/>
    </xf>
    <xf numFmtId="0" fontId="2" fillId="9" borderId="52" xfId="0" applyFont="1" applyFill="1" applyBorder="1" applyAlignment="1">
      <alignment horizontal="right" vertical="center"/>
    </xf>
    <xf numFmtId="0" fontId="2" fillId="9" borderId="31" xfId="0" applyFont="1" applyFill="1" applyBorder="1" applyAlignment="1">
      <alignment horizontal="right"/>
    </xf>
    <xf numFmtId="0" fontId="2" fillId="8" borderId="57" xfId="0" applyFont="1" applyFill="1" applyBorder="1" applyAlignment="1">
      <alignment horizontal="center" vertical="center"/>
    </xf>
    <xf numFmtId="0" fontId="2" fillId="8" borderId="59" xfId="0" applyFont="1" applyFill="1" applyBorder="1" applyAlignment="1">
      <alignment vertical="center"/>
    </xf>
    <xf numFmtId="0" fontId="2" fillId="8" borderId="60" xfId="0" applyFont="1" applyFill="1" applyBorder="1" applyAlignment="1">
      <alignment vertical="center"/>
    </xf>
    <xf numFmtId="0" fontId="2" fillId="8" borderId="61" xfId="0" applyFont="1" applyFill="1" applyBorder="1" applyAlignment="1">
      <alignment vertical="center"/>
    </xf>
    <xf numFmtId="0" fontId="2" fillId="8" borderId="50" xfId="0" applyFont="1" applyFill="1" applyBorder="1" applyAlignment="1">
      <alignment vertical="center"/>
    </xf>
    <xf numFmtId="0" fontId="2" fillId="7" borderId="16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8" xfId="0" applyFont="1" applyBorder="1"/>
    <xf numFmtId="0" fontId="2" fillId="0" borderId="71" xfId="0" applyFont="1" applyBorder="1" applyAlignment="1">
      <alignment horizontal="center" vertical="center"/>
    </xf>
    <xf numFmtId="0" fontId="2" fillId="0" borderId="32" xfId="0" applyFont="1" applyBorder="1"/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7" borderId="16" xfId="0" applyFont="1" applyFill="1" applyBorder="1" applyAlignment="1">
      <alignment horizontal="center"/>
    </xf>
    <xf numFmtId="0" fontId="2" fillId="8" borderId="73" xfId="0" applyFont="1" applyFill="1" applyBorder="1" applyAlignment="1">
      <alignment vertical="center"/>
    </xf>
    <xf numFmtId="0" fontId="2" fillId="8" borderId="55" xfId="0" applyFont="1" applyFill="1" applyBorder="1" applyAlignment="1">
      <alignment vertical="center"/>
    </xf>
    <xf numFmtId="0" fontId="2" fillId="8" borderId="53" xfId="0" applyFont="1" applyFill="1" applyBorder="1" applyAlignment="1">
      <alignment vertical="center"/>
    </xf>
    <xf numFmtId="0" fontId="2" fillId="8" borderId="19" xfId="0" applyFont="1" applyFill="1" applyBorder="1" applyAlignment="1">
      <alignment vertical="center"/>
    </xf>
    <xf numFmtId="0" fontId="2" fillId="8" borderId="52" xfId="0" applyFont="1" applyFill="1" applyBorder="1" applyAlignment="1">
      <alignment vertical="center"/>
    </xf>
    <xf numFmtId="0" fontId="2" fillId="8" borderId="56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62" xfId="0" applyFont="1" applyFill="1" applyBorder="1" applyAlignment="1">
      <alignment vertical="center"/>
    </xf>
    <xf numFmtId="0" fontId="2" fillId="7" borderId="75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0" borderId="72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8" xfId="0" applyFont="1" applyBorder="1" applyAlignment="1">
      <alignment horizontal="right" vertical="center"/>
    </xf>
    <xf numFmtId="0" fontId="2" fillId="0" borderId="51" xfId="0" applyFont="1" applyBorder="1" applyAlignment="1">
      <alignment horizontal="right" vertical="center"/>
    </xf>
    <xf numFmtId="0" fontId="2" fillId="0" borderId="51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/>
    </xf>
    <xf numFmtId="0" fontId="2" fillId="0" borderId="51" xfId="0" applyFont="1" applyBorder="1"/>
    <xf numFmtId="0" fontId="2" fillId="0" borderId="79" xfId="0" applyFont="1" applyBorder="1"/>
    <xf numFmtId="0" fontId="2" fillId="0" borderId="79" xfId="0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6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2" fillId="0" borderId="51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7" borderId="39" xfId="0" applyFont="1" applyFill="1" applyBorder="1" applyAlignment="1"/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8" xfId="0" applyFont="1" applyBorder="1" applyAlignment="1">
      <alignment horizontal="right" vertical="center"/>
    </xf>
    <xf numFmtId="0" fontId="2" fillId="2" borderId="57" xfId="0" applyFont="1" applyFill="1" applyBorder="1" applyAlignment="1">
      <alignment vertical="center"/>
    </xf>
    <xf numFmtId="0" fontId="2" fillId="9" borderId="48" xfId="0" applyFont="1" applyFill="1" applyBorder="1" applyAlignment="1">
      <alignment horizontal="right"/>
    </xf>
    <xf numFmtId="0" fontId="2" fillId="0" borderId="0" xfId="0" applyFont="1" applyFill="1" applyBorder="1" applyAlignment="1">
      <alignment horizontal="right"/>
    </xf>
    <xf numFmtId="0" fontId="2" fillId="6" borderId="35" xfId="0" applyFont="1" applyFill="1" applyBorder="1"/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8" xfId="0" applyFont="1" applyBorder="1" applyAlignment="1">
      <alignment horizontal="right"/>
    </xf>
    <xf numFmtId="0" fontId="2" fillId="10" borderId="35" xfId="0" applyFont="1" applyFill="1" applyBorder="1"/>
    <xf numFmtId="0" fontId="2" fillId="10" borderId="35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0" borderId="35" xfId="0" applyNumberFormat="1" applyFont="1" applyFill="1" applyBorder="1"/>
    <xf numFmtId="176" fontId="2" fillId="10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10" borderId="93" xfId="0" applyNumberFormat="1" applyFont="1" applyFill="1" applyBorder="1"/>
    <xf numFmtId="176" fontId="2" fillId="0" borderId="93" xfId="0" applyNumberFormat="1" applyFont="1" applyBorder="1"/>
    <xf numFmtId="176" fontId="2" fillId="10" borderId="92" xfId="0" applyNumberFormat="1" applyFont="1" applyFill="1" applyBorder="1"/>
    <xf numFmtId="176" fontId="2" fillId="0" borderId="92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70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8" xfId="0" applyFont="1" applyBorder="1"/>
    <xf numFmtId="0" fontId="2" fillId="0" borderId="75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8" xfId="0" applyFont="1" applyFill="1" applyBorder="1" applyAlignment="1">
      <alignment horizontal="right" vertical="center"/>
    </xf>
    <xf numFmtId="0" fontId="2" fillId="0" borderId="75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8" xfId="0" applyFont="1" applyBorder="1" applyAlignment="1">
      <alignment horizontal="right"/>
    </xf>
    <xf numFmtId="0" fontId="2" fillId="0" borderId="62" xfId="0" applyFont="1" applyFill="1" applyBorder="1" applyAlignment="1">
      <alignment vertical="center"/>
    </xf>
    <xf numFmtId="0" fontId="2" fillId="0" borderId="51" xfId="0" applyFont="1" applyFill="1" applyBorder="1" applyAlignment="1">
      <alignment vertical="center"/>
    </xf>
    <xf numFmtId="0" fontId="2" fillId="0" borderId="43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4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9" borderId="78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 vertical="center"/>
    </xf>
    <xf numFmtId="0" fontId="2" fillId="9" borderId="43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/>
    </xf>
    <xf numFmtId="0" fontId="2" fillId="9" borderId="43" xfId="0" applyFont="1" applyFill="1" applyBorder="1" applyAlignment="1">
      <alignment horizontal="right"/>
    </xf>
    <xf numFmtId="0" fontId="2" fillId="9" borderId="62" xfId="0" applyFont="1" applyFill="1" applyBorder="1" applyAlignment="1">
      <alignment horizontal="right"/>
    </xf>
    <xf numFmtId="0" fontId="2" fillId="9" borderId="2" xfId="0" applyFont="1" applyFill="1" applyBorder="1" applyAlignment="1">
      <alignment horizontal="right" vertical="center"/>
    </xf>
    <xf numFmtId="0" fontId="2" fillId="5" borderId="58" xfId="0" applyFont="1" applyFill="1" applyBorder="1" applyAlignment="1">
      <alignment vertical="center"/>
    </xf>
    <xf numFmtId="0" fontId="2" fillId="6" borderId="58" xfId="0" applyFont="1" applyFill="1" applyBorder="1" applyAlignment="1">
      <alignment vertical="center"/>
    </xf>
    <xf numFmtId="0" fontId="2" fillId="9" borderId="2" xfId="0" applyFont="1" applyFill="1" applyBorder="1" applyAlignment="1">
      <alignment horizontal="right"/>
    </xf>
    <xf numFmtId="0" fontId="2" fillId="9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right" vertical="center"/>
    </xf>
    <xf numFmtId="0" fontId="2" fillId="9" borderId="74" xfId="0" applyFont="1" applyFill="1" applyBorder="1" applyAlignment="1">
      <alignment horizontal="right" vertical="center"/>
    </xf>
    <xf numFmtId="0" fontId="2" fillId="9" borderId="81" xfId="0" applyFont="1" applyFill="1" applyBorder="1" applyAlignment="1">
      <alignment horizontal="right" vertical="center"/>
    </xf>
    <xf numFmtId="0" fontId="2" fillId="9" borderId="74" xfId="0" applyFont="1" applyFill="1" applyBorder="1" applyAlignment="1">
      <alignment horizontal="right"/>
    </xf>
    <xf numFmtId="0" fontId="2" fillId="9" borderId="81" xfId="0" applyFont="1" applyFill="1" applyBorder="1" applyAlignment="1">
      <alignment horizontal="right"/>
    </xf>
    <xf numFmtId="0" fontId="2" fillId="9" borderId="76" xfId="0" applyFont="1" applyFill="1" applyBorder="1" applyAlignment="1">
      <alignment horizontal="right"/>
    </xf>
    <xf numFmtId="0" fontId="2" fillId="9" borderId="14" xfId="0" applyFont="1" applyFill="1" applyBorder="1" applyAlignment="1">
      <alignment horizontal="right" vertical="center"/>
    </xf>
    <xf numFmtId="0" fontId="2" fillId="9" borderId="58" xfId="0" applyFont="1" applyFill="1" applyBorder="1" applyAlignment="1">
      <alignment horizontal="right" vertical="center"/>
    </xf>
    <xf numFmtId="0" fontId="2" fillId="9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2" borderId="93" xfId="0" applyNumberFormat="1" applyFont="1" applyFill="1" applyBorder="1"/>
    <xf numFmtId="0" fontId="2" fillId="8" borderId="5" xfId="0" applyFont="1" applyFill="1" applyBorder="1" applyAlignment="1">
      <alignment horizontal="center" vertical="center"/>
    </xf>
    <xf numFmtId="0" fontId="0" fillId="0" borderId="0" xfId="0" applyFill="1"/>
    <xf numFmtId="0" fontId="2" fillId="10" borderId="93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7" borderId="47" xfId="0" applyFont="1" applyFill="1" applyBorder="1" applyAlignment="1"/>
    <xf numFmtId="0" fontId="2" fillId="7" borderId="46" xfId="0" applyFont="1" applyFill="1" applyBorder="1" applyAlignment="1"/>
    <xf numFmtId="0" fontId="4" fillId="13" borderId="35" xfId="0" applyFont="1" applyFill="1" applyBorder="1"/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7" xfId="0" applyFont="1" applyFill="1" applyBorder="1"/>
    <xf numFmtId="0" fontId="2" fillId="0" borderId="77" xfId="0" applyFont="1" applyBorder="1" applyAlignment="1">
      <alignment horizontal="center" vertical="center"/>
    </xf>
    <xf numFmtId="0" fontId="2" fillId="0" borderId="100" xfId="0" applyFont="1" applyBorder="1"/>
    <xf numFmtId="0" fontId="2" fillId="0" borderId="99" xfId="0" applyFont="1" applyBorder="1" applyAlignment="1">
      <alignment horizontal="center" vertical="center"/>
    </xf>
    <xf numFmtId="0" fontId="2" fillId="0" borderId="103" xfId="0" applyFont="1" applyBorder="1" applyAlignment="1">
      <alignment horizontal="right" vertical="center"/>
    </xf>
    <xf numFmtId="0" fontId="2" fillId="0" borderId="104" xfId="0" applyFont="1" applyBorder="1" applyAlignment="1">
      <alignment horizontal="right" vertical="center"/>
    </xf>
    <xf numFmtId="0" fontId="2" fillId="0" borderId="103" xfId="0" applyFont="1" applyFill="1" applyBorder="1" applyAlignment="1">
      <alignment horizontal="right" vertical="center"/>
    </xf>
    <xf numFmtId="0" fontId="2" fillId="0" borderId="104" xfId="0" applyFont="1" applyFill="1" applyBorder="1" applyAlignment="1">
      <alignment horizontal="right" vertical="center"/>
    </xf>
    <xf numFmtId="0" fontId="2" fillId="0" borderId="99" xfId="0" applyFont="1" applyFill="1" applyBorder="1" applyAlignment="1">
      <alignment horizontal="right" vertical="center"/>
    </xf>
    <xf numFmtId="0" fontId="2" fillId="0" borderId="103" xfId="0" applyFont="1" applyBorder="1" applyAlignment="1">
      <alignment vertical="center"/>
    </xf>
    <xf numFmtId="0" fontId="2" fillId="0" borderId="104" xfId="0" applyFont="1" applyBorder="1" applyAlignment="1">
      <alignment vertical="center"/>
    </xf>
    <xf numFmtId="0" fontId="2" fillId="0" borderId="105" xfId="0" applyFont="1" applyBorder="1" applyAlignment="1">
      <alignment vertical="center"/>
    </xf>
    <xf numFmtId="0" fontId="2" fillId="0" borderId="108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04" xfId="0" applyFont="1" applyFill="1" applyBorder="1" applyAlignment="1">
      <alignment horizontal="right"/>
    </xf>
    <xf numFmtId="0" fontId="2" fillId="0" borderId="109" xfId="0" applyFont="1" applyFill="1" applyBorder="1" applyAlignment="1">
      <alignment horizontal="right"/>
    </xf>
    <xf numFmtId="0" fontId="2" fillId="2" borderId="111" xfId="0" applyFont="1" applyFill="1" applyBorder="1" applyAlignment="1">
      <alignment horizontal="center"/>
    </xf>
    <xf numFmtId="0" fontId="2" fillId="2" borderId="111" xfId="0" applyFont="1" applyFill="1" applyBorder="1" applyAlignment="1">
      <alignment horizontal="center" vertical="center"/>
    </xf>
    <xf numFmtId="0" fontId="2" fillId="2" borderId="112" xfId="0" applyFont="1" applyFill="1" applyBorder="1" applyAlignment="1">
      <alignment horizontal="center" vertical="center"/>
    </xf>
    <xf numFmtId="0" fontId="2" fillId="2" borderId="96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" fillId="0" borderId="3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8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9" borderId="32" xfId="0" applyFont="1" applyFill="1" applyBorder="1" applyAlignment="1">
      <alignment horizontal="center" vertical="center"/>
    </xf>
    <xf numFmtId="0" fontId="2" fillId="9" borderId="95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70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2" fillId="0" borderId="87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9" borderId="99" xfId="0" applyFont="1" applyFill="1" applyBorder="1" applyAlignment="1">
      <alignment horizontal="center" vertical="center"/>
    </xf>
    <xf numFmtId="0" fontId="2" fillId="9" borderId="48" xfId="0" applyFont="1" applyFill="1" applyBorder="1" applyAlignment="1">
      <alignment horizontal="center" vertical="center"/>
    </xf>
    <xf numFmtId="0" fontId="2" fillId="0" borderId="101" xfId="0" applyFont="1" applyBorder="1" applyAlignment="1">
      <alignment horizontal="center" vertical="center"/>
    </xf>
    <xf numFmtId="0" fontId="2" fillId="0" borderId="102" xfId="0" applyFont="1" applyBorder="1" applyAlignment="1">
      <alignment horizontal="center" vertical="center"/>
    </xf>
    <xf numFmtId="0" fontId="0" fillId="2" borderId="83" xfId="0" applyFill="1" applyBorder="1" applyAlignment="1">
      <alignment horizontal="center"/>
    </xf>
    <xf numFmtId="0" fontId="0" fillId="2" borderId="84" xfId="0" applyFill="1" applyBorder="1" applyAlignment="1">
      <alignment horizontal="center"/>
    </xf>
    <xf numFmtId="0" fontId="0" fillId="2" borderId="88" xfId="0" applyFill="1" applyBorder="1" applyAlignment="1">
      <alignment horizontal="center"/>
    </xf>
    <xf numFmtId="0" fontId="0" fillId="2" borderId="1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7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9" borderId="75" xfId="0" applyFont="1" applyFill="1" applyBorder="1" applyAlignment="1">
      <alignment horizontal="center" vertical="center"/>
    </xf>
    <xf numFmtId="0" fontId="2" fillId="6" borderId="107" xfId="0" applyFont="1" applyFill="1" applyBorder="1" applyAlignment="1">
      <alignment horizontal="center" vertical="center"/>
    </xf>
    <xf numFmtId="0" fontId="2" fillId="6" borderId="106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5" borderId="84" xfId="0" applyFont="1" applyFill="1" applyBorder="1" applyAlignment="1">
      <alignment horizontal="center" vertical="center"/>
    </xf>
    <xf numFmtId="0" fontId="2" fillId="5" borderId="10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0" borderId="60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5" borderId="36" xfId="0" applyFont="1" applyFill="1" applyBorder="1" applyAlignment="1">
      <alignment horizontal="center" vertical="center"/>
    </xf>
    <xf numFmtId="0" fontId="2" fillId="5" borderId="94" xfId="0" applyFont="1" applyFill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/>
    </xf>
    <xf numFmtId="0" fontId="2" fillId="5" borderId="34" xfId="0" applyFont="1" applyFill="1" applyBorder="1" applyAlignment="1">
      <alignment horizontal="center" vertical="center"/>
    </xf>
    <xf numFmtId="0" fontId="2" fillId="0" borderId="80" xfId="0" applyFont="1" applyBorder="1" applyAlignment="1">
      <alignment horizontal="center"/>
    </xf>
    <xf numFmtId="0" fontId="2" fillId="0" borderId="30" xfId="0" applyFont="1" applyFill="1" applyBorder="1" applyAlignment="1">
      <alignment horizontal="center" vertical="center"/>
    </xf>
    <xf numFmtId="0" fontId="2" fillId="0" borderId="63" xfId="0" applyFont="1" applyFill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68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7" xfId="0" applyFont="1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7" borderId="35" xfId="0" applyFont="1" applyFill="1" applyBorder="1" applyAlignment="1">
      <alignment horizontal="center"/>
    </xf>
    <xf numFmtId="0" fontId="2" fillId="7" borderId="47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7" borderId="42" xfId="0" applyFont="1" applyFill="1" applyBorder="1" applyAlignment="1">
      <alignment horizontal="center"/>
    </xf>
    <xf numFmtId="0" fontId="2" fillId="7" borderId="62" xfId="0" applyFont="1" applyFill="1" applyBorder="1" applyAlignment="1">
      <alignment horizontal="center" vertical="center"/>
    </xf>
    <xf numFmtId="0" fontId="2" fillId="7" borderId="51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4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6" borderId="52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2" fillId="6" borderId="76" xfId="0" applyFont="1" applyFill="1" applyBorder="1" applyAlignment="1">
      <alignment horizontal="center" vertical="center"/>
    </xf>
    <xf numFmtId="0" fontId="2" fillId="6" borderId="81" xfId="0" applyFont="1" applyFill="1" applyBorder="1" applyAlignment="1">
      <alignment horizontal="center" vertical="center"/>
    </xf>
    <xf numFmtId="0" fontId="2" fillId="5" borderId="52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76" xfId="0" applyFont="1" applyFill="1" applyBorder="1" applyAlignment="1">
      <alignment horizontal="center" vertical="center"/>
    </xf>
    <xf numFmtId="0" fontId="2" fillId="5" borderId="81" xfId="0" applyFont="1" applyFill="1" applyBorder="1" applyAlignment="1">
      <alignment horizontal="center" vertical="center"/>
    </xf>
    <xf numFmtId="0" fontId="2" fillId="7" borderId="75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91" xfId="0" applyFont="1" applyFill="1" applyBorder="1" applyAlignment="1">
      <alignment horizontal="center" vertical="center"/>
    </xf>
    <xf numFmtId="0" fontId="2" fillId="5" borderId="74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74" xfId="0" applyFont="1" applyFill="1" applyBorder="1" applyAlignment="1">
      <alignment horizontal="center" vertical="center"/>
    </xf>
    <xf numFmtId="0" fontId="2" fillId="7" borderId="76" xfId="0" applyFont="1" applyFill="1" applyBorder="1" applyAlignment="1">
      <alignment horizontal="center"/>
    </xf>
    <xf numFmtId="0" fontId="2" fillId="7" borderId="74" xfId="0" applyFont="1" applyFill="1" applyBorder="1" applyAlignment="1">
      <alignment horizontal="center"/>
    </xf>
    <xf numFmtId="0" fontId="2" fillId="7" borderId="81" xfId="0" applyFont="1" applyFill="1" applyBorder="1" applyAlignment="1">
      <alignment horizontal="center"/>
    </xf>
    <xf numFmtId="0" fontId="2" fillId="5" borderId="90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0" fontId="2" fillId="3" borderId="9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4" xfId="0" applyFont="1" applyFill="1" applyBorder="1" applyAlignment="1">
      <alignment horizontal="center" vertical="center"/>
    </xf>
    <xf numFmtId="181" fontId="2" fillId="0" borderId="104" xfId="0" applyNumberFormat="1" applyFont="1" applyBorder="1" applyAlignment="1">
      <alignment horizontal="center" vertical="center"/>
    </xf>
    <xf numFmtId="181" fontId="2" fillId="0" borderId="12" xfId="0" applyNumberFormat="1" applyFont="1" applyBorder="1" applyAlignment="1">
      <alignment horizontal="center" vertical="center"/>
    </xf>
    <xf numFmtId="181" fontId="2" fillId="0" borderId="0" xfId="0" applyNumberFormat="1" applyFont="1" applyBorder="1" applyAlignment="1">
      <alignment horizontal="center" vertical="center"/>
    </xf>
    <xf numFmtId="181" fontId="2" fillId="0" borderId="60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181" fontId="2" fillId="0" borderId="86" xfId="0" applyNumberFormat="1" applyFont="1" applyBorder="1" applyAlignment="1">
      <alignment horizontal="center" vertical="center"/>
    </xf>
    <xf numFmtId="181" fontId="2" fillId="0" borderId="74" xfId="0" applyNumberFormat="1" applyFont="1" applyBorder="1" applyAlignment="1">
      <alignment horizontal="center" vertical="center"/>
    </xf>
    <xf numFmtId="181" fontId="2" fillId="0" borderId="5" xfId="0" applyNumberFormat="1" applyFont="1" applyBorder="1" applyAlignment="1">
      <alignment horizontal="center" vertical="center"/>
    </xf>
    <xf numFmtId="181" fontId="2" fillId="0" borderId="7" xfId="0" applyNumberFormat="1" applyFont="1" applyBorder="1" applyAlignment="1">
      <alignment horizontal="center" vertical="center"/>
    </xf>
    <xf numFmtId="0" fontId="3" fillId="0" borderId="113" xfId="0" applyFont="1" applyBorder="1" applyAlignment="1">
      <alignment horizontal="center" vertical="center"/>
    </xf>
    <xf numFmtId="0" fontId="3" fillId="0" borderId="93" xfId="0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9" borderId="75" xfId="0" applyFont="1" applyFill="1" applyBorder="1" applyAlignment="1">
      <alignment horizontal="right"/>
    </xf>
    <xf numFmtId="0" fontId="2" fillId="9" borderId="16" xfId="0" applyFont="1" applyFill="1" applyBorder="1" applyAlignment="1">
      <alignment horizontal="right" vertical="center"/>
    </xf>
    <xf numFmtId="0" fontId="2" fillId="9" borderId="17" xfId="0" applyFont="1" applyFill="1" applyBorder="1" applyAlignment="1">
      <alignment horizontal="right" vertical="center"/>
    </xf>
    <xf numFmtId="0" fontId="2" fillId="9" borderId="114" xfId="0" applyFont="1" applyFill="1" applyBorder="1" applyAlignment="1">
      <alignment horizontal="right" vertical="center"/>
    </xf>
    <xf numFmtId="0" fontId="2" fillId="9" borderId="17" xfId="0" applyFont="1" applyFill="1" applyBorder="1" applyAlignment="1">
      <alignment horizontal="right"/>
    </xf>
    <xf numFmtId="0" fontId="2" fillId="9" borderId="114" xfId="0" applyFont="1" applyFill="1" applyBorder="1" applyAlignment="1">
      <alignment horizontal="right"/>
    </xf>
    <xf numFmtId="0" fontId="2" fillId="9" borderId="115" xfId="0" applyFont="1" applyFill="1" applyBorder="1" applyAlignment="1">
      <alignment horizontal="right"/>
    </xf>
    <xf numFmtId="0" fontId="2" fillId="9" borderId="18" xfId="0" applyFont="1" applyFill="1" applyBorder="1" applyAlignment="1">
      <alignment horizontal="right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left" vertical="center" wrapText="1"/>
    </xf>
    <xf numFmtId="0" fontId="8" fillId="0" borderId="35" xfId="0" applyFont="1" applyBorder="1" applyAlignment="1">
      <alignment horizontal="lef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42" xfId="0" applyFont="1" applyBorder="1" applyAlignment="1">
      <alignment horizontal="left" vertical="center" wrapText="1"/>
    </xf>
    <xf numFmtId="0" fontId="8" fillId="0" borderId="92" xfId="0" applyFont="1" applyBorder="1" applyAlignment="1">
      <alignment horizontal="left" vertical="center" wrapText="1"/>
    </xf>
    <xf numFmtId="0" fontId="8" fillId="0" borderId="92" xfId="0" applyFont="1" applyBorder="1" applyAlignment="1">
      <alignment horizontal="right" vertical="center" wrapText="1"/>
    </xf>
    <xf numFmtId="0" fontId="9" fillId="13" borderId="44" xfId="0" applyFont="1" applyFill="1" applyBorder="1" applyAlignment="1">
      <alignment horizontal="center" vertical="center" wrapText="1"/>
    </xf>
    <xf numFmtId="0" fontId="9" fillId="13" borderId="40" xfId="0" applyFont="1" applyFill="1" applyBorder="1" applyAlignment="1">
      <alignment horizontal="center" vertical="center" wrapText="1"/>
    </xf>
    <xf numFmtId="0" fontId="9" fillId="13" borderId="41" xfId="0" applyFont="1" applyFill="1" applyBorder="1" applyAlignment="1">
      <alignment horizontal="center" vertical="center" wrapText="1"/>
    </xf>
    <xf numFmtId="0" fontId="9" fillId="13" borderId="45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left" vertical="center" wrapText="1"/>
    </xf>
    <xf numFmtId="0" fontId="9" fillId="13" borderId="35" xfId="0" applyFont="1" applyFill="1" applyBorder="1" applyAlignment="1">
      <alignment horizontal="right" vertical="center" wrapText="1"/>
    </xf>
    <xf numFmtId="0" fontId="9" fillId="13" borderId="42" xfId="0" applyFont="1" applyFill="1" applyBorder="1" applyAlignment="1">
      <alignment horizontal="left" vertical="center" wrapText="1"/>
    </xf>
    <xf numFmtId="0" fontId="8" fillId="0" borderId="116" xfId="0" applyFont="1" applyBorder="1" applyAlignment="1">
      <alignment horizontal="center" vertical="center" wrapText="1"/>
    </xf>
    <xf numFmtId="0" fontId="8" fillId="0" borderId="117" xfId="0" applyFont="1" applyBorder="1" applyAlignment="1">
      <alignment horizontal="center" vertical="center" wrapText="1"/>
    </xf>
    <xf numFmtId="0" fontId="8" fillId="0" borderId="118" xfId="0" applyFont="1" applyBorder="1" applyAlignment="1">
      <alignment horizontal="center" vertical="center" wrapText="1"/>
    </xf>
    <xf numFmtId="0" fontId="8" fillId="0" borderId="94" xfId="0" applyFont="1" applyBorder="1" applyAlignment="1">
      <alignment horizontal="center" vertical="center" wrapText="1"/>
    </xf>
    <xf numFmtId="0" fontId="8" fillId="0" borderId="119" xfId="0" applyFont="1" applyBorder="1" applyAlignment="1">
      <alignment horizontal="center" vertical="center" wrapText="1"/>
    </xf>
    <xf numFmtId="0" fontId="8" fillId="0" borderId="120" xfId="0" applyFont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 wrapText="1"/>
    </xf>
    <xf numFmtId="0" fontId="10" fillId="0" borderId="119" xfId="0" applyFont="1" applyBorder="1" applyAlignment="1">
      <alignment vertical="center" wrapText="1"/>
    </xf>
    <xf numFmtId="0" fontId="8" fillId="0" borderId="120" xfId="0" applyFont="1" applyBorder="1" applyAlignment="1">
      <alignment vertical="center" wrapText="1"/>
    </xf>
    <xf numFmtId="0" fontId="8" fillId="0" borderId="122" xfId="0" applyFont="1" applyBorder="1" applyAlignment="1">
      <alignment vertical="center" wrapText="1"/>
    </xf>
    <xf numFmtId="0" fontId="10" fillId="0" borderId="122" xfId="0" applyFont="1" applyBorder="1" applyAlignment="1">
      <alignment vertical="center" wrapText="1"/>
    </xf>
    <xf numFmtId="0" fontId="9" fillId="13" borderId="62" xfId="0" applyFont="1" applyFill="1" applyBorder="1" applyAlignment="1">
      <alignment horizontal="center" vertical="center" wrapText="1"/>
    </xf>
    <xf numFmtId="0" fontId="8" fillId="0" borderId="52" xfId="0" applyFont="1" applyBorder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left" vertical="center" wrapText="1"/>
    </xf>
    <xf numFmtId="0" fontId="8" fillId="0" borderId="47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0" fontId="10" fillId="0" borderId="47" xfId="0" applyFont="1" applyBorder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6EFAF7"/>
      <color rgb="FFD2FAF8"/>
      <color rgb="FFA7CEE3"/>
      <color rgb="FFFFFFFF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zoomScale="79" workbookViewId="0">
      <selection activeCell="D15" sqref="D15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216" t="s">
        <v>251</v>
      </c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8"/>
    </row>
    <row r="3" spans="2:15" ht="16.5" x14ac:dyDescent="0.45">
      <c r="B3" s="109"/>
      <c r="C3" s="109" t="s">
        <v>238</v>
      </c>
      <c r="D3" s="109" t="s">
        <v>239</v>
      </c>
      <c r="E3" s="109" t="s">
        <v>240</v>
      </c>
      <c r="F3" s="109" t="s">
        <v>241</v>
      </c>
      <c r="G3" s="180"/>
      <c r="H3" s="180"/>
      <c r="I3" s="180"/>
      <c r="J3" s="106" t="s">
        <v>247</v>
      </c>
      <c r="K3" s="106" t="s">
        <v>243</v>
      </c>
      <c r="L3" s="106" t="s">
        <v>242</v>
      </c>
      <c r="M3" s="106" t="s">
        <v>257</v>
      </c>
      <c r="N3" s="106" t="s">
        <v>245</v>
      </c>
      <c r="O3" s="106" t="s">
        <v>246</v>
      </c>
    </row>
    <row r="4" spans="2:15" ht="16.5" x14ac:dyDescent="0.45">
      <c r="B4" s="109" t="s">
        <v>3</v>
      </c>
      <c r="C4" s="111">
        <v>2.2210000000000001</v>
      </c>
      <c r="D4" s="111">
        <v>0.17599999999999999</v>
      </c>
      <c r="E4" s="111">
        <v>2.1150000000000002</v>
      </c>
      <c r="F4" s="111">
        <f>E4/C4</f>
        <v>0.95227375056280961</v>
      </c>
      <c r="H4" s="116" t="s">
        <v>261</v>
      </c>
      <c r="J4" s="106" t="s">
        <v>244</v>
      </c>
      <c r="K4" s="117">
        <v>-0.23899999999999999</v>
      </c>
      <c r="L4" s="117">
        <v>0.78739999999999999</v>
      </c>
      <c r="M4" s="117">
        <v>0.13089999999999999</v>
      </c>
      <c r="N4" s="117">
        <v>-1.8262</v>
      </c>
      <c r="O4" s="117">
        <v>6.7799999999999999E-2</v>
      </c>
    </row>
    <row r="5" spans="2:15" ht="16.5" x14ac:dyDescent="0.45">
      <c r="B5" s="109" t="s">
        <v>4</v>
      </c>
      <c r="C5" s="111">
        <v>2.4180000000000001</v>
      </c>
      <c r="D5" s="111">
        <v>0.17799999999999999</v>
      </c>
      <c r="E5" s="111">
        <v>2.1259999999999999</v>
      </c>
      <c r="F5" s="111">
        <f t="shared" ref="F5:F15" si="0">E5/C5</f>
        <v>0.87923904052936297</v>
      </c>
      <c r="H5" s="116" t="s">
        <v>262</v>
      </c>
      <c r="J5" s="106" t="s">
        <v>248</v>
      </c>
      <c r="K5" s="106" t="s">
        <v>243</v>
      </c>
      <c r="L5" s="106" t="s">
        <v>242</v>
      </c>
      <c r="M5" s="106" t="s">
        <v>257</v>
      </c>
      <c r="N5" s="106" t="s">
        <v>245</v>
      </c>
      <c r="O5" s="106" t="s">
        <v>246</v>
      </c>
    </row>
    <row r="6" spans="2:15" ht="16.5" x14ac:dyDescent="0.45">
      <c r="B6" s="109" t="s">
        <v>36</v>
      </c>
      <c r="C6" s="111">
        <v>1.353</v>
      </c>
      <c r="D6" s="111">
        <v>0.16500000000000001</v>
      </c>
      <c r="E6" s="111">
        <v>0.17</v>
      </c>
      <c r="F6" s="111">
        <f t="shared" si="0"/>
        <v>0.12564671101256469</v>
      </c>
      <c r="H6" s="116" t="s">
        <v>263</v>
      </c>
      <c r="J6" s="106" t="s">
        <v>244</v>
      </c>
      <c r="K6" s="117">
        <v>-0.23899999999999999</v>
      </c>
      <c r="L6" s="117">
        <v>0.78739999999999999</v>
      </c>
      <c r="M6" s="117">
        <v>0.13200000000000001</v>
      </c>
      <c r="N6" s="117">
        <v>-1.8106</v>
      </c>
      <c r="O6" s="117">
        <v>7.0199999999999999E-2</v>
      </c>
    </row>
    <row r="7" spans="2:15" ht="16.5" x14ac:dyDescent="0.45">
      <c r="B7" s="109" t="s">
        <v>37</v>
      </c>
      <c r="C7" s="111">
        <v>0.221</v>
      </c>
      <c r="D7" s="111">
        <v>0.05</v>
      </c>
      <c r="E7" s="111">
        <v>0.20399999999999999</v>
      </c>
      <c r="F7" s="111">
        <f t="shared" si="0"/>
        <v>0.92307692307692302</v>
      </c>
    </row>
    <row r="8" spans="2:15" ht="16.5" x14ac:dyDescent="0.45">
      <c r="B8" s="109" t="s">
        <v>32</v>
      </c>
      <c r="C8" s="111">
        <v>0.35799999999999998</v>
      </c>
      <c r="D8" s="111">
        <v>6.3E-2</v>
      </c>
      <c r="E8" s="111">
        <v>0.26400000000000001</v>
      </c>
      <c r="F8" s="111">
        <f t="shared" si="0"/>
        <v>0.73743016759776547</v>
      </c>
    </row>
    <row r="9" spans="2:15" ht="16.5" x14ac:dyDescent="0.45">
      <c r="B9" s="109" t="s">
        <v>79</v>
      </c>
      <c r="C9" s="111">
        <v>0.32800000000000001</v>
      </c>
      <c r="D9" s="111">
        <v>6.9000000000000006E-2</v>
      </c>
      <c r="E9" s="111">
        <v>0.315</v>
      </c>
      <c r="F9" s="111">
        <f t="shared" si="0"/>
        <v>0.96036585365853655</v>
      </c>
    </row>
    <row r="10" spans="2:15" ht="17" thickBot="1" x14ac:dyDescent="0.5">
      <c r="B10" s="114" t="s">
        <v>76</v>
      </c>
      <c r="C10" s="115">
        <v>0.16400000000000001</v>
      </c>
      <c r="D10" s="115">
        <v>0.05</v>
      </c>
      <c r="E10" s="115">
        <v>0.17</v>
      </c>
      <c r="F10" s="115">
        <f t="shared" si="0"/>
        <v>1.0365853658536586</v>
      </c>
    </row>
    <row r="11" spans="2:15" ht="16.5" x14ac:dyDescent="0.45">
      <c r="B11" s="112" t="s">
        <v>195</v>
      </c>
      <c r="C11" s="113">
        <v>2.1389999999999998</v>
      </c>
      <c r="D11" s="113">
        <v>0.16600000000000001</v>
      </c>
      <c r="E11" s="113">
        <v>3.9529999999999998</v>
      </c>
      <c r="F11" s="178">
        <f t="shared" si="0"/>
        <v>1.8480598410472184</v>
      </c>
    </row>
    <row r="12" spans="2:15" ht="16.5" x14ac:dyDescent="0.45">
      <c r="B12" s="109" t="s">
        <v>206</v>
      </c>
      <c r="C12" s="111">
        <v>0.25</v>
      </c>
      <c r="D12" s="111">
        <v>4.3999999999999997E-2</v>
      </c>
      <c r="E12" s="111">
        <v>0.27300000000000002</v>
      </c>
      <c r="F12" s="111">
        <f t="shared" si="0"/>
        <v>1.0920000000000001</v>
      </c>
    </row>
    <row r="13" spans="2:15" ht="16.5" x14ac:dyDescent="0.45">
      <c r="B13" s="110" t="s">
        <v>220</v>
      </c>
      <c r="C13" s="111">
        <v>0.125</v>
      </c>
      <c r="D13" s="111">
        <v>3.9E-2</v>
      </c>
      <c r="E13" s="111">
        <v>0.111</v>
      </c>
      <c r="F13" s="111">
        <f t="shared" si="0"/>
        <v>0.88800000000000001</v>
      </c>
    </row>
    <row r="14" spans="2:15" ht="16.5" x14ac:dyDescent="0.45">
      <c r="B14" s="109" t="s">
        <v>202</v>
      </c>
      <c r="C14" s="111">
        <v>1</v>
      </c>
      <c r="D14" s="111">
        <v>0.13700000000000001</v>
      </c>
      <c r="E14" s="111">
        <v>1.3520000000000001</v>
      </c>
      <c r="F14" s="111">
        <f t="shared" si="0"/>
        <v>1.3520000000000001</v>
      </c>
    </row>
    <row r="15" spans="2:15" ht="16.5" x14ac:dyDescent="0.45">
      <c r="B15" s="110" t="s">
        <v>214</v>
      </c>
      <c r="C15" s="111">
        <v>0.153</v>
      </c>
      <c r="D15" s="111">
        <v>4.2999999999999997E-2</v>
      </c>
      <c r="E15" s="111">
        <v>0.13100000000000001</v>
      </c>
      <c r="F15" s="111">
        <f t="shared" si="0"/>
        <v>0.85620915032679745</v>
      </c>
    </row>
    <row r="18" spans="2:15" ht="15" thickBot="1" x14ac:dyDescent="0.35"/>
    <row r="19" spans="2:15" ht="17" thickBot="1" x14ac:dyDescent="0.5">
      <c r="B19" s="216" t="s">
        <v>250</v>
      </c>
      <c r="C19" s="217"/>
      <c r="D19" s="217"/>
      <c r="E19" s="217"/>
      <c r="F19" s="217"/>
      <c r="G19" s="217"/>
      <c r="H19" s="217"/>
      <c r="I19" s="217"/>
      <c r="J19" s="217"/>
      <c r="K19" s="217"/>
      <c r="L19" s="217"/>
      <c r="M19" s="217"/>
      <c r="N19" s="217"/>
      <c r="O19" s="218"/>
    </row>
    <row r="20" spans="2:15" ht="16.5" x14ac:dyDescent="0.45">
      <c r="B20" s="109"/>
      <c r="C20" s="109" t="s">
        <v>238</v>
      </c>
      <c r="D20" s="109" t="s">
        <v>239</v>
      </c>
      <c r="E20" s="109" t="s">
        <v>240</v>
      </c>
      <c r="F20" s="109" t="s">
        <v>241</v>
      </c>
      <c r="G20" s="180"/>
      <c r="H20" s="180"/>
      <c r="I20" s="180"/>
      <c r="J20" s="106" t="s">
        <v>247</v>
      </c>
      <c r="K20" s="106" t="s">
        <v>243</v>
      </c>
      <c r="L20" s="106" t="s">
        <v>242</v>
      </c>
      <c r="M20" s="106" t="s">
        <v>257</v>
      </c>
      <c r="N20" s="106" t="s">
        <v>245</v>
      </c>
      <c r="O20" s="106" t="s">
        <v>246</v>
      </c>
    </row>
    <row r="21" spans="2:15" ht="16.5" x14ac:dyDescent="0.45">
      <c r="B21" s="109" t="s">
        <v>3</v>
      </c>
      <c r="C21" s="111">
        <v>1.8380000000000001</v>
      </c>
      <c r="D21" s="111">
        <v>0.16200000000000001</v>
      </c>
      <c r="E21" s="111">
        <v>1.7789999999999999</v>
      </c>
      <c r="F21" s="111">
        <f>E21/C21</f>
        <v>0.96789989118607178</v>
      </c>
      <c r="H21" s="116" t="s">
        <v>255</v>
      </c>
      <c r="J21" s="106" t="s">
        <v>244</v>
      </c>
      <c r="K21" s="117">
        <v>-0.30270000000000002</v>
      </c>
      <c r="L21" s="117">
        <v>0.73880000000000001</v>
      </c>
      <c r="M21" s="117">
        <v>0.1449</v>
      </c>
      <c r="N21" s="117">
        <v>-2.089</v>
      </c>
      <c r="O21" s="117">
        <v>3.6700000000000003E-2</v>
      </c>
    </row>
    <row r="22" spans="2:15" ht="16.5" x14ac:dyDescent="0.45">
      <c r="B22" s="109" t="s">
        <v>4</v>
      </c>
      <c r="C22" s="111">
        <v>2.2090000000000001</v>
      </c>
      <c r="D22" s="111">
        <v>0.17899999999999999</v>
      </c>
      <c r="E22" s="111">
        <v>2.137</v>
      </c>
      <c r="F22" s="111">
        <f t="shared" ref="F22:F32" si="1">E22/C22</f>
        <v>0.96740606609325486</v>
      </c>
      <c r="H22" s="116" t="s">
        <v>259</v>
      </c>
      <c r="J22" s="106" t="s">
        <v>248</v>
      </c>
      <c r="K22" s="106" t="s">
        <v>243</v>
      </c>
      <c r="L22" s="106" t="s">
        <v>242</v>
      </c>
      <c r="M22" s="106" t="s">
        <v>258</v>
      </c>
      <c r="N22" s="106" t="s">
        <v>245</v>
      </c>
      <c r="O22" s="106" t="s">
        <v>246</v>
      </c>
    </row>
    <row r="23" spans="2:15" ht="16.5" x14ac:dyDescent="0.45">
      <c r="B23" s="109" t="s">
        <v>36</v>
      </c>
      <c r="C23" s="111">
        <v>1.1910000000000001</v>
      </c>
      <c r="D23" s="111">
        <v>0.15</v>
      </c>
      <c r="E23" s="111">
        <v>1.53</v>
      </c>
      <c r="F23" s="111">
        <f t="shared" si="1"/>
        <v>1.2846347607052897</v>
      </c>
      <c r="H23" s="116" t="s">
        <v>260</v>
      </c>
      <c r="J23" s="106" t="s">
        <v>244</v>
      </c>
      <c r="K23" s="117">
        <v>-0.30270000000000002</v>
      </c>
      <c r="L23" s="117">
        <v>0.73880000000000001</v>
      </c>
      <c r="M23" s="117">
        <v>0.14910000000000001</v>
      </c>
      <c r="N23" s="117">
        <v>-2.0305</v>
      </c>
      <c r="O23" s="117">
        <v>4.2299999999999997E-2</v>
      </c>
    </row>
    <row r="24" spans="2:15" ht="16.5" x14ac:dyDescent="0.45">
      <c r="B24" s="109" t="s">
        <v>37</v>
      </c>
      <c r="C24" s="111">
        <v>0.17599999999999999</v>
      </c>
      <c r="D24" s="111">
        <v>4.7E-2</v>
      </c>
      <c r="E24" s="111">
        <v>0.14699999999999999</v>
      </c>
      <c r="F24" s="111">
        <f t="shared" si="1"/>
        <v>0.83522727272727271</v>
      </c>
    </row>
    <row r="25" spans="2:15" ht="16.5" x14ac:dyDescent="0.45">
      <c r="B25" s="109" t="s">
        <v>32</v>
      </c>
      <c r="C25" s="111">
        <v>0.26900000000000002</v>
      </c>
      <c r="D25" s="111">
        <v>5.8999999999999997E-2</v>
      </c>
      <c r="E25" s="111">
        <v>0.23</v>
      </c>
      <c r="F25" s="111">
        <f t="shared" si="1"/>
        <v>0.85501858736059477</v>
      </c>
    </row>
    <row r="26" spans="2:15" ht="16.5" x14ac:dyDescent="0.45">
      <c r="B26" s="109" t="s">
        <v>79</v>
      </c>
      <c r="C26" s="111">
        <v>0.254</v>
      </c>
      <c r="D26" s="111">
        <v>6.0999999999999999E-2</v>
      </c>
      <c r="E26" s="111">
        <v>0.253</v>
      </c>
      <c r="F26" s="111">
        <f t="shared" si="1"/>
        <v>0.99606299212598426</v>
      </c>
    </row>
    <row r="27" spans="2:15" ht="17" thickBot="1" x14ac:dyDescent="0.5">
      <c r="B27" s="114" t="s">
        <v>76</v>
      </c>
      <c r="C27" s="115">
        <v>0.13400000000000001</v>
      </c>
      <c r="D27" s="115">
        <v>4.7E-2</v>
      </c>
      <c r="E27" s="115">
        <v>0.14799999999999999</v>
      </c>
      <c r="F27" s="111">
        <f t="shared" si="1"/>
        <v>1.1044776119402984</v>
      </c>
    </row>
    <row r="28" spans="2:15" ht="16.5" x14ac:dyDescent="0.45">
      <c r="B28" s="112" t="s">
        <v>195</v>
      </c>
      <c r="C28" s="113">
        <v>0.81899999999999995</v>
      </c>
      <c r="D28" s="113">
        <v>0.107</v>
      </c>
      <c r="E28" s="113">
        <v>0.90900000000000003</v>
      </c>
      <c r="F28" s="111">
        <f t="shared" si="1"/>
        <v>1.1098901098901099</v>
      </c>
    </row>
    <row r="29" spans="2:15" ht="16.5" x14ac:dyDescent="0.45">
      <c r="B29" s="109" t="s">
        <v>206</v>
      </c>
      <c r="C29" s="111">
        <v>0.16700000000000001</v>
      </c>
      <c r="D29" s="111">
        <v>4.8000000000000001E-2</v>
      </c>
      <c r="E29" s="111">
        <v>0.16900000000000001</v>
      </c>
      <c r="F29" s="111">
        <f t="shared" si="1"/>
        <v>1.0119760479041917</v>
      </c>
    </row>
    <row r="30" spans="2:15" ht="16.5" x14ac:dyDescent="0.45">
      <c r="B30" s="110" t="s">
        <v>220</v>
      </c>
      <c r="C30" s="111">
        <v>9.7000000000000003E-2</v>
      </c>
      <c r="D30" s="111">
        <v>3.5000000000000003E-2</v>
      </c>
      <c r="E30" s="111">
        <v>8.8999999999999996E-2</v>
      </c>
      <c r="F30" s="111">
        <f t="shared" si="1"/>
        <v>0.91752577319587625</v>
      </c>
    </row>
    <row r="31" spans="2:15" ht="16.5" x14ac:dyDescent="0.45">
      <c r="B31" s="109" t="s">
        <v>202</v>
      </c>
      <c r="C31" s="111">
        <v>0.93100000000000005</v>
      </c>
      <c r="D31" s="111">
        <v>0.13200000000000001</v>
      </c>
      <c r="E31" s="111">
        <v>1.2490000000000001</v>
      </c>
      <c r="F31" s="111">
        <f t="shared" si="1"/>
        <v>1.3415682062298604</v>
      </c>
    </row>
    <row r="32" spans="2:15" ht="16.5" x14ac:dyDescent="0.45">
      <c r="B32" s="110" t="s">
        <v>214</v>
      </c>
      <c r="C32" s="111">
        <v>0.125</v>
      </c>
      <c r="D32" s="111">
        <v>3.9E-2</v>
      </c>
      <c r="E32" s="111">
        <v>0.111</v>
      </c>
      <c r="F32" s="111">
        <f t="shared" si="1"/>
        <v>0.88800000000000001</v>
      </c>
    </row>
    <row r="35" spans="2:15" ht="15" thickBot="1" x14ac:dyDescent="0.35"/>
    <row r="36" spans="2:15" ht="17" thickBot="1" x14ac:dyDescent="0.5">
      <c r="B36" s="216" t="s">
        <v>249</v>
      </c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217"/>
      <c r="O36" s="218"/>
    </row>
    <row r="37" spans="2:15" ht="16.5" x14ac:dyDescent="0.45">
      <c r="B37" s="112"/>
      <c r="C37" s="112" t="s">
        <v>238</v>
      </c>
      <c r="D37" s="112" t="s">
        <v>239</v>
      </c>
      <c r="E37" s="112" t="s">
        <v>240</v>
      </c>
      <c r="F37" s="112" t="s">
        <v>241</v>
      </c>
      <c r="G37" s="180"/>
      <c r="H37" s="116" t="s">
        <v>255</v>
      </c>
      <c r="I37" s="180"/>
      <c r="J37" s="181" t="s">
        <v>247</v>
      </c>
      <c r="K37" s="181" t="s">
        <v>243</v>
      </c>
      <c r="L37" s="181" t="s">
        <v>242</v>
      </c>
      <c r="M37" s="181" t="s">
        <v>257</v>
      </c>
      <c r="N37" s="181" t="s">
        <v>245</v>
      </c>
      <c r="O37" s="181" t="s">
        <v>246</v>
      </c>
    </row>
    <row r="38" spans="2:15" ht="16.5" x14ac:dyDescent="0.45">
      <c r="B38" s="109" t="s">
        <v>3</v>
      </c>
      <c r="C38" s="111">
        <v>1.794</v>
      </c>
      <c r="D38" s="111">
        <v>0.16300000000000001</v>
      </c>
      <c r="E38" s="111">
        <v>1.8080000000000001</v>
      </c>
      <c r="F38" s="111">
        <f>E38/C38</f>
        <v>1.0078037904124861</v>
      </c>
      <c r="H38" s="116" t="s">
        <v>264</v>
      </c>
      <c r="J38" s="106" t="s">
        <v>244</v>
      </c>
      <c r="K38" s="117">
        <v>-0.28120000000000001</v>
      </c>
      <c r="L38" s="117">
        <v>0.75490000000000002</v>
      </c>
      <c r="M38" s="117">
        <v>0.14630000000000001</v>
      </c>
      <c r="N38" s="117">
        <v>-1.9219999999999999</v>
      </c>
      <c r="O38" s="117">
        <v>5.4600000000000003E-2</v>
      </c>
    </row>
    <row r="39" spans="2:15" ht="16.5" x14ac:dyDescent="0.45">
      <c r="B39" s="109" t="s">
        <v>4</v>
      </c>
      <c r="C39" s="111">
        <v>2.1640000000000001</v>
      </c>
      <c r="D39" s="111">
        <v>0.17599999999999999</v>
      </c>
      <c r="E39" s="111">
        <v>2.0790000000000002</v>
      </c>
      <c r="F39" s="111">
        <f t="shared" ref="F39:F49" si="2">E39/C39</f>
        <v>0.96072088724584104</v>
      </c>
      <c r="H39" s="116" t="s">
        <v>256</v>
      </c>
      <c r="J39" s="106" t="s">
        <v>248</v>
      </c>
      <c r="K39" s="106" t="s">
        <v>243</v>
      </c>
      <c r="L39" s="106" t="s">
        <v>242</v>
      </c>
      <c r="M39" s="106" t="s">
        <v>258</v>
      </c>
      <c r="N39" s="106" t="s">
        <v>245</v>
      </c>
      <c r="O39" s="106" t="s">
        <v>246</v>
      </c>
    </row>
    <row r="40" spans="2:15" ht="16.5" x14ac:dyDescent="0.45">
      <c r="B40" s="109" t="s">
        <v>36</v>
      </c>
      <c r="C40" s="111">
        <v>1.147</v>
      </c>
      <c r="D40" s="111">
        <v>0.13900000000000001</v>
      </c>
      <c r="E40" s="111">
        <v>1.321</v>
      </c>
      <c r="F40" s="111">
        <f t="shared" si="2"/>
        <v>1.151700087183958</v>
      </c>
      <c r="J40" s="106" t="s">
        <v>244</v>
      </c>
      <c r="K40" s="117">
        <v>-0.28120000000000001</v>
      </c>
      <c r="L40" s="117">
        <v>0.75490000000000002</v>
      </c>
      <c r="M40" s="117">
        <v>0.151</v>
      </c>
      <c r="N40" s="117">
        <v>-1.8617999999999999</v>
      </c>
      <c r="O40" s="117">
        <v>6.2600000000000003E-2</v>
      </c>
    </row>
    <row r="41" spans="2:15" ht="16.5" x14ac:dyDescent="0.45">
      <c r="B41" s="109" t="s">
        <v>37</v>
      </c>
      <c r="C41" s="111">
        <v>0.17599999999999999</v>
      </c>
      <c r="D41" s="111">
        <v>4.7E-2</v>
      </c>
      <c r="E41" s="111">
        <v>0.14699999999999999</v>
      </c>
      <c r="F41" s="111">
        <f t="shared" si="2"/>
        <v>0.83522727272727271</v>
      </c>
    </row>
    <row r="42" spans="2:15" ht="16.5" x14ac:dyDescent="0.45">
      <c r="B42" s="109" t="s">
        <v>32</v>
      </c>
      <c r="C42" s="111">
        <v>0.23899999999999999</v>
      </c>
      <c r="D42" s="111">
        <v>5.7000000000000002E-2</v>
      </c>
      <c r="E42" s="111">
        <v>0.215</v>
      </c>
      <c r="F42" s="111">
        <f t="shared" si="2"/>
        <v>0.89958158995815907</v>
      </c>
    </row>
    <row r="43" spans="2:15" ht="16.5" x14ac:dyDescent="0.45">
      <c r="B43" s="109" t="s">
        <v>79</v>
      </c>
      <c r="C43" s="111">
        <v>0.23899999999999999</v>
      </c>
      <c r="D43" s="111">
        <v>0.06</v>
      </c>
      <c r="E43" s="111">
        <v>0.245</v>
      </c>
      <c r="F43" s="111">
        <f t="shared" si="2"/>
        <v>1.0251046025104602</v>
      </c>
    </row>
    <row r="44" spans="2:15" ht="17" thickBot="1" x14ac:dyDescent="0.5">
      <c r="B44" s="114" t="s">
        <v>76</v>
      </c>
      <c r="C44" s="115">
        <v>0.13400000000000001</v>
      </c>
      <c r="D44" s="115">
        <v>4.7E-2</v>
      </c>
      <c r="E44" s="115">
        <v>0.14799999999999999</v>
      </c>
      <c r="F44" s="111">
        <f t="shared" si="2"/>
        <v>1.1044776119402984</v>
      </c>
    </row>
    <row r="45" spans="2:15" ht="16.5" x14ac:dyDescent="0.45">
      <c r="B45" s="112" t="s">
        <v>195</v>
      </c>
      <c r="C45" s="113">
        <v>0.81899999999999995</v>
      </c>
      <c r="D45" s="113">
        <v>0.107</v>
      </c>
      <c r="E45" s="113">
        <v>0.82599999999999996</v>
      </c>
      <c r="F45" s="111">
        <f t="shared" si="2"/>
        <v>1.0085470085470085</v>
      </c>
    </row>
    <row r="46" spans="2:15" ht="16.5" x14ac:dyDescent="0.45">
      <c r="B46" s="109" t="s">
        <v>206</v>
      </c>
      <c r="C46" s="111">
        <v>0.16700000000000001</v>
      </c>
      <c r="D46" s="111">
        <v>4.8000000000000001E-2</v>
      </c>
      <c r="E46" s="111">
        <v>0.16900000000000001</v>
      </c>
      <c r="F46" s="111">
        <f t="shared" si="2"/>
        <v>1.0119760479041917</v>
      </c>
    </row>
    <row r="47" spans="2:15" ht="16.5" x14ac:dyDescent="0.45">
      <c r="B47" s="110" t="s">
        <v>220</v>
      </c>
      <c r="C47" s="111">
        <v>9.7000000000000003E-2</v>
      </c>
      <c r="D47" s="111">
        <v>3.5000000000000003E-2</v>
      </c>
      <c r="E47" s="111">
        <v>8.8999999999999996E-2</v>
      </c>
      <c r="F47" s="111">
        <f t="shared" si="2"/>
        <v>0.91752577319587625</v>
      </c>
    </row>
    <row r="48" spans="2:15" ht="16.5" x14ac:dyDescent="0.45">
      <c r="B48" s="109" t="s">
        <v>202</v>
      </c>
      <c r="C48" s="111">
        <v>0.86099999999999999</v>
      </c>
      <c r="D48" s="111">
        <v>0.13300000000000001</v>
      </c>
      <c r="E48" s="111">
        <v>1.276</v>
      </c>
      <c r="F48" s="111">
        <f t="shared" si="2"/>
        <v>1.4819976771196284</v>
      </c>
    </row>
    <row r="49" spans="2:6" ht="16.5" x14ac:dyDescent="0.45">
      <c r="B49" s="110" t="s">
        <v>214</v>
      </c>
      <c r="C49" s="111">
        <v>0.125</v>
      </c>
      <c r="D49" s="111">
        <v>3.9E-2</v>
      </c>
      <c r="E49" s="111">
        <v>0.111</v>
      </c>
      <c r="F49" s="111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C18" sqref="C18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140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</row>
    <row r="2" spans="1:6" x14ac:dyDescent="0.3">
      <c r="A2" t="s">
        <v>3</v>
      </c>
      <c r="B2" t="s">
        <v>266</v>
      </c>
      <c r="C2" t="s">
        <v>148</v>
      </c>
      <c r="D2" t="s">
        <v>149</v>
      </c>
      <c r="E2" t="s">
        <v>265</v>
      </c>
      <c r="F2" t="s">
        <v>153</v>
      </c>
    </row>
    <row r="3" spans="1:6" x14ac:dyDescent="0.3">
      <c r="A3" t="s">
        <v>4</v>
      </c>
      <c r="B3" t="s">
        <v>267</v>
      </c>
      <c r="C3" t="s">
        <v>150</v>
      </c>
      <c r="D3" t="s">
        <v>151</v>
      </c>
      <c r="E3" t="s">
        <v>152</v>
      </c>
      <c r="F3" t="s">
        <v>147</v>
      </c>
    </row>
    <row r="4" spans="1:6" x14ac:dyDescent="0.3">
      <c r="A4" t="s">
        <v>36</v>
      </c>
      <c r="B4" t="s">
        <v>157</v>
      </c>
      <c r="C4" t="s">
        <v>157</v>
      </c>
      <c r="D4" t="s">
        <v>158</v>
      </c>
      <c r="E4" t="s">
        <v>155</v>
      </c>
      <c r="F4" t="s">
        <v>156</v>
      </c>
    </row>
    <row r="5" spans="1:6" x14ac:dyDescent="0.3">
      <c r="A5" t="s">
        <v>37</v>
      </c>
      <c r="B5" t="s">
        <v>161</v>
      </c>
      <c r="C5" t="s">
        <v>161</v>
      </c>
      <c r="D5" t="s">
        <v>160</v>
      </c>
      <c r="E5" t="s">
        <v>159</v>
      </c>
      <c r="F5" t="s">
        <v>162</v>
      </c>
    </row>
    <row r="6" spans="1:6" x14ac:dyDescent="0.3">
      <c r="A6" t="s">
        <v>32</v>
      </c>
      <c r="B6" t="s">
        <v>268</v>
      </c>
      <c r="C6" t="s">
        <v>163</v>
      </c>
      <c r="D6" t="s">
        <v>154</v>
      </c>
      <c r="E6" t="s">
        <v>157</v>
      </c>
      <c r="F6" t="s">
        <v>158</v>
      </c>
    </row>
    <row r="7" spans="1:6" x14ac:dyDescent="0.3">
      <c r="A7" t="s">
        <v>79</v>
      </c>
      <c r="B7" t="s">
        <v>163</v>
      </c>
      <c r="C7" t="s">
        <v>269</v>
      </c>
      <c r="D7" t="s">
        <v>157</v>
      </c>
      <c r="E7" t="s">
        <v>158</v>
      </c>
      <c r="F7" t="s">
        <v>155</v>
      </c>
    </row>
    <row r="8" spans="1:6" x14ac:dyDescent="0.3">
      <c r="A8" t="s">
        <v>76</v>
      </c>
      <c r="B8" t="s">
        <v>158</v>
      </c>
      <c r="C8" t="s">
        <v>158</v>
      </c>
      <c r="D8" t="s">
        <v>155</v>
      </c>
      <c r="E8" t="s">
        <v>156</v>
      </c>
      <c r="F8" t="s">
        <v>164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H3" sqref="H3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91"/>
      <c r="B3" s="191" t="s">
        <v>271</v>
      </c>
      <c r="C3" s="191" t="s">
        <v>272</v>
      </c>
      <c r="D3" s="191" t="s">
        <v>292</v>
      </c>
      <c r="E3" s="191" t="s">
        <v>288</v>
      </c>
      <c r="F3" s="191" t="s">
        <v>238</v>
      </c>
    </row>
    <row r="4" spans="1:6" ht="15" x14ac:dyDescent="0.35">
      <c r="A4" s="219" t="s">
        <v>281</v>
      </c>
      <c r="B4" s="184" t="s">
        <v>273</v>
      </c>
      <c r="C4" s="184" t="s">
        <v>298</v>
      </c>
      <c r="D4" s="185" t="s">
        <v>289</v>
      </c>
      <c r="E4" s="184" t="s">
        <v>290</v>
      </c>
      <c r="F4" s="184">
        <v>2.1833333333333331</v>
      </c>
    </row>
    <row r="5" spans="1:6" ht="15" x14ac:dyDescent="0.35">
      <c r="A5" s="219"/>
      <c r="B5" s="184" t="s">
        <v>195</v>
      </c>
      <c r="C5" s="184" t="s">
        <v>297</v>
      </c>
      <c r="D5" s="185" t="s">
        <v>293</v>
      </c>
      <c r="E5" s="184" t="s">
        <v>294</v>
      </c>
      <c r="F5" s="184">
        <v>1.0694444444444444</v>
      </c>
    </row>
    <row r="6" spans="1:6" ht="15" x14ac:dyDescent="0.35">
      <c r="A6" s="219"/>
      <c r="B6" s="184" t="s">
        <v>274</v>
      </c>
      <c r="C6" s="184" t="s">
        <v>291</v>
      </c>
      <c r="D6" s="185" t="s">
        <v>291</v>
      </c>
      <c r="E6" s="184"/>
      <c r="F6" s="184">
        <v>1.8055555555555556</v>
      </c>
    </row>
    <row r="7" spans="1:6" ht="15" x14ac:dyDescent="0.35">
      <c r="A7" s="219"/>
      <c r="B7" s="402" t="s">
        <v>275</v>
      </c>
      <c r="C7" s="402" t="s">
        <v>296</v>
      </c>
      <c r="D7" s="403">
        <v>114.05</v>
      </c>
      <c r="E7" s="402" t="s">
        <v>295</v>
      </c>
      <c r="F7" s="402"/>
    </row>
    <row r="8" spans="1:6" ht="15" x14ac:dyDescent="0.35">
      <c r="A8" s="186" t="s">
        <v>282</v>
      </c>
      <c r="B8" s="184" t="s">
        <v>276</v>
      </c>
      <c r="C8" s="184" t="s">
        <v>291</v>
      </c>
      <c r="D8" s="185" t="s">
        <v>291</v>
      </c>
      <c r="E8" s="184"/>
      <c r="F8" s="184">
        <v>1.5277777777777777</v>
      </c>
    </row>
    <row r="9" spans="1:6" ht="15" x14ac:dyDescent="0.35">
      <c r="A9" s="219" t="s">
        <v>283</v>
      </c>
      <c r="B9" s="184" t="s">
        <v>270</v>
      </c>
      <c r="C9" s="184" t="s">
        <v>298</v>
      </c>
      <c r="D9" s="185" t="s">
        <v>299</v>
      </c>
      <c r="E9" s="184" t="s">
        <v>300</v>
      </c>
      <c r="F9" s="184">
        <v>1.3333333333333333</v>
      </c>
    </row>
    <row r="10" spans="1:6" ht="15" x14ac:dyDescent="0.35">
      <c r="A10" s="219"/>
      <c r="B10" s="184" t="s">
        <v>215</v>
      </c>
      <c r="C10" s="184" t="s">
        <v>297</v>
      </c>
      <c r="D10" s="185" t="s">
        <v>291</v>
      </c>
      <c r="E10" s="184" t="s">
        <v>301</v>
      </c>
      <c r="F10" s="184">
        <v>6.4722222222222223</v>
      </c>
    </row>
    <row r="11" spans="1:6" ht="15" x14ac:dyDescent="0.35">
      <c r="A11" s="219" t="s">
        <v>284</v>
      </c>
      <c r="B11" s="184" t="s">
        <v>277</v>
      </c>
      <c r="C11" s="184" t="s">
        <v>291</v>
      </c>
      <c r="D11" s="185" t="s">
        <v>302</v>
      </c>
      <c r="E11" s="184"/>
      <c r="F11" s="184">
        <v>1.625</v>
      </c>
    </row>
    <row r="12" spans="1:6" ht="15" x14ac:dyDescent="0.35">
      <c r="A12" s="219"/>
      <c r="B12" s="184" t="s">
        <v>233</v>
      </c>
      <c r="C12" s="184" t="s">
        <v>291</v>
      </c>
      <c r="D12" s="185" t="s">
        <v>303</v>
      </c>
      <c r="E12" s="184"/>
      <c r="F12" s="184">
        <v>0.20833333333333334</v>
      </c>
    </row>
    <row r="13" spans="1:6" ht="15" x14ac:dyDescent="0.35">
      <c r="A13" s="219"/>
      <c r="B13" s="184" t="s">
        <v>304</v>
      </c>
      <c r="C13" s="184" t="s">
        <v>291</v>
      </c>
      <c r="D13" s="185" t="s">
        <v>291</v>
      </c>
      <c r="E13" s="184"/>
      <c r="F13" s="184">
        <v>0.5</v>
      </c>
    </row>
    <row r="14" spans="1:6" ht="15" x14ac:dyDescent="0.35">
      <c r="A14" s="219" t="s">
        <v>287</v>
      </c>
      <c r="B14" s="184" t="s">
        <v>305</v>
      </c>
      <c r="C14" s="184" t="s">
        <v>297</v>
      </c>
      <c r="D14" s="185">
        <v>114</v>
      </c>
      <c r="E14" s="184" t="s">
        <v>312</v>
      </c>
      <c r="F14" s="184">
        <v>1.1666666666666667</v>
      </c>
    </row>
    <row r="15" spans="1:6" ht="15" x14ac:dyDescent="0.35">
      <c r="A15" s="219"/>
      <c r="B15" s="402" t="s">
        <v>306</v>
      </c>
      <c r="C15" s="402" t="s">
        <v>298</v>
      </c>
      <c r="D15" s="403" t="s">
        <v>310</v>
      </c>
      <c r="E15" s="402" t="s">
        <v>311</v>
      </c>
      <c r="F15" s="402"/>
    </row>
    <row r="16" spans="1:6" ht="15" x14ac:dyDescent="0.35">
      <c r="A16" s="219"/>
      <c r="B16" s="184" t="s">
        <v>307</v>
      </c>
      <c r="C16" s="184" t="s">
        <v>291</v>
      </c>
      <c r="D16" s="185" t="s">
        <v>291</v>
      </c>
      <c r="E16" s="184"/>
      <c r="F16" s="184">
        <v>0.54166666666666663</v>
      </c>
    </row>
    <row r="17" spans="1:6" ht="15" x14ac:dyDescent="0.35">
      <c r="A17" s="219"/>
      <c r="B17" s="184" t="s">
        <v>278</v>
      </c>
      <c r="C17" s="184" t="s">
        <v>298</v>
      </c>
      <c r="D17" s="185" t="s">
        <v>308</v>
      </c>
      <c r="E17" s="184" t="s">
        <v>309</v>
      </c>
      <c r="F17" s="184">
        <v>0.20833333333333334</v>
      </c>
    </row>
    <row r="18" spans="1:6" ht="15" x14ac:dyDescent="0.35">
      <c r="A18" s="219" t="s">
        <v>286</v>
      </c>
      <c r="B18" s="184" t="s">
        <v>206</v>
      </c>
      <c r="C18" s="184" t="s">
        <v>291</v>
      </c>
      <c r="D18" s="185" t="s">
        <v>291</v>
      </c>
      <c r="E18" s="184"/>
      <c r="F18" s="184">
        <v>0.25</v>
      </c>
    </row>
    <row r="19" spans="1:6" ht="15" x14ac:dyDescent="0.35">
      <c r="A19" s="219"/>
      <c r="B19" s="184" t="s">
        <v>207</v>
      </c>
      <c r="C19" s="184" t="s">
        <v>291</v>
      </c>
      <c r="D19" s="185" t="s">
        <v>291</v>
      </c>
      <c r="E19" s="184"/>
      <c r="F19" s="184">
        <v>0.77777777777777779</v>
      </c>
    </row>
    <row r="20" spans="1:6" ht="15" x14ac:dyDescent="0.35">
      <c r="A20" s="219"/>
      <c r="B20" s="184" t="s">
        <v>210</v>
      </c>
      <c r="C20" s="184" t="s">
        <v>291</v>
      </c>
      <c r="D20" s="185" t="s">
        <v>291</v>
      </c>
      <c r="E20" s="184"/>
      <c r="F20" s="184">
        <v>0.93055555555555558</v>
      </c>
    </row>
    <row r="21" spans="1:6" ht="15" x14ac:dyDescent="0.35">
      <c r="A21" s="400" t="s">
        <v>285</v>
      </c>
      <c r="B21" s="184" t="s">
        <v>279</v>
      </c>
      <c r="C21" s="184" t="s">
        <v>291</v>
      </c>
      <c r="D21" s="185" t="s">
        <v>291</v>
      </c>
      <c r="E21" s="184"/>
      <c r="F21" s="184">
        <v>0.34722222222222221</v>
      </c>
    </row>
    <row r="22" spans="1:6" ht="15" x14ac:dyDescent="0.35">
      <c r="A22" s="401"/>
      <c r="B22" s="402" t="s">
        <v>280</v>
      </c>
      <c r="C22" s="402" t="s">
        <v>297</v>
      </c>
      <c r="D22" s="403">
        <v>110</v>
      </c>
      <c r="E22" s="402" t="s">
        <v>313</v>
      </c>
      <c r="F22" s="402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B1:S42"/>
  <sheetViews>
    <sheetView topLeftCell="A6" workbookViewId="0">
      <selection activeCell="Q23" sqref="Q23"/>
    </sheetView>
  </sheetViews>
  <sheetFormatPr defaultRowHeight="14.5" x14ac:dyDescent="0.3"/>
  <cols>
    <col min="2" max="2" width="12.59765625" bestFit="1" customWidth="1"/>
    <col min="3" max="3" width="9.09765625" bestFit="1" customWidth="1"/>
    <col min="4" max="4" width="9.796875" bestFit="1" customWidth="1"/>
    <col min="5" max="5" width="11.09765625" bestFit="1" customWidth="1"/>
    <col min="6" max="7" width="17.59765625" bestFit="1" customWidth="1"/>
    <col min="8" max="8" width="30.69921875" bestFit="1" customWidth="1"/>
    <col min="9" max="9" width="16.296875" bestFit="1" customWidth="1"/>
    <col min="10" max="10" width="22.19921875" bestFit="1" customWidth="1"/>
    <col min="11" max="11" width="22.19921875" customWidth="1"/>
    <col min="12" max="12" width="15.296875" customWidth="1"/>
  </cols>
  <sheetData>
    <row r="1" spans="2:12" ht="15" thickBot="1" x14ac:dyDescent="0.35"/>
    <row r="2" spans="2:12" x14ac:dyDescent="0.3">
      <c r="B2" s="421" t="s">
        <v>357</v>
      </c>
      <c r="C2" s="422"/>
      <c r="D2" s="422"/>
      <c r="E2" s="422"/>
      <c r="F2" s="422"/>
      <c r="G2" s="422"/>
      <c r="H2" s="422"/>
      <c r="I2" s="422"/>
      <c r="J2" s="422"/>
      <c r="K2" s="439"/>
      <c r="L2" s="423"/>
    </row>
    <row r="3" spans="2:12" x14ac:dyDescent="0.3">
      <c r="B3" s="424" t="s">
        <v>331</v>
      </c>
      <c r="C3" s="425" t="s">
        <v>338</v>
      </c>
      <c r="D3" s="426" t="s">
        <v>344</v>
      </c>
      <c r="E3" s="425" t="s">
        <v>345</v>
      </c>
      <c r="F3" s="426" t="s">
        <v>340</v>
      </c>
      <c r="G3" s="426" t="s">
        <v>341</v>
      </c>
      <c r="H3" s="426" t="s">
        <v>359</v>
      </c>
      <c r="I3" s="425" t="s">
        <v>346</v>
      </c>
      <c r="J3" s="425" t="s">
        <v>356</v>
      </c>
      <c r="K3" s="425" t="s">
        <v>361</v>
      </c>
      <c r="L3" s="427" t="s">
        <v>347</v>
      </c>
    </row>
    <row r="4" spans="2:12" x14ac:dyDescent="0.3">
      <c r="B4" s="428" t="s">
        <v>324</v>
      </c>
      <c r="C4" s="416" t="s">
        <v>334</v>
      </c>
      <c r="D4" s="417">
        <v>0.3584</v>
      </c>
      <c r="E4" s="416" t="s">
        <v>349</v>
      </c>
      <c r="F4" s="417">
        <v>-2.5999999999999999E-3</v>
      </c>
      <c r="G4" s="417">
        <v>2.4500000000000001E-2</v>
      </c>
      <c r="H4" s="417">
        <v>1.1599999999999999E-2</v>
      </c>
      <c r="I4" s="416" t="s">
        <v>350</v>
      </c>
      <c r="J4" s="416" t="s">
        <v>348</v>
      </c>
      <c r="K4" s="440"/>
      <c r="L4" s="435" t="s">
        <v>358</v>
      </c>
    </row>
    <row r="5" spans="2:12" x14ac:dyDescent="0.3">
      <c r="B5" s="429"/>
      <c r="C5" s="416" t="s">
        <v>332</v>
      </c>
      <c r="D5" s="417">
        <v>0.1885</v>
      </c>
      <c r="E5" s="416" t="s">
        <v>349</v>
      </c>
      <c r="F5" s="417">
        <v>-1.0999999999999999E-2</v>
      </c>
      <c r="G5" s="417">
        <v>7.5300000000000006E-2</v>
      </c>
      <c r="H5" s="417">
        <v>3.6900000000000002E-2</v>
      </c>
      <c r="I5" s="416" t="s">
        <v>350</v>
      </c>
      <c r="J5" s="416" t="s">
        <v>348</v>
      </c>
      <c r="K5" s="441"/>
      <c r="L5" s="436"/>
    </row>
    <row r="6" spans="2:12" x14ac:dyDescent="0.3">
      <c r="B6" s="430"/>
      <c r="C6" s="416" t="s">
        <v>333</v>
      </c>
      <c r="D6" s="417">
        <v>0.92700000000000005</v>
      </c>
      <c r="E6" s="416" t="s">
        <v>349</v>
      </c>
      <c r="F6" s="417">
        <v>0.27489999999999998</v>
      </c>
      <c r="G6" s="417">
        <v>0.24990000000000001</v>
      </c>
      <c r="H6" s="417">
        <v>1.0200000000000001E-2</v>
      </c>
      <c r="I6" s="416" t="s">
        <v>350</v>
      </c>
      <c r="J6" s="416" t="s">
        <v>352</v>
      </c>
      <c r="K6" s="442"/>
      <c r="L6" s="438" t="s">
        <v>360</v>
      </c>
    </row>
    <row r="7" spans="2:12" x14ac:dyDescent="0.3">
      <c r="B7" s="428" t="s">
        <v>325</v>
      </c>
      <c r="C7" s="416" t="s">
        <v>334</v>
      </c>
      <c r="D7" s="417">
        <v>0.16159999999999999</v>
      </c>
      <c r="E7" s="416" t="s">
        <v>349</v>
      </c>
      <c r="F7" s="417">
        <v>-1.01E-2</v>
      </c>
      <c r="G7" s="417">
        <v>2.4500000000000001E-2</v>
      </c>
      <c r="H7" s="417">
        <v>2.0199999999999999E-2</v>
      </c>
      <c r="I7" s="416" t="s">
        <v>350</v>
      </c>
      <c r="J7" s="416" t="s">
        <v>348</v>
      </c>
      <c r="K7" s="440"/>
      <c r="L7" s="435" t="s">
        <v>358</v>
      </c>
    </row>
    <row r="8" spans="2:12" x14ac:dyDescent="0.3">
      <c r="B8" s="429"/>
      <c r="C8" s="416" t="s">
        <v>332</v>
      </c>
      <c r="D8" s="417">
        <v>0.2011</v>
      </c>
      <c r="E8" s="416" t="s">
        <v>349</v>
      </c>
      <c r="F8" s="417">
        <v>-2.92E-2</v>
      </c>
      <c r="G8" s="417">
        <v>7.5300000000000006E-2</v>
      </c>
      <c r="H8" s="417">
        <v>6.08E-2</v>
      </c>
      <c r="I8" s="416" t="s">
        <v>353</v>
      </c>
      <c r="J8" s="416" t="s">
        <v>348</v>
      </c>
      <c r="K8" s="441"/>
      <c r="L8" s="436" t="s">
        <v>351</v>
      </c>
    </row>
    <row r="9" spans="2:12" x14ac:dyDescent="0.3">
      <c r="B9" s="430"/>
      <c r="C9" s="416" t="s">
        <v>333</v>
      </c>
      <c r="D9" s="417">
        <v>0.58699999999999997</v>
      </c>
      <c r="E9" s="416" t="s">
        <v>349</v>
      </c>
      <c r="F9" s="417">
        <v>0.13339999999999999</v>
      </c>
      <c r="G9" s="417">
        <v>0.24990000000000001</v>
      </c>
      <c r="H9" s="417">
        <v>6.5000000000000002E-2</v>
      </c>
      <c r="I9" s="416" t="s">
        <v>353</v>
      </c>
      <c r="J9" s="416" t="s">
        <v>352</v>
      </c>
      <c r="K9" s="442"/>
      <c r="L9" s="437" t="s">
        <v>349</v>
      </c>
    </row>
    <row r="10" spans="2:12" x14ac:dyDescent="0.3">
      <c r="B10" s="428" t="s">
        <v>327</v>
      </c>
      <c r="C10" s="416" t="s">
        <v>334</v>
      </c>
      <c r="D10" s="417">
        <v>0.40710000000000002</v>
      </c>
      <c r="E10" s="416" t="s">
        <v>349</v>
      </c>
      <c r="F10" s="417">
        <v>2.3999999999999998E-3</v>
      </c>
      <c r="G10" s="417">
        <v>2.4500000000000001E-2</v>
      </c>
      <c r="H10" s="417">
        <v>1.11E-2</v>
      </c>
      <c r="I10" s="416" t="s">
        <v>350</v>
      </c>
      <c r="J10" s="416" t="s">
        <v>352</v>
      </c>
      <c r="K10" s="443"/>
      <c r="L10" s="418" t="s">
        <v>349</v>
      </c>
    </row>
    <row r="11" spans="2:12" x14ac:dyDescent="0.3">
      <c r="B11" s="429"/>
      <c r="C11" s="416" t="s">
        <v>332</v>
      </c>
      <c r="D11" s="417">
        <v>0.41170000000000001</v>
      </c>
      <c r="E11" s="416" t="s">
        <v>349</v>
      </c>
      <c r="F11" s="417">
        <v>7.4000000000000003E-3</v>
      </c>
      <c r="G11" s="417">
        <v>7.5300000000000006E-2</v>
      </c>
      <c r="H11" s="417">
        <v>3.4200000000000001E-2</v>
      </c>
      <c r="I11" s="416" t="s">
        <v>350</v>
      </c>
      <c r="J11" s="416" t="s">
        <v>352</v>
      </c>
      <c r="K11" s="443"/>
      <c r="L11" s="418" t="s">
        <v>349</v>
      </c>
    </row>
    <row r="12" spans="2:12" x14ac:dyDescent="0.3">
      <c r="B12" s="430"/>
      <c r="C12" s="416" t="s">
        <v>333</v>
      </c>
      <c r="D12" s="417">
        <v>0.27489999999999998</v>
      </c>
      <c r="E12" s="416" t="s">
        <v>349</v>
      </c>
      <c r="F12" s="417">
        <v>8.3299999999999999E-2</v>
      </c>
      <c r="G12" s="417">
        <v>0.24990000000000001</v>
      </c>
      <c r="H12" s="417">
        <v>8.4199999999999997E-2</v>
      </c>
      <c r="I12" s="416" t="s">
        <v>353</v>
      </c>
      <c r="J12" s="416" t="s">
        <v>352</v>
      </c>
      <c r="K12" s="443"/>
      <c r="L12" s="418" t="s">
        <v>349</v>
      </c>
    </row>
    <row r="13" spans="2:12" x14ac:dyDescent="0.3">
      <c r="B13" s="428" t="s">
        <v>326</v>
      </c>
      <c r="C13" s="416" t="s">
        <v>334</v>
      </c>
      <c r="D13" s="417">
        <v>0.99980000000000002</v>
      </c>
      <c r="E13" s="416" t="s">
        <v>349</v>
      </c>
      <c r="F13" s="417">
        <v>2.4500000000000001E-2</v>
      </c>
      <c r="G13" s="417">
        <v>2.4500000000000001E-2</v>
      </c>
      <c r="H13" s="417">
        <v>0</v>
      </c>
      <c r="I13" s="416" t="s">
        <v>350</v>
      </c>
      <c r="J13" s="416" t="s">
        <v>352</v>
      </c>
      <c r="K13" s="443"/>
      <c r="L13" s="418" t="s">
        <v>349</v>
      </c>
    </row>
    <row r="14" spans="2:12" x14ac:dyDescent="0.3">
      <c r="B14" s="429"/>
      <c r="C14" s="416" t="s">
        <v>332</v>
      </c>
      <c r="D14" s="417">
        <v>0.99890000000000001</v>
      </c>
      <c r="E14" s="416" t="s">
        <v>349</v>
      </c>
      <c r="F14" s="417">
        <v>7.51E-2</v>
      </c>
      <c r="G14" s="417">
        <v>7.5300000000000006E-2</v>
      </c>
      <c r="H14" s="417">
        <v>1E-4</v>
      </c>
      <c r="I14" s="416" t="s">
        <v>350</v>
      </c>
      <c r="J14" s="416" t="s">
        <v>352</v>
      </c>
      <c r="K14" s="443"/>
      <c r="L14" s="418" t="s">
        <v>349</v>
      </c>
    </row>
    <row r="15" spans="2:12" x14ac:dyDescent="0.3">
      <c r="B15" s="430"/>
      <c r="C15" s="416" t="s">
        <v>333</v>
      </c>
      <c r="D15" s="417">
        <v>0.23350000000000001</v>
      </c>
      <c r="E15" s="416" t="s">
        <v>349</v>
      </c>
      <c r="F15" s="417">
        <v>0.75790000000000002</v>
      </c>
      <c r="G15" s="417">
        <v>0.24990000000000001</v>
      </c>
      <c r="H15" s="417">
        <v>0.2402</v>
      </c>
      <c r="I15" s="416" t="s">
        <v>354</v>
      </c>
      <c r="J15" s="416" t="s">
        <v>352</v>
      </c>
      <c r="K15" s="445" t="s">
        <v>358</v>
      </c>
      <c r="L15" s="418" t="s">
        <v>351</v>
      </c>
    </row>
    <row r="16" spans="2:12" x14ac:dyDescent="0.3">
      <c r="B16" s="428" t="s">
        <v>328</v>
      </c>
      <c r="C16" s="416" t="s">
        <v>334</v>
      </c>
      <c r="D16" s="417">
        <v>0.81659999999999999</v>
      </c>
      <c r="E16" s="416" t="s">
        <v>349</v>
      </c>
      <c r="F16" s="417">
        <v>3.0800000000000001E-2</v>
      </c>
      <c r="G16" s="417">
        <v>2.4500000000000001E-2</v>
      </c>
      <c r="H16" s="417">
        <v>3.3999999999999998E-3</v>
      </c>
      <c r="I16" s="416" t="s">
        <v>350</v>
      </c>
      <c r="J16" s="416" t="s">
        <v>352</v>
      </c>
      <c r="K16" s="443"/>
      <c r="L16" s="418" t="s">
        <v>349</v>
      </c>
    </row>
    <row r="17" spans="2:19" x14ac:dyDescent="0.3">
      <c r="B17" s="429"/>
      <c r="C17" s="416" t="s">
        <v>332</v>
      </c>
      <c r="D17" s="417">
        <v>0.81840000000000002</v>
      </c>
      <c r="E17" s="416" t="s">
        <v>349</v>
      </c>
      <c r="F17" s="417">
        <v>9.5299999999999996E-2</v>
      </c>
      <c r="G17" s="417">
        <v>7.5300000000000006E-2</v>
      </c>
      <c r="H17" s="417">
        <v>1.09E-2</v>
      </c>
      <c r="I17" s="416" t="s">
        <v>350</v>
      </c>
      <c r="J17" s="416" t="s">
        <v>352</v>
      </c>
      <c r="K17" s="443"/>
      <c r="L17" s="418" t="s">
        <v>349</v>
      </c>
    </row>
    <row r="18" spans="2:19" x14ac:dyDescent="0.3">
      <c r="B18" s="430"/>
      <c r="C18" s="416" t="s">
        <v>333</v>
      </c>
      <c r="D18" s="417">
        <v>0.57630000000000003</v>
      </c>
      <c r="E18" s="416" t="s">
        <v>349</v>
      </c>
      <c r="F18" s="417">
        <v>0.15840000000000001</v>
      </c>
      <c r="G18" s="417">
        <v>0.24990000000000001</v>
      </c>
      <c r="H18" s="417">
        <v>4.9599999999999998E-2</v>
      </c>
      <c r="I18" s="416" t="s">
        <v>350</v>
      </c>
      <c r="J18" s="416" t="s">
        <v>352</v>
      </c>
      <c r="K18" s="443"/>
      <c r="L18" s="418" t="s">
        <v>349</v>
      </c>
    </row>
    <row r="19" spans="2:19" x14ac:dyDescent="0.3">
      <c r="B19" s="428" t="s">
        <v>329</v>
      </c>
      <c r="C19" s="416" t="s">
        <v>334</v>
      </c>
      <c r="D19" s="417">
        <v>5.4699999999999999E-2</v>
      </c>
      <c r="E19" s="416" t="s">
        <v>351</v>
      </c>
      <c r="F19" s="417">
        <v>0.11559999999999999</v>
      </c>
      <c r="G19" s="417">
        <v>2.4500000000000001E-2</v>
      </c>
      <c r="H19" s="417">
        <v>1.9900000000000001E-2</v>
      </c>
      <c r="I19" s="416" t="s">
        <v>350</v>
      </c>
      <c r="J19" s="416" t="s">
        <v>352</v>
      </c>
      <c r="K19" s="440"/>
      <c r="L19" s="432" t="s">
        <v>358</v>
      </c>
    </row>
    <row r="20" spans="2:19" x14ac:dyDescent="0.3">
      <c r="B20" s="429"/>
      <c r="C20" s="416" t="s">
        <v>332</v>
      </c>
      <c r="D20" s="417">
        <v>6.2199999999999998E-2</v>
      </c>
      <c r="E20" s="416" t="s">
        <v>351</v>
      </c>
      <c r="F20" s="417">
        <v>0.34420000000000001</v>
      </c>
      <c r="G20" s="417">
        <v>7.5300000000000006E-2</v>
      </c>
      <c r="H20" s="417">
        <v>5.8799999999999998E-2</v>
      </c>
      <c r="I20" s="416" t="s">
        <v>353</v>
      </c>
      <c r="J20" s="416" t="s">
        <v>352</v>
      </c>
      <c r="K20" s="441"/>
      <c r="L20" s="433"/>
    </row>
    <row r="21" spans="2:19" ht="15" thickBot="1" x14ac:dyDescent="0.35">
      <c r="B21" s="431"/>
      <c r="C21" s="419" t="s">
        <v>333</v>
      </c>
      <c r="D21" s="420">
        <v>5.4199999999999998E-2</v>
      </c>
      <c r="E21" s="419" t="s">
        <v>351</v>
      </c>
      <c r="F21" s="420">
        <v>1.0748</v>
      </c>
      <c r="G21" s="420">
        <v>0.24990000000000001</v>
      </c>
      <c r="H21" s="420">
        <v>0.17249999999999999</v>
      </c>
      <c r="I21" s="419" t="s">
        <v>355</v>
      </c>
      <c r="J21" s="419" t="s">
        <v>352</v>
      </c>
      <c r="K21" s="444"/>
      <c r="L21" s="434"/>
    </row>
    <row r="24" spans="2:19" ht="56" x14ac:dyDescent="0.3">
      <c r="B24" s="412" t="s">
        <v>336</v>
      </c>
      <c r="C24" s="413" t="s">
        <v>337</v>
      </c>
      <c r="D24" s="413" t="s">
        <v>331</v>
      </c>
      <c r="E24" s="413" t="s">
        <v>338</v>
      </c>
      <c r="F24" s="412" t="s">
        <v>339</v>
      </c>
      <c r="G24" s="412" t="s">
        <v>362</v>
      </c>
      <c r="H24" s="412" t="s">
        <v>363</v>
      </c>
      <c r="I24" s="412" t="s">
        <v>340</v>
      </c>
      <c r="J24" s="412" t="s">
        <v>341</v>
      </c>
      <c r="K24" s="412" t="s">
        <v>335</v>
      </c>
      <c r="L24" s="412" t="s">
        <v>364</v>
      </c>
      <c r="M24" s="412" t="s">
        <v>365</v>
      </c>
      <c r="N24" s="412" t="s">
        <v>342</v>
      </c>
      <c r="O24" s="413" t="s">
        <v>343</v>
      </c>
      <c r="P24" s="412" t="s">
        <v>344</v>
      </c>
      <c r="Q24" s="413" t="s">
        <v>345</v>
      </c>
      <c r="R24" s="413" t="s">
        <v>346</v>
      </c>
      <c r="S24" s="413" t="s">
        <v>347</v>
      </c>
    </row>
    <row r="25" spans="2:19" ht="42" x14ac:dyDescent="0.3">
      <c r="B25" s="414">
        <v>1</v>
      </c>
      <c r="C25" s="415" t="s">
        <v>330</v>
      </c>
      <c r="D25" s="415" t="s">
        <v>324</v>
      </c>
      <c r="E25" s="415" t="s">
        <v>334</v>
      </c>
      <c r="F25" s="414">
        <v>39</v>
      </c>
      <c r="G25" s="414">
        <v>2.5385</v>
      </c>
      <c r="H25" s="414">
        <v>2.1282000000000001</v>
      </c>
      <c r="I25" s="414">
        <v>-2.5999999999999999E-3</v>
      </c>
      <c r="J25" s="414">
        <v>2.4500000000000001E-2</v>
      </c>
      <c r="K25" s="414">
        <v>2.7099999999999999E-2</v>
      </c>
      <c r="L25" s="414">
        <v>-1.1999999999999999E-3</v>
      </c>
      <c r="M25" s="414">
        <v>9.7000000000000003E-3</v>
      </c>
      <c r="N25" s="414">
        <v>1.09E-2</v>
      </c>
      <c r="O25" s="415" t="s">
        <v>348</v>
      </c>
      <c r="P25" s="414">
        <v>0.3584</v>
      </c>
      <c r="Q25" s="415" t="s">
        <v>349</v>
      </c>
      <c r="R25" s="415" t="s">
        <v>350</v>
      </c>
      <c r="S25" s="415" t="s">
        <v>351</v>
      </c>
    </row>
    <row r="26" spans="2:19" ht="42" x14ac:dyDescent="0.3">
      <c r="B26" s="414">
        <v>1</v>
      </c>
      <c r="C26" s="415" t="s">
        <v>330</v>
      </c>
      <c r="D26" s="415" t="s">
        <v>324</v>
      </c>
      <c r="E26" s="415" t="s">
        <v>332</v>
      </c>
      <c r="F26" s="414">
        <v>13</v>
      </c>
      <c r="G26" s="414">
        <v>2.5385</v>
      </c>
      <c r="H26" s="414">
        <v>2.1282000000000001</v>
      </c>
      <c r="I26" s="414">
        <v>-1.0999999999999999E-2</v>
      </c>
      <c r="J26" s="414">
        <v>7.5300000000000006E-2</v>
      </c>
      <c r="K26" s="414">
        <v>8.6199999999999999E-2</v>
      </c>
      <c r="L26" s="414">
        <v>-5.1000000000000004E-3</v>
      </c>
      <c r="M26" s="414">
        <v>2.9600000000000001E-2</v>
      </c>
      <c r="N26" s="414">
        <v>3.4799999999999998E-2</v>
      </c>
      <c r="O26" s="415" t="s">
        <v>348</v>
      </c>
      <c r="P26" s="414">
        <v>0.1885</v>
      </c>
      <c r="Q26" s="415" t="s">
        <v>349</v>
      </c>
      <c r="R26" s="415" t="s">
        <v>350</v>
      </c>
      <c r="S26" s="415" t="s">
        <v>351</v>
      </c>
    </row>
    <row r="27" spans="2:19" ht="28" x14ac:dyDescent="0.3">
      <c r="B27" s="414">
        <v>1</v>
      </c>
      <c r="C27" s="415" t="s">
        <v>330</v>
      </c>
      <c r="D27" s="415" t="s">
        <v>324</v>
      </c>
      <c r="E27" s="415" t="s">
        <v>333</v>
      </c>
      <c r="F27" s="414">
        <v>4</v>
      </c>
      <c r="G27" s="414">
        <v>2.5417000000000001</v>
      </c>
      <c r="H27" s="414">
        <v>2.3542000000000001</v>
      </c>
      <c r="I27" s="414">
        <v>0.27489999999999998</v>
      </c>
      <c r="J27" s="414">
        <v>0.24990000000000001</v>
      </c>
      <c r="K27" s="414">
        <v>-2.5000000000000001E-2</v>
      </c>
      <c r="L27" s="414">
        <v>0.1168</v>
      </c>
      <c r="M27" s="414">
        <v>9.8299999999999998E-2</v>
      </c>
      <c r="N27" s="414">
        <v>1.84E-2</v>
      </c>
      <c r="O27" s="415" t="s">
        <v>352</v>
      </c>
      <c r="P27" s="414">
        <v>0.92700000000000005</v>
      </c>
      <c r="Q27" s="415" t="s">
        <v>349</v>
      </c>
      <c r="R27" s="415" t="s">
        <v>350</v>
      </c>
      <c r="S27" s="415" t="s">
        <v>349</v>
      </c>
    </row>
    <row r="28" spans="2:19" ht="42" x14ac:dyDescent="0.3">
      <c r="B28" s="414">
        <v>1</v>
      </c>
      <c r="C28" s="415" t="s">
        <v>330</v>
      </c>
      <c r="D28" s="415" t="s">
        <v>325</v>
      </c>
      <c r="E28" s="415" t="s">
        <v>334</v>
      </c>
      <c r="F28" s="414">
        <v>39</v>
      </c>
      <c r="G28" s="414">
        <v>2.5385</v>
      </c>
      <c r="H28" s="414">
        <v>0.89739999999999998</v>
      </c>
      <c r="I28" s="414">
        <v>-1.01E-2</v>
      </c>
      <c r="J28" s="414">
        <v>2.4500000000000001E-2</v>
      </c>
      <c r="K28" s="414">
        <v>3.4700000000000002E-2</v>
      </c>
      <c r="L28" s="414">
        <v>-1.1299999999999999E-2</v>
      </c>
      <c r="M28" s="414">
        <v>9.7000000000000003E-3</v>
      </c>
      <c r="N28" s="414">
        <v>2.1000000000000001E-2</v>
      </c>
      <c r="O28" s="415" t="s">
        <v>348</v>
      </c>
      <c r="P28" s="414">
        <v>0.16159999999999999</v>
      </c>
      <c r="Q28" s="415" t="s">
        <v>349</v>
      </c>
      <c r="R28" s="415" t="s">
        <v>350</v>
      </c>
      <c r="S28" s="415" t="s">
        <v>351</v>
      </c>
    </row>
    <row r="29" spans="2:19" ht="42" x14ac:dyDescent="0.3">
      <c r="B29" s="414">
        <v>1</v>
      </c>
      <c r="C29" s="415" t="s">
        <v>330</v>
      </c>
      <c r="D29" s="415" t="s">
        <v>325</v>
      </c>
      <c r="E29" s="415" t="s">
        <v>332</v>
      </c>
      <c r="F29" s="414">
        <v>13</v>
      </c>
      <c r="G29" s="414">
        <v>2.5385</v>
      </c>
      <c r="H29" s="414">
        <v>0.89739999999999998</v>
      </c>
      <c r="I29" s="414">
        <v>-2.92E-2</v>
      </c>
      <c r="J29" s="414">
        <v>7.5300000000000006E-2</v>
      </c>
      <c r="K29" s="414">
        <v>0.1045</v>
      </c>
      <c r="L29" s="414">
        <v>-3.2599999999999997E-2</v>
      </c>
      <c r="M29" s="414">
        <v>2.9600000000000001E-2</v>
      </c>
      <c r="N29" s="414">
        <v>6.2199999999999998E-2</v>
      </c>
      <c r="O29" s="415" t="s">
        <v>348</v>
      </c>
      <c r="P29" s="414">
        <v>0.2011</v>
      </c>
      <c r="Q29" s="415" t="s">
        <v>349</v>
      </c>
      <c r="R29" s="415" t="s">
        <v>353</v>
      </c>
      <c r="S29" s="415" t="s">
        <v>351</v>
      </c>
    </row>
    <row r="30" spans="2:19" ht="28" x14ac:dyDescent="0.3">
      <c r="B30" s="414">
        <v>1</v>
      </c>
      <c r="C30" s="415" t="s">
        <v>330</v>
      </c>
      <c r="D30" s="415" t="s">
        <v>325</v>
      </c>
      <c r="E30" s="415" t="s">
        <v>333</v>
      </c>
      <c r="F30" s="414">
        <v>4</v>
      </c>
      <c r="G30" s="414">
        <v>2.5417000000000001</v>
      </c>
      <c r="H30" s="414">
        <v>1.0417000000000001</v>
      </c>
      <c r="I30" s="414">
        <v>0.13339999999999999</v>
      </c>
      <c r="J30" s="414">
        <v>0.24990000000000001</v>
      </c>
      <c r="K30" s="414">
        <v>0.11650000000000001</v>
      </c>
      <c r="L30" s="414">
        <v>0.12809999999999999</v>
      </c>
      <c r="M30" s="414">
        <v>9.8299999999999998E-2</v>
      </c>
      <c r="N30" s="414">
        <v>2.9700000000000001E-2</v>
      </c>
      <c r="O30" s="415" t="s">
        <v>352</v>
      </c>
      <c r="P30" s="414">
        <v>0.58699999999999997</v>
      </c>
      <c r="Q30" s="415" t="s">
        <v>349</v>
      </c>
      <c r="R30" s="415" t="s">
        <v>350</v>
      </c>
      <c r="S30" s="415" t="s">
        <v>349</v>
      </c>
    </row>
    <row r="31" spans="2:19" ht="28" x14ac:dyDescent="0.3">
      <c r="B31" s="414">
        <v>1</v>
      </c>
      <c r="C31" s="415" t="s">
        <v>330</v>
      </c>
      <c r="D31" s="415" t="s">
        <v>327</v>
      </c>
      <c r="E31" s="415" t="s">
        <v>334</v>
      </c>
      <c r="F31" s="414">
        <v>39</v>
      </c>
      <c r="G31" s="414">
        <v>2.5385</v>
      </c>
      <c r="H31" s="414">
        <v>1.4359</v>
      </c>
      <c r="I31" s="414">
        <v>2.3999999999999998E-3</v>
      </c>
      <c r="J31" s="414">
        <v>2.4500000000000001E-2</v>
      </c>
      <c r="K31" s="414">
        <v>2.2100000000000002E-2</v>
      </c>
      <c r="L31" s="414">
        <v>1.6999999999999999E-3</v>
      </c>
      <c r="M31" s="414">
        <v>9.7000000000000003E-3</v>
      </c>
      <c r="N31" s="414">
        <v>8.0000000000000002E-3</v>
      </c>
      <c r="O31" s="415" t="s">
        <v>352</v>
      </c>
      <c r="P31" s="414">
        <v>0.40710000000000002</v>
      </c>
      <c r="Q31" s="415" t="s">
        <v>349</v>
      </c>
      <c r="R31" s="415" t="s">
        <v>350</v>
      </c>
      <c r="S31" s="415" t="s">
        <v>349</v>
      </c>
    </row>
    <row r="32" spans="2:19" ht="28" x14ac:dyDescent="0.3">
      <c r="B32" s="414">
        <v>1</v>
      </c>
      <c r="C32" s="415" t="s">
        <v>330</v>
      </c>
      <c r="D32" s="415" t="s">
        <v>327</v>
      </c>
      <c r="E32" s="415" t="s">
        <v>332</v>
      </c>
      <c r="F32" s="414">
        <v>13</v>
      </c>
      <c r="G32" s="414">
        <v>2.5385</v>
      </c>
      <c r="H32" s="414">
        <v>1.4359</v>
      </c>
      <c r="I32" s="414">
        <v>7.4000000000000003E-3</v>
      </c>
      <c r="J32" s="414">
        <v>7.5300000000000006E-2</v>
      </c>
      <c r="K32" s="414">
        <v>6.7900000000000002E-2</v>
      </c>
      <c r="L32" s="414">
        <v>5.1000000000000004E-3</v>
      </c>
      <c r="M32" s="414">
        <v>2.9600000000000001E-2</v>
      </c>
      <c r="N32" s="414">
        <v>2.4500000000000001E-2</v>
      </c>
      <c r="O32" s="415" t="s">
        <v>352</v>
      </c>
      <c r="P32" s="414">
        <v>0.41170000000000001</v>
      </c>
      <c r="Q32" s="415" t="s">
        <v>349</v>
      </c>
      <c r="R32" s="415" t="s">
        <v>350</v>
      </c>
      <c r="S32" s="415" t="s">
        <v>349</v>
      </c>
    </row>
    <row r="33" spans="2:19" ht="28" x14ac:dyDescent="0.3">
      <c r="B33" s="414">
        <v>1</v>
      </c>
      <c r="C33" s="415" t="s">
        <v>330</v>
      </c>
      <c r="D33" s="415" t="s">
        <v>327</v>
      </c>
      <c r="E33" s="415" t="s">
        <v>333</v>
      </c>
      <c r="F33" s="414">
        <v>4</v>
      </c>
      <c r="G33" s="414">
        <v>2.5417000000000001</v>
      </c>
      <c r="H33" s="414">
        <v>1.4167000000000001</v>
      </c>
      <c r="I33" s="414">
        <v>8.3299999999999999E-2</v>
      </c>
      <c r="J33" s="414">
        <v>0.24990000000000001</v>
      </c>
      <c r="K33" s="414">
        <v>0.1666</v>
      </c>
      <c r="L33" s="414">
        <v>5.8799999999999998E-2</v>
      </c>
      <c r="M33" s="414">
        <v>9.8299999999999998E-2</v>
      </c>
      <c r="N33" s="414">
        <v>3.95E-2</v>
      </c>
      <c r="O33" s="415" t="s">
        <v>352</v>
      </c>
      <c r="P33" s="414">
        <v>0.27489999999999998</v>
      </c>
      <c r="Q33" s="415" t="s">
        <v>349</v>
      </c>
      <c r="R33" s="415" t="s">
        <v>350</v>
      </c>
      <c r="S33" s="415" t="s">
        <v>349</v>
      </c>
    </row>
    <row r="34" spans="2:19" ht="28" x14ac:dyDescent="0.3">
      <c r="B34" s="414">
        <v>1</v>
      </c>
      <c r="C34" s="415" t="s">
        <v>330</v>
      </c>
      <c r="D34" s="415" t="s">
        <v>326</v>
      </c>
      <c r="E34" s="415" t="s">
        <v>334</v>
      </c>
      <c r="F34" s="414">
        <v>39</v>
      </c>
      <c r="G34" s="414">
        <v>2.5385</v>
      </c>
      <c r="H34" s="414">
        <v>1.2307999999999999</v>
      </c>
      <c r="I34" s="414">
        <v>2.4500000000000001E-2</v>
      </c>
      <c r="J34" s="414">
        <v>2.4500000000000001E-2</v>
      </c>
      <c r="K34" s="414">
        <v>0</v>
      </c>
      <c r="L34" s="414">
        <v>1.9900000000000001E-2</v>
      </c>
      <c r="M34" s="414">
        <v>9.7000000000000003E-3</v>
      </c>
      <c r="N34" s="414">
        <v>1.03E-2</v>
      </c>
      <c r="O34" s="415" t="s">
        <v>352</v>
      </c>
      <c r="P34" s="414">
        <v>0.99980000000000002</v>
      </c>
      <c r="Q34" s="415" t="s">
        <v>349</v>
      </c>
      <c r="R34" s="415" t="s">
        <v>350</v>
      </c>
      <c r="S34" s="415" t="s">
        <v>349</v>
      </c>
    </row>
    <row r="35" spans="2:19" ht="28" x14ac:dyDescent="0.3">
      <c r="B35" s="414">
        <v>1</v>
      </c>
      <c r="C35" s="415" t="s">
        <v>330</v>
      </c>
      <c r="D35" s="415" t="s">
        <v>326</v>
      </c>
      <c r="E35" s="415" t="s">
        <v>332</v>
      </c>
      <c r="F35" s="414">
        <v>13</v>
      </c>
      <c r="G35" s="414">
        <v>2.5385</v>
      </c>
      <c r="H35" s="414">
        <v>1.2307999999999999</v>
      </c>
      <c r="I35" s="414">
        <v>7.51E-2</v>
      </c>
      <c r="J35" s="414">
        <v>7.5300000000000006E-2</v>
      </c>
      <c r="K35" s="414">
        <v>1E-4</v>
      </c>
      <c r="L35" s="414">
        <v>6.0999999999999999E-2</v>
      </c>
      <c r="M35" s="414">
        <v>2.9600000000000001E-2</v>
      </c>
      <c r="N35" s="414">
        <v>3.1399999999999997E-2</v>
      </c>
      <c r="O35" s="415" t="s">
        <v>352</v>
      </c>
      <c r="P35" s="414">
        <v>0.99890000000000001</v>
      </c>
      <c r="Q35" s="415" t="s">
        <v>349</v>
      </c>
      <c r="R35" s="415" t="s">
        <v>350</v>
      </c>
      <c r="S35" s="415" t="s">
        <v>349</v>
      </c>
    </row>
    <row r="36" spans="2:19" ht="28" x14ac:dyDescent="0.3">
      <c r="B36" s="414">
        <v>1</v>
      </c>
      <c r="C36" s="415" t="s">
        <v>330</v>
      </c>
      <c r="D36" s="415" t="s">
        <v>326</v>
      </c>
      <c r="E36" s="415" t="s">
        <v>333</v>
      </c>
      <c r="F36" s="414">
        <v>4</v>
      </c>
      <c r="G36" s="414">
        <v>2.5417000000000001</v>
      </c>
      <c r="H36" s="414">
        <v>1.6875</v>
      </c>
      <c r="I36" s="414">
        <v>0.75790000000000002</v>
      </c>
      <c r="J36" s="414">
        <v>0.24990000000000001</v>
      </c>
      <c r="K36" s="414">
        <v>-0.50800000000000001</v>
      </c>
      <c r="L36" s="414">
        <v>0.4491</v>
      </c>
      <c r="M36" s="414">
        <v>9.8299999999999998E-2</v>
      </c>
      <c r="N36" s="414">
        <v>0.3508</v>
      </c>
      <c r="O36" s="415" t="s">
        <v>352</v>
      </c>
      <c r="P36" s="414">
        <v>0.23350000000000001</v>
      </c>
      <c r="Q36" s="415" t="s">
        <v>349</v>
      </c>
      <c r="R36" s="415" t="s">
        <v>354</v>
      </c>
      <c r="S36" s="415" t="s">
        <v>351</v>
      </c>
    </row>
    <row r="37" spans="2:19" ht="28" x14ac:dyDescent="0.3">
      <c r="B37" s="414">
        <v>1</v>
      </c>
      <c r="C37" s="415" t="s">
        <v>330</v>
      </c>
      <c r="D37" s="415" t="s">
        <v>328</v>
      </c>
      <c r="E37" s="415" t="s">
        <v>334</v>
      </c>
      <c r="F37" s="414">
        <v>39</v>
      </c>
      <c r="G37" s="414">
        <v>2.5385</v>
      </c>
      <c r="H37" s="414">
        <v>1.1282000000000001</v>
      </c>
      <c r="I37" s="414">
        <v>3.0800000000000001E-2</v>
      </c>
      <c r="J37" s="414">
        <v>2.4500000000000001E-2</v>
      </c>
      <c r="K37" s="414">
        <v>-6.3E-3</v>
      </c>
      <c r="L37" s="414">
        <v>2.7300000000000001E-2</v>
      </c>
      <c r="M37" s="414">
        <v>9.7000000000000003E-3</v>
      </c>
      <c r="N37" s="414">
        <v>1.77E-2</v>
      </c>
      <c r="O37" s="415" t="s">
        <v>352</v>
      </c>
      <c r="P37" s="414">
        <v>0.81659999999999999</v>
      </c>
      <c r="Q37" s="415" t="s">
        <v>349</v>
      </c>
      <c r="R37" s="415" t="s">
        <v>350</v>
      </c>
      <c r="S37" s="415" t="s">
        <v>349</v>
      </c>
    </row>
    <row r="38" spans="2:19" ht="28" x14ac:dyDescent="0.3">
      <c r="B38" s="414">
        <v>1</v>
      </c>
      <c r="C38" s="415" t="s">
        <v>330</v>
      </c>
      <c r="D38" s="415" t="s">
        <v>328</v>
      </c>
      <c r="E38" s="415" t="s">
        <v>332</v>
      </c>
      <c r="F38" s="414">
        <v>13</v>
      </c>
      <c r="G38" s="414">
        <v>2.5385</v>
      </c>
      <c r="H38" s="414">
        <v>1.1282000000000001</v>
      </c>
      <c r="I38" s="414">
        <v>9.5299999999999996E-2</v>
      </c>
      <c r="J38" s="414">
        <v>7.5300000000000006E-2</v>
      </c>
      <c r="K38" s="414">
        <v>-0.02</v>
      </c>
      <c r="L38" s="414">
        <v>8.4500000000000006E-2</v>
      </c>
      <c r="M38" s="414">
        <v>2.9600000000000001E-2</v>
      </c>
      <c r="N38" s="414">
        <v>5.4800000000000001E-2</v>
      </c>
      <c r="O38" s="415" t="s">
        <v>352</v>
      </c>
      <c r="P38" s="414">
        <v>0.81840000000000002</v>
      </c>
      <c r="Q38" s="415" t="s">
        <v>349</v>
      </c>
      <c r="R38" s="415" t="s">
        <v>353</v>
      </c>
      <c r="S38" s="415" t="s">
        <v>349</v>
      </c>
    </row>
    <row r="39" spans="2:19" ht="28" x14ac:dyDescent="0.3">
      <c r="B39" s="414">
        <v>1</v>
      </c>
      <c r="C39" s="415" t="s">
        <v>330</v>
      </c>
      <c r="D39" s="415" t="s">
        <v>328</v>
      </c>
      <c r="E39" s="415" t="s">
        <v>333</v>
      </c>
      <c r="F39" s="414">
        <v>4</v>
      </c>
      <c r="G39" s="414">
        <v>2.5417000000000001</v>
      </c>
      <c r="H39" s="414">
        <v>1.1457999999999999</v>
      </c>
      <c r="I39" s="414">
        <v>0.15840000000000001</v>
      </c>
      <c r="J39" s="414">
        <v>0.24990000000000001</v>
      </c>
      <c r="K39" s="414">
        <v>9.1499999999999998E-2</v>
      </c>
      <c r="L39" s="414">
        <v>0.13819999999999999</v>
      </c>
      <c r="M39" s="414">
        <v>9.8299999999999998E-2</v>
      </c>
      <c r="N39" s="414">
        <v>3.9899999999999998E-2</v>
      </c>
      <c r="O39" s="415" t="s">
        <v>352</v>
      </c>
      <c r="P39" s="414">
        <v>0.57630000000000003</v>
      </c>
      <c r="Q39" s="415" t="s">
        <v>349</v>
      </c>
      <c r="R39" s="415" t="s">
        <v>350</v>
      </c>
      <c r="S39" s="415" t="s">
        <v>349</v>
      </c>
    </row>
    <row r="40" spans="2:19" ht="28" x14ac:dyDescent="0.3">
      <c r="B40" s="414">
        <v>1</v>
      </c>
      <c r="C40" s="415" t="s">
        <v>330</v>
      </c>
      <c r="D40" s="415" t="s">
        <v>329</v>
      </c>
      <c r="E40" s="415" t="s">
        <v>334</v>
      </c>
      <c r="F40" s="414">
        <v>39</v>
      </c>
      <c r="G40" s="414">
        <v>2.5385</v>
      </c>
      <c r="H40" s="414">
        <v>6.6154000000000002</v>
      </c>
      <c r="I40" s="414">
        <v>0.11559999999999999</v>
      </c>
      <c r="J40" s="414">
        <v>2.4500000000000001E-2</v>
      </c>
      <c r="K40" s="414">
        <v>-9.11E-2</v>
      </c>
      <c r="L40" s="414">
        <v>1.7500000000000002E-2</v>
      </c>
      <c r="M40" s="414">
        <v>9.7000000000000003E-3</v>
      </c>
      <c r="N40" s="414">
        <v>7.7999999999999996E-3</v>
      </c>
      <c r="O40" s="415" t="s">
        <v>352</v>
      </c>
      <c r="P40" s="414">
        <v>5.4699999999999999E-2</v>
      </c>
      <c r="Q40" s="415" t="s">
        <v>351</v>
      </c>
      <c r="R40" s="415" t="s">
        <v>350</v>
      </c>
      <c r="S40" s="415" t="s">
        <v>351</v>
      </c>
    </row>
    <row r="41" spans="2:19" ht="28" x14ac:dyDescent="0.3">
      <c r="B41" s="414">
        <v>1</v>
      </c>
      <c r="C41" s="415" t="s">
        <v>330</v>
      </c>
      <c r="D41" s="415" t="s">
        <v>329</v>
      </c>
      <c r="E41" s="415" t="s">
        <v>332</v>
      </c>
      <c r="F41" s="414">
        <v>13</v>
      </c>
      <c r="G41" s="414">
        <v>2.5385</v>
      </c>
      <c r="H41" s="414">
        <v>6.6154000000000002</v>
      </c>
      <c r="I41" s="414">
        <v>0.34420000000000001</v>
      </c>
      <c r="J41" s="414">
        <v>7.5300000000000006E-2</v>
      </c>
      <c r="K41" s="414">
        <v>-0.26900000000000002</v>
      </c>
      <c r="L41" s="414">
        <v>5.1999999999999998E-2</v>
      </c>
      <c r="M41" s="414">
        <v>2.9600000000000001E-2</v>
      </c>
      <c r="N41" s="414">
        <v>2.24E-2</v>
      </c>
      <c r="O41" s="415" t="s">
        <v>352</v>
      </c>
      <c r="P41" s="414">
        <v>6.2199999999999998E-2</v>
      </c>
      <c r="Q41" s="415" t="s">
        <v>351</v>
      </c>
      <c r="R41" s="415" t="s">
        <v>350</v>
      </c>
      <c r="S41" s="415" t="s">
        <v>351</v>
      </c>
    </row>
    <row r="42" spans="2:19" ht="28" x14ac:dyDescent="0.3">
      <c r="B42" s="414">
        <v>1</v>
      </c>
      <c r="C42" s="415" t="s">
        <v>330</v>
      </c>
      <c r="D42" s="415" t="s">
        <v>329</v>
      </c>
      <c r="E42" s="415" t="s">
        <v>333</v>
      </c>
      <c r="F42" s="414">
        <v>4</v>
      </c>
      <c r="G42" s="414">
        <v>2.5417000000000001</v>
      </c>
      <c r="H42" s="414">
        <v>7.0208000000000004</v>
      </c>
      <c r="I42" s="414">
        <v>1.0748</v>
      </c>
      <c r="J42" s="414">
        <v>0.24990000000000001</v>
      </c>
      <c r="K42" s="414">
        <v>-0.82489999999999997</v>
      </c>
      <c r="L42" s="414">
        <v>0.15310000000000001</v>
      </c>
      <c r="M42" s="414">
        <v>9.8299999999999998E-2</v>
      </c>
      <c r="N42" s="414">
        <v>5.4800000000000001E-2</v>
      </c>
      <c r="O42" s="415" t="s">
        <v>352</v>
      </c>
      <c r="P42" s="414">
        <v>5.4199999999999998E-2</v>
      </c>
      <c r="Q42" s="415" t="s">
        <v>351</v>
      </c>
      <c r="R42" s="415" t="s">
        <v>353</v>
      </c>
      <c r="S42" s="415" t="s">
        <v>351</v>
      </c>
    </row>
  </sheetData>
  <mergeCells count="8">
    <mergeCell ref="B13:B15"/>
    <mergeCell ref="B19:B21"/>
    <mergeCell ref="B16:B18"/>
    <mergeCell ref="L19:L21"/>
    <mergeCell ref="B2:L2"/>
    <mergeCell ref="B4:B6"/>
    <mergeCell ref="B10:B12"/>
    <mergeCell ref="B7:B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32"/>
  <sheetViews>
    <sheetView tabSelected="1" topLeftCell="A7" workbookViewId="0">
      <selection activeCell="P18" sqref="P18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100" t="s">
        <v>166</v>
      </c>
      <c r="B1" s="100" t="s">
        <v>71</v>
      </c>
      <c r="C1" s="100" t="s">
        <v>196</v>
      </c>
    </row>
    <row r="2" spans="1:3" ht="16.5" x14ac:dyDescent="0.45">
      <c r="A2" s="106" t="s">
        <v>3</v>
      </c>
      <c r="B2" s="106" t="s">
        <v>324</v>
      </c>
      <c r="C2" s="106">
        <v>1</v>
      </c>
    </row>
    <row r="3" spans="1:3" ht="16.5" x14ac:dyDescent="0.45">
      <c r="A3" s="106" t="s">
        <v>3</v>
      </c>
      <c r="B3" s="106" t="s">
        <v>325</v>
      </c>
      <c r="C3" s="106">
        <v>1</v>
      </c>
    </row>
    <row r="4" spans="1:3" ht="16.5" x14ac:dyDescent="0.45">
      <c r="A4" s="106" t="s">
        <v>3</v>
      </c>
      <c r="B4" s="106" t="s">
        <v>326</v>
      </c>
      <c r="C4" s="106">
        <v>1</v>
      </c>
    </row>
    <row r="5" spans="1:3" ht="16.5" x14ac:dyDescent="0.45">
      <c r="A5" s="106" t="s">
        <v>3</v>
      </c>
      <c r="B5" s="106" t="s">
        <v>327</v>
      </c>
      <c r="C5" s="106">
        <v>1</v>
      </c>
    </row>
    <row r="6" spans="1:3" ht="16.5" x14ac:dyDescent="0.45">
      <c r="A6" s="106" t="s">
        <v>3</v>
      </c>
      <c r="B6" s="106" t="s">
        <v>328</v>
      </c>
      <c r="C6" s="106">
        <v>1</v>
      </c>
    </row>
    <row r="7" spans="1:3" ht="16.5" x14ac:dyDescent="0.45">
      <c r="A7" s="106" t="s">
        <v>3</v>
      </c>
      <c r="B7" s="107" t="s">
        <v>329</v>
      </c>
      <c r="C7" s="106">
        <v>1</v>
      </c>
    </row>
    <row r="8" spans="1:3" ht="16.5" x14ac:dyDescent="0.45">
      <c r="A8" s="106" t="s">
        <v>4</v>
      </c>
      <c r="B8" s="107" t="s">
        <v>232</v>
      </c>
      <c r="C8" s="106">
        <v>2</v>
      </c>
    </row>
    <row r="9" spans="1:3" ht="16.5" x14ac:dyDescent="0.45">
      <c r="A9" s="106" t="s">
        <v>4</v>
      </c>
      <c r="B9" s="107" t="s">
        <v>233</v>
      </c>
      <c r="C9" s="106">
        <v>2</v>
      </c>
    </row>
    <row r="10" spans="1:3" ht="16.5" x14ac:dyDescent="0.45">
      <c r="A10" s="106" t="s">
        <v>4</v>
      </c>
      <c r="B10" s="107" t="s">
        <v>304</v>
      </c>
      <c r="C10" s="106">
        <v>2</v>
      </c>
    </row>
    <row r="11" spans="1:3" ht="16.5" x14ac:dyDescent="0.45">
      <c r="A11" s="106" t="s">
        <v>4</v>
      </c>
      <c r="B11" s="107" t="s">
        <v>270</v>
      </c>
      <c r="C11" s="106">
        <v>2</v>
      </c>
    </row>
    <row r="12" spans="1:3" ht="16.5" x14ac:dyDescent="0.45">
      <c r="A12" s="106" t="s">
        <v>4</v>
      </c>
      <c r="B12" s="107" t="s">
        <v>215</v>
      </c>
      <c r="C12" s="106">
        <v>2</v>
      </c>
    </row>
    <row r="13" spans="1:3" ht="16.5" x14ac:dyDescent="0.45">
      <c r="A13" s="106" t="s">
        <v>4</v>
      </c>
      <c r="B13" s="107" t="s">
        <v>276</v>
      </c>
      <c r="C13" s="106">
        <v>2</v>
      </c>
    </row>
    <row r="14" spans="1:3" ht="16.5" x14ac:dyDescent="0.45">
      <c r="A14" s="106" t="s">
        <v>4</v>
      </c>
      <c r="B14" s="107" t="s">
        <v>273</v>
      </c>
      <c r="C14" s="106">
        <v>2</v>
      </c>
    </row>
    <row r="15" spans="1:3" ht="16.5" x14ac:dyDescent="0.45">
      <c r="A15" s="106" t="s">
        <v>4</v>
      </c>
      <c r="B15" s="107" t="s">
        <v>195</v>
      </c>
      <c r="C15" s="106">
        <v>2</v>
      </c>
    </row>
    <row r="16" spans="1:3" ht="16.5" x14ac:dyDescent="0.45">
      <c r="A16" s="106" t="s">
        <v>36</v>
      </c>
      <c r="B16" s="107" t="s">
        <v>279</v>
      </c>
      <c r="C16" s="106">
        <v>3</v>
      </c>
    </row>
    <row r="17" spans="1:3" ht="16.5" x14ac:dyDescent="0.45">
      <c r="A17" s="106" t="s">
        <v>36</v>
      </c>
      <c r="B17" s="107" t="s">
        <v>206</v>
      </c>
      <c r="C17" s="106">
        <v>3</v>
      </c>
    </row>
    <row r="18" spans="1:3" ht="16.5" x14ac:dyDescent="0.45">
      <c r="A18" s="106" t="s">
        <v>36</v>
      </c>
      <c r="B18" s="107" t="s">
        <v>210</v>
      </c>
      <c r="C18" s="106">
        <v>3</v>
      </c>
    </row>
    <row r="19" spans="1:3" ht="16.5" x14ac:dyDescent="0.45">
      <c r="A19" s="106" t="s">
        <v>36</v>
      </c>
      <c r="B19" s="107" t="s">
        <v>207</v>
      </c>
      <c r="C19" s="106">
        <v>3</v>
      </c>
    </row>
    <row r="20" spans="1:3" ht="16.5" x14ac:dyDescent="0.45">
      <c r="A20" s="106" t="s">
        <v>36</v>
      </c>
      <c r="B20" s="107" t="s">
        <v>278</v>
      </c>
      <c r="C20" s="106">
        <v>3</v>
      </c>
    </row>
    <row r="21" spans="1:3" ht="16.5" x14ac:dyDescent="0.45">
      <c r="A21" s="106" t="s">
        <v>36</v>
      </c>
      <c r="B21" s="107" t="s">
        <v>305</v>
      </c>
      <c r="C21" s="106">
        <v>3</v>
      </c>
    </row>
    <row r="22" spans="1:3" ht="16.5" x14ac:dyDescent="0.45">
      <c r="A22" s="106" t="s">
        <v>36</v>
      </c>
      <c r="B22" s="107" t="s">
        <v>307</v>
      </c>
      <c r="C22" s="106">
        <v>3</v>
      </c>
    </row>
    <row r="23" spans="1:3" ht="16.5" x14ac:dyDescent="0.45">
      <c r="A23" s="106" t="s">
        <v>37</v>
      </c>
      <c r="B23" s="107"/>
      <c r="C23" s="106">
        <v>4</v>
      </c>
    </row>
    <row r="24" spans="1:3" ht="16.5" x14ac:dyDescent="0.45">
      <c r="A24" s="106" t="s">
        <v>32</v>
      </c>
      <c r="B24" s="107"/>
      <c r="C24" s="106">
        <v>5</v>
      </c>
    </row>
    <row r="25" spans="1:3" ht="16.5" x14ac:dyDescent="0.45">
      <c r="A25" s="106" t="s">
        <v>79</v>
      </c>
      <c r="B25" s="107"/>
      <c r="C25" s="106">
        <v>6</v>
      </c>
    </row>
    <row r="26" spans="1:3" ht="16.5" x14ac:dyDescent="0.45">
      <c r="A26" s="106" t="s">
        <v>76</v>
      </c>
      <c r="B26" s="107" t="s">
        <v>279</v>
      </c>
      <c r="C26" s="106">
        <v>7</v>
      </c>
    </row>
    <row r="27" spans="1:3" ht="16.5" x14ac:dyDescent="0.45">
      <c r="A27" s="106" t="s">
        <v>76</v>
      </c>
      <c r="B27" s="107" t="s">
        <v>206</v>
      </c>
      <c r="C27" s="106">
        <v>7</v>
      </c>
    </row>
    <row r="28" spans="1:3" ht="16.5" x14ac:dyDescent="0.45">
      <c r="A28" s="106" t="s">
        <v>76</v>
      </c>
      <c r="B28" s="107" t="s">
        <v>210</v>
      </c>
      <c r="C28" s="106">
        <v>7</v>
      </c>
    </row>
    <row r="29" spans="1:3" ht="16.5" x14ac:dyDescent="0.45">
      <c r="A29" s="106" t="s">
        <v>76</v>
      </c>
      <c r="B29" s="107" t="s">
        <v>207</v>
      </c>
      <c r="C29" s="106">
        <v>7</v>
      </c>
    </row>
    <row r="30" spans="1:3" ht="16.5" x14ac:dyDescent="0.45">
      <c r="A30" s="106" t="s">
        <v>76</v>
      </c>
      <c r="B30" s="107" t="s">
        <v>278</v>
      </c>
      <c r="C30" s="106">
        <v>7</v>
      </c>
    </row>
    <row r="31" spans="1:3" ht="16.5" x14ac:dyDescent="0.45">
      <c r="A31" s="106" t="s">
        <v>76</v>
      </c>
      <c r="B31" s="107" t="s">
        <v>305</v>
      </c>
      <c r="C31" s="106">
        <v>7</v>
      </c>
    </row>
    <row r="32" spans="1:3" ht="16.5" x14ac:dyDescent="0.45">
      <c r="A32" s="106" t="s">
        <v>76</v>
      </c>
      <c r="B32" s="107" t="s">
        <v>307</v>
      </c>
      <c r="C32" s="106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9988F-C43E-4745-A354-14760420CC50}">
  <dimension ref="A1:BV73"/>
  <sheetViews>
    <sheetView topLeftCell="A49" zoomScale="84" workbookViewId="0">
      <selection activeCell="K88" sqref="K88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140</v>
      </c>
      <c r="B1" s="20" t="s">
        <v>141</v>
      </c>
      <c r="C1" s="6" t="s">
        <v>80</v>
      </c>
      <c r="D1" s="6" t="s">
        <v>81</v>
      </c>
      <c r="E1" s="6" t="s">
        <v>82</v>
      </c>
      <c r="F1" s="6" t="s">
        <v>83</v>
      </c>
      <c r="G1" s="6" t="s">
        <v>84</v>
      </c>
      <c r="H1" s="6" t="s">
        <v>85</v>
      </c>
      <c r="I1" s="6" t="s">
        <v>86</v>
      </c>
      <c r="J1" s="6" t="s">
        <v>87</v>
      </c>
      <c r="K1" s="6" t="s">
        <v>88</v>
      </c>
      <c r="L1" s="6" t="s">
        <v>89</v>
      </c>
      <c r="M1" s="6" t="s">
        <v>90</v>
      </c>
      <c r="N1" s="6" t="s">
        <v>91</v>
      </c>
      <c r="O1" s="6" t="s">
        <v>178</v>
      </c>
      <c r="P1" s="6" t="s">
        <v>179</v>
      </c>
      <c r="Q1" s="6" t="s">
        <v>180</v>
      </c>
      <c r="R1" s="6" t="s">
        <v>181</v>
      </c>
      <c r="S1" s="6" t="s">
        <v>182</v>
      </c>
      <c r="T1" s="6" t="s">
        <v>183</v>
      </c>
      <c r="U1" s="6" t="s">
        <v>184</v>
      </c>
      <c r="V1" s="6" t="s">
        <v>185</v>
      </c>
      <c r="W1" s="6" t="s">
        <v>186</v>
      </c>
      <c r="X1" s="6" t="s">
        <v>187</v>
      </c>
      <c r="Y1" s="6" t="s">
        <v>188</v>
      </c>
      <c r="Z1" s="6" t="s">
        <v>189</v>
      </c>
      <c r="AA1" s="12" t="s">
        <v>92</v>
      </c>
      <c r="AB1" s="12" t="s">
        <v>93</v>
      </c>
      <c r="AC1" s="12" t="s">
        <v>94</v>
      </c>
      <c r="AD1" s="12" t="s">
        <v>95</v>
      </c>
      <c r="AE1" s="12" t="s">
        <v>96</v>
      </c>
      <c r="AF1" s="12" t="s">
        <v>97</v>
      </c>
      <c r="AG1" s="12" t="s">
        <v>98</v>
      </c>
      <c r="AH1" s="12" t="s">
        <v>99</v>
      </c>
      <c r="AI1" s="12" t="s">
        <v>100</v>
      </c>
      <c r="AJ1" s="12" t="s">
        <v>101</v>
      </c>
      <c r="AK1" s="12" t="s">
        <v>102</v>
      </c>
      <c r="AL1" s="12" t="s">
        <v>103</v>
      </c>
      <c r="AM1" s="6" t="s">
        <v>104</v>
      </c>
      <c r="AN1" s="6" t="s">
        <v>105</v>
      </c>
      <c r="AO1" s="6" t="s">
        <v>106</v>
      </c>
      <c r="AP1" s="6" t="s">
        <v>107</v>
      </c>
      <c r="AQ1" s="6" t="s">
        <v>108</v>
      </c>
      <c r="AR1" s="6" t="s">
        <v>109</v>
      </c>
      <c r="AS1" s="6" t="s">
        <v>110</v>
      </c>
      <c r="AT1" s="6" t="s">
        <v>111</v>
      </c>
      <c r="AU1" s="6" t="s">
        <v>112</v>
      </c>
      <c r="AV1" s="6" t="s">
        <v>113</v>
      </c>
      <c r="AW1" s="6" t="s">
        <v>114</v>
      </c>
      <c r="AX1" s="6" t="s">
        <v>115</v>
      </c>
      <c r="AY1" s="6" t="s">
        <v>116</v>
      </c>
      <c r="AZ1" s="6" t="s">
        <v>117</v>
      </c>
      <c r="BA1" s="6" t="s">
        <v>118</v>
      </c>
      <c r="BB1" s="6" t="s">
        <v>119</v>
      </c>
      <c r="BC1" s="6" t="s">
        <v>120</v>
      </c>
      <c r="BD1" s="6" t="s">
        <v>121</v>
      </c>
      <c r="BE1" s="6" t="s">
        <v>122</v>
      </c>
      <c r="BF1" s="6" t="s">
        <v>123</v>
      </c>
      <c r="BG1" s="6" t="s">
        <v>124</v>
      </c>
      <c r="BH1" s="6" t="s">
        <v>125</v>
      </c>
      <c r="BI1" s="6" t="s">
        <v>126</v>
      </c>
      <c r="BJ1" s="6" t="s">
        <v>127</v>
      </c>
      <c r="BK1" s="6" t="s">
        <v>128</v>
      </c>
      <c r="BL1" s="6" t="s">
        <v>129</v>
      </c>
      <c r="BM1" s="6" t="s">
        <v>130</v>
      </c>
      <c r="BN1" s="6" t="s">
        <v>131</v>
      </c>
      <c r="BO1" s="6" t="s">
        <v>132</v>
      </c>
      <c r="BP1" s="6" t="s">
        <v>133</v>
      </c>
      <c r="BQ1" s="6" t="s">
        <v>134</v>
      </c>
      <c r="BR1" s="6" t="s">
        <v>135</v>
      </c>
      <c r="BS1" s="6" t="s">
        <v>136</v>
      </c>
      <c r="BT1" s="6" t="s">
        <v>137</v>
      </c>
      <c r="BU1" s="6" t="s">
        <v>138</v>
      </c>
      <c r="BV1" s="6" t="s">
        <v>139</v>
      </c>
    </row>
    <row r="2" spans="1:74" ht="17" thickBot="1" x14ac:dyDescent="0.5">
      <c r="A2" s="84" t="s">
        <v>3</v>
      </c>
      <c r="B2" s="58" t="s">
        <v>78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71">
        <v>5</v>
      </c>
      <c r="AN2" s="72">
        <v>4</v>
      </c>
      <c r="AO2" s="85" t="s">
        <v>66</v>
      </c>
      <c r="AP2" s="85" t="s">
        <v>66</v>
      </c>
      <c r="AQ2" s="85" t="s">
        <v>66</v>
      </c>
      <c r="AR2" s="86" t="s">
        <v>31</v>
      </c>
      <c r="AS2" s="86" t="s">
        <v>31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84" t="s">
        <v>3</v>
      </c>
      <c r="B3" s="177" t="s">
        <v>252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85" t="s">
        <v>66</v>
      </c>
      <c r="AP3" s="85" t="s">
        <v>66</v>
      </c>
      <c r="AQ3" s="85" t="s">
        <v>66</v>
      </c>
      <c r="AR3" s="86" t="s">
        <v>31</v>
      </c>
      <c r="AS3" s="86" t="s">
        <v>31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84" t="s">
        <v>3</v>
      </c>
      <c r="B4" s="37" t="s">
        <v>253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85" t="s">
        <v>66</v>
      </c>
      <c r="AP4" s="85" t="s">
        <v>66</v>
      </c>
      <c r="AQ4" s="85" t="s">
        <v>66</v>
      </c>
      <c r="AR4" s="86" t="s">
        <v>31</v>
      </c>
      <c r="AS4" s="86" t="s">
        <v>31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84" t="s">
        <v>3</v>
      </c>
      <c r="B5" s="37" t="s">
        <v>254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85" t="s">
        <v>66</v>
      </c>
      <c r="AP5" s="85" t="s">
        <v>66</v>
      </c>
      <c r="AQ5" s="85" t="s">
        <v>66</v>
      </c>
      <c r="AR5" s="86" t="s">
        <v>31</v>
      </c>
      <c r="AS5" s="86" t="s">
        <v>31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84" t="s">
        <v>3</v>
      </c>
      <c r="B6" s="57" t="s">
        <v>72</v>
      </c>
      <c r="C6" s="62"/>
      <c r="D6" s="63"/>
      <c r="E6" s="63"/>
      <c r="F6" s="63"/>
      <c r="G6" s="63"/>
      <c r="H6" s="63"/>
      <c r="I6" s="63"/>
      <c r="J6" s="63"/>
      <c r="K6" s="63"/>
      <c r="L6" s="63"/>
      <c r="M6" s="63"/>
      <c r="N6" s="64"/>
      <c r="O6" s="63">
        <v>1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4"/>
      <c r="AA6" s="63"/>
      <c r="AB6" s="63"/>
      <c r="AC6" s="63"/>
      <c r="AD6" s="63"/>
      <c r="AE6" s="63"/>
      <c r="AF6" s="63"/>
      <c r="AG6" s="63"/>
      <c r="AH6" s="63"/>
      <c r="AI6" s="63"/>
      <c r="AJ6" s="63">
        <v>1</v>
      </c>
      <c r="AK6" s="63"/>
      <c r="AL6" s="64"/>
      <c r="AM6" s="65"/>
      <c r="AN6" s="63">
        <v>1</v>
      </c>
      <c r="AO6" s="85" t="s">
        <v>66</v>
      </c>
      <c r="AP6" s="85" t="s">
        <v>66</v>
      </c>
      <c r="AQ6" s="85" t="s">
        <v>66</v>
      </c>
      <c r="AR6" s="86" t="s">
        <v>31</v>
      </c>
      <c r="AS6" s="86" t="s">
        <v>31</v>
      </c>
      <c r="AT6" s="63"/>
      <c r="AU6" s="63"/>
      <c r="AV6" s="63"/>
      <c r="AW6" s="63"/>
      <c r="AX6" s="63">
        <v>1</v>
      </c>
      <c r="AY6" s="65"/>
      <c r="AZ6" s="63"/>
      <c r="BA6" s="63"/>
      <c r="BB6" s="63"/>
      <c r="BC6" s="63"/>
      <c r="BD6" s="63"/>
      <c r="BE6" s="63">
        <v>1</v>
      </c>
      <c r="BF6" s="63"/>
      <c r="BG6" s="63">
        <v>1</v>
      </c>
      <c r="BH6" s="63"/>
      <c r="BI6" s="63"/>
      <c r="BJ6" s="64"/>
      <c r="BK6" s="63"/>
      <c r="BL6" s="63"/>
      <c r="BM6" s="63"/>
      <c r="BN6" s="63"/>
      <c r="BO6" s="63"/>
      <c r="BP6" s="63">
        <v>1</v>
      </c>
      <c r="BQ6" s="63"/>
      <c r="BR6" s="63"/>
      <c r="BS6" s="63"/>
      <c r="BT6" s="63"/>
      <c r="BU6" s="63"/>
      <c r="BV6" s="66"/>
    </row>
    <row r="7" spans="1:74" ht="17" thickBot="1" x14ac:dyDescent="0.35">
      <c r="A7" s="84" t="s">
        <v>3</v>
      </c>
      <c r="B7" s="37" t="s">
        <v>51</v>
      </c>
      <c r="C7" s="61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85" t="s">
        <v>66</v>
      </c>
      <c r="AP7" s="85" t="s">
        <v>66</v>
      </c>
      <c r="AQ7" s="85" t="s">
        <v>66</v>
      </c>
      <c r="AR7" s="86" t="s">
        <v>31</v>
      </c>
      <c r="AS7" s="86" t="s">
        <v>31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84" t="s">
        <v>4</v>
      </c>
      <c r="B8" s="58" t="s">
        <v>78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6">
        <v>2</v>
      </c>
      <c r="AJ8" s="85" t="s">
        <v>66</v>
      </c>
      <c r="AK8" s="85" t="s">
        <v>66</v>
      </c>
      <c r="AL8" s="85" t="s">
        <v>66</v>
      </c>
      <c r="AM8" s="86" t="s">
        <v>31</v>
      </c>
      <c r="AN8" s="86" t="s">
        <v>31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84" t="s">
        <v>4</v>
      </c>
      <c r="B9" s="179" t="s">
        <v>252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4">
        <v>2</v>
      </c>
      <c r="AG9" s="23">
        <v>1</v>
      </c>
      <c r="AH9" s="23"/>
      <c r="AI9" s="24"/>
      <c r="AJ9" s="85" t="s">
        <v>66</v>
      </c>
      <c r="AK9" s="85" t="s">
        <v>66</v>
      </c>
      <c r="AL9" s="85" t="s">
        <v>66</v>
      </c>
      <c r="AM9" s="86" t="s">
        <v>31</v>
      </c>
      <c r="AN9" s="86" t="s">
        <v>31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84" t="s">
        <v>4</v>
      </c>
      <c r="B10" s="37" t="s">
        <v>253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4">
        <v>2</v>
      </c>
      <c r="AG10" s="23">
        <v>1</v>
      </c>
      <c r="AH10" s="23">
        <v>2</v>
      </c>
      <c r="AI10" s="24">
        <v>1</v>
      </c>
      <c r="AJ10" s="85" t="s">
        <v>66</v>
      </c>
      <c r="AK10" s="85" t="s">
        <v>66</v>
      </c>
      <c r="AL10" s="85" t="s">
        <v>66</v>
      </c>
      <c r="AM10" s="86" t="s">
        <v>31</v>
      </c>
      <c r="AN10" s="86" t="s">
        <v>31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84" t="s">
        <v>4</v>
      </c>
      <c r="B11" s="37" t="s">
        <v>254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7"/>
      <c r="AG11" s="26"/>
      <c r="AH11" s="26"/>
      <c r="AI11" s="27">
        <v>1</v>
      </c>
      <c r="AJ11" s="85" t="s">
        <v>66</v>
      </c>
      <c r="AK11" s="85" t="s">
        <v>66</v>
      </c>
      <c r="AL11" s="85" t="s">
        <v>66</v>
      </c>
      <c r="AM11" s="86" t="s">
        <v>31</v>
      </c>
      <c r="AN11" s="86" t="s">
        <v>31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84" t="s">
        <v>4</v>
      </c>
      <c r="B12" s="37" t="s">
        <v>72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7"/>
      <c r="AG12" s="26">
        <v>1</v>
      </c>
      <c r="AH12" s="26"/>
      <c r="AI12" s="27"/>
      <c r="AJ12" s="85" t="s">
        <v>66</v>
      </c>
      <c r="AK12" s="85" t="s">
        <v>66</v>
      </c>
      <c r="AL12" s="85" t="s">
        <v>66</v>
      </c>
      <c r="AM12" s="86" t="s">
        <v>31</v>
      </c>
      <c r="AN12" s="86" t="s">
        <v>31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84" t="s">
        <v>4</v>
      </c>
      <c r="B13" s="177" t="s">
        <v>51</v>
      </c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4"/>
      <c r="AA13" s="65"/>
      <c r="AB13" s="63"/>
      <c r="AC13" s="63"/>
      <c r="AD13" s="63"/>
      <c r="AE13" s="63">
        <v>1</v>
      </c>
      <c r="AF13" s="64"/>
      <c r="AG13" s="63"/>
      <c r="AH13" s="63">
        <v>1</v>
      </c>
      <c r="AI13" s="64"/>
      <c r="AJ13" s="85" t="s">
        <v>66</v>
      </c>
      <c r="AK13" s="85" t="s">
        <v>66</v>
      </c>
      <c r="AL13" s="85" t="s">
        <v>66</v>
      </c>
      <c r="AM13" s="86" t="s">
        <v>31</v>
      </c>
      <c r="AN13" s="86" t="s">
        <v>31</v>
      </c>
      <c r="AO13" s="63"/>
      <c r="AP13" s="63"/>
      <c r="AQ13" s="63"/>
      <c r="AR13" s="64"/>
      <c r="AS13" s="65"/>
      <c r="AT13" s="63"/>
      <c r="AU13" s="63"/>
      <c r="AV13" s="63"/>
      <c r="AW13" s="63"/>
      <c r="AX13" s="64"/>
      <c r="AY13" s="65"/>
      <c r="AZ13" s="63"/>
      <c r="BA13" s="63"/>
      <c r="BB13" s="63"/>
      <c r="BC13" s="63"/>
      <c r="BD13" s="63"/>
      <c r="BE13" s="63"/>
      <c r="BF13" s="63"/>
      <c r="BG13" s="63"/>
      <c r="BH13" s="63"/>
      <c r="BI13" s="63">
        <v>1</v>
      </c>
      <c r="BJ13" s="64"/>
      <c r="BK13" s="63"/>
      <c r="BL13" s="63"/>
      <c r="BM13" s="63"/>
      <c r="BN13" s="63"/>
      <c r="BO13" s="63"/>
      <c r="BP13" s="63">
        <v>2</v>
      </c>
      <c r="BQ13" s="63">
        <v>1</v>
      </c>
      <c r="BR13" s="63"/>
      <c r="BS13" s="63"/>
      <c r="BT13" s="63">
        <v>1</v>
      </c>
      <c r="BU13" s="63"/>
      <c r="BV13" s="66"/>
    </row>
    <row r="14" spans="1:74" ht="17" thickBot="1" x14ac:dyDescent="0.5">
      <c r="A14" s="84" t="s">
        <v>36</v>
      </c>
      <c r="B14" s="58" t="s">
        <v>78</v>
      </c>
      <c r="C14" s="153">
        <v>0</v>
      </c>
      <c r="D14" s="154">
        <v>1</v>
      </c>
      <c r="E14" s="154">
        <v>1</v>
      </c>
      <c r="F14" s="154">
        <v>0</v>
      </c>
      <c r="G14" s="154">
        <v>1</v>
      </c>
      <c r="H14" s="154">
        <v>0</v>
      </c>
      <c r="I14" s="154">
        <v>2</v>
      </c>
      <c r="J14" s="154">
        <v>1</v>
      </c>
      <c r="K14" s="154">
        <v>0</v>
      </c>
      <c r="L14" s="154">
        <v>3</v>
      </c>
      <c r="M14" s="154">
        <v>4</v>
      </c>
      <c r="N14" s="155">
        <v>1</v>
      </c>
      <c r="O14" s="154">
        <v>2</v>
      </c>
      <c r="P14" s="154">
        <v>1</v>
      </c>
      <c r="Q14" s="154">
        <v>0</v>
      </c>
      <c r="R14" s="154">
        <v>3</v>
      </c>
      <c r="S14" s="154">
        <v>1</v>
      </c>
      <c r="T14" s="154">
        <v>3</v>
      </c>
      <c r="U14" s="154">
        <v>0</v>
      </c>
      <c r="V14" s="154">
        <v>1</v>
      </c>
      <c r="W14" s="154">
        <v>2</v>
      </c>
      <c r="X14" s="156">
        <v>4</v>
      </c>
      <c r="Y14" s="156">
        <v>0</v>
      </c>
      <c r="Z14" s="157">
        <v>6</v>
      </c>
      <c r="AA14" s="158">
        <v>2</v>
      </c>
      <c r="AB14" s="156">
        <v>1</v>
      </c>
      <c r="AC14" s="156">
        <v>0</v>
      </c>
      <c r="AD14" s="156">
        <v>1</v>
      </c>
      <c r="AE14" s="156">
        <v>2</v>
      </c>
      <c r="AF14" s="157">
        <v>0</v>
      </c>
      <c r="AG14" s="158">
        <v>3</v>
      </c>
      <c r="AH14" s="156">
        <v>4</v>
      </c>
      <c r="AI14" s="156">
        <v>0</v>
      </c>
      <c r="AJ14" s="156">
        <v>1</v>
      </c>
      <c r="AK14" s="156">
        <v>0</v>
      </c>
      <c r="AL14" s="157">
        <v>1</v>
      </c>
      <c r="AM14" s="158">
        <v>2</v>
      </c>
      <c r="AN14" s="156">
        <v>3</v>
      </c>
      <c r="AO14" s="156">
        <v>0</v>
      </c>
      <c r="AP14" s="156">
        <v>2</v>
      </c>
      <c r="AQ14" s="156">
        <v>1</v>
      </c>
      <c r="AR14" s="157">
        <v>3</v>
      </c>
      <c r="AS14" s="158">
        <v>2</v>
      </c>
      <c r="AT14" s="156">
        <v>3</v>
      </c>
      <c r="AU14" s="156">
        <v>1</v>
      </c>
      <c r="AV14" s="156">
        <v>4</v>
      </c>
      <c r="AW14" s="156">
        <v>1</v>
      </c>
      <c r="AX14" s="157">
        <v>2</v>
      </c>
      <c r="AY14" s="173">
        <v>2</v>
      </c>
      <c r="AZ14" s="159">
        <v>0</v>
      </c>
      <c r="BA14" s="159">
        <v>3</v>
      </c>
      <c r="BB14" s="159">
        <v>2</v>
      </c>
      <c r="BC14" s="159">
        <v>0</v>
      </c>
      <c r="BD14" s="159">
        <v>0</v>
      </c>
      <c r="BE14" s="159">
        <v>1</v>
      </c>
      <c r="BF14" s="159">
        <v>0</v>
      </c>
      <c r="BG14" s="159">
        <v>1</v>
      </c>
      <c r="BH14" s="159">
        <v>0</v>
      </c>
      <c r="BI14" s="159">
        <v>2</v>
      </c>
      <c r="BJ14" s="159">
        <v>0</v>
      </c>
      <c r="BK14" s="160" t="s">
        <v>66</v>
      </c>
      <c r="BL14" s="161" t="s">
        <v>31</v>
      </c>
      <c r="BM14" s="161" t="s">
        <v>31</v>
      </c>
      <c r="BN14" s="159">
        <v>0</v>
      </c>
      <c r="BO14" s="159">
        <v>0</v>
      </c>
      <c r="BP14" s="174">
        <v>0</v>
      </c>
      <c r="BQ14" s="159">
        <v>0</v>
      </c>
      <c r="BR14" s="159">
        <v>3</v>
      </c>
      <c r="BS14" s="159">
        <v>1</v>
      </c>
      <c r="BT14" s="162">
        <v>0</v>
      </c>
      <c r="BU14" s="162">
        <v>1</v>
      </c>
      <c r="BV14" s="163">
        <v>0</v>
      </c>
    </row>
    <row r="15" spans="1:74" ht="17" thickBot="1" x14ac:dyDescent="0.5">
      <c r="A15" s="84" t="s">
        <v>36</v>
      </c>
      <c r="B15" s="179" t="s">
        <v>252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85" t="s">
        <v>66</v>
      </c>
      <c r="BL15" s="86" t="s">
        <v>31</v>
      </c>
      <c r="BM15" s="86" t="s">
        <v>31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84" t="s">
        <v>36</v>
      </c>
      <c r="B16" s="37" t="s">
        <v>253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85" t="s">
        <v>66</v>
      </c>
      <c r="BL16" s="86" t="s">
        <v>31</v>
      </c>
      <c r="BM16" s="86" t="s">
        <v>31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84" t="s">
        <v>36</v>
      </c>
      <c r="B17" s="37" t="s">
        <v>254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85" t="s">
        <v>66</v>
      </c>
      <c r="BL17" s="86" t="s">
        <v>31</v>
      </c>
      <c r="BM17" s="86" t="s">
        <v>31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84" t="s">
        <v>36</v>
      </c>
      <c r="B18" s="37" t="s">
        <v>72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85" t="s">
        <v>66</v>
      </c>
      <c r="BL18" s="86" t="s">
        <v>31</v>
      </c>
      <c r="BM18" s="86" t="s">
        <v>31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97" t="s">
        <v>36</v>
      </c>
      <c r="B19" s="37" t="s">
        <v>51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75" t="s">
        <v>66</v>
      </c>
      <c r="BL19" s="176" t="s">
        <v>31</v>
      </c>
      <c r="BM19" s="176" t="s">
        <v>31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64" t="s">
        <v>37</v>
      </c>
      <c r="B20" s="165" t="s">
        <v>78</v>
      </c>
      <c r="C20" s="166">
        <v>1</v>
      </c>
      <c r="D20" s="167">
        <v>0</v>
      </c>
      <c r="E20" s="167">
        <v>0</v>
      </c>
      <c r="F20" s="167">
        <v>0</v>
      </c>
      <c r="G20" s="167">
        <v>2</v>
      </c>
      <c r="H20" s="167">
        <v>0</v>
      </c>
      <c r="I20" s="167">
        <v>0</v>
      </c>
      <c r="J20" s="167">
        <v>1</v>
      </c>
      <c r="K20" s="167">
        <v>0</v>
      </c>
      <c r="L20" s="167">
        <v>1</v>
      </c>
      <c r="M20" s="167">
        <v>0</v>
      </c>
      <c r="N20" s="168">
        <v>0</v>
      </c>
      <c r="O20" s="167">
        <v>0</v>
      </c>
      <c r="P20" s="167">
        <v>0</v>
      </c>
      <c r="Q20" s="167">
        <v>0</v>
      </c>
      <c r="R20" s="167">
        <v>1</v>
      </c>
      <c r="S20" s="167">
        <v>0</v>
      </c>
      <c r="T20" s="167">
        <v>0</v>
      </c>
      <c r="U20" s="167">
        <v>1</v>
      </c>
      <c r="V20" s="167">
        <v>1</v>
      </c>
      <c r="W20" s="167">
        <v>0</v>
      </c>
      <c r="X20" s="169">
        <v>0</v>
      </c>
      <c r="Y20" s="169">
        <v>0</v>
      </c>
      <c r="Z20" s="170">
        <v>0</v>
      </c>
      <c r="AA20" s="171">
        <v>0</v>
      </c>
      <c r="AB20" s="169">
        <v>0</v>
      </c>
      <c r="AC20" s="169">
        <v>0</v>
      </c>
      <c r="AD20" s="169">
        <v>0</v>
      </c>
      <c r="AE20" s="169">
        <v>1</v>
      </c>
      <c r="AF20" s="170">
        <v>0</v>
      </c>
      <c r="AG20" s="171">
        <v>1</v>
      </c>
      <c r="AH20" s="169">
        <v>0</v>
      </c>
      <c r="AI20" s="169">
        <v>0</v>
      </c>
      <c r="AJ20" s="169">
        <v>0</v>
      </c>
      <c r="AK20" s="169">
        <v>0</v>
      </c>
      <c r="AL20" s="170">
        <v>0</v>
      </c>
      <c r="AM20" s="171">
        <v>1</v>
      </c>
      <c r="AN20" s="169">
        <v>0</v>
      </c>
      <c r="AO20" s="169">
        <v>0</v>
      </c>
      <c r="AP20" s="169">
        <v>0</v>
      </c>
      <c r="AQ20" s="169">
        <v>0</v>
      </c>
      <c r="AR20" s="170">
        <v>0</v>
      </c>
      <c r="AS20" s="171">
        <v>0</v>
      </c>
      <c r="AT20" s="169">
        <v>0</v>
      </c>
      <c r="AU20" s="169">
        <v>0</v>
      </c>
      <c r="AV20" s="169">
        <v>0</v>
      </c>
      <c r="AW20" s="169">
        <v>0</v>
      </c>
      <c r="AX20" s="170">
        <v>0</v>
      </c>
      <c r="AY20" s="170">
        <v>0</v>
      </c>
      <c r="AZ20" s="85" t="s">
        <v>66</v>
      </c>
      <c r="BA20" s="86" t="s">
        <v>31</v>
      </c>
      <c r="BB20" s="86" t="s">
        <v>31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72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84" t="s">
        <v>37</v>
      </c>
      <c r="B21" s="179" t="s">
        <v>252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85" t="s">
        <v>66</v>
      </c>
      <c r="BA21" s="86" t="s">
        <v>31</v>
      </c>
      <c r="BB21" s="86" t="s">
        <v>31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84" t="s">
        <v>37</v>
      </c>
      <c r="B22" s="37" t="s">
        <v>253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85" t="s">
        <v>66</v>
      </c>
      <c r="BA22" s="86" t="s">
        <v>31</v>
      </c>
      <c r="BB22" s="86" t="s">
        <v>31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84" t="s">
        <v>37</v>
      </c>
      <c r="B23" s="37" t="s">
        <v>254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85" t="s">
        <v>66</v>
      </c>
      <c r="BA23" s="86" t="s">
        <v>31</v>
      </c>
      <c r="BB23" s="86" t="s">
        <v>31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84" t="s">
        <v>37</v>
      </c>
      <c r="B24" s="37" t="s">
        <v>72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85" t="s">
        <v>66</v>
      </c>
      <c r="BA24" s="86" t="s">
        <v>31</v>
      </c>
      <c r="BB24" s="86" t="s">
        <v>31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84" t="s">
        <v>37</v>
      </c>
      <c r="B25" s="177" t="s">
        <v>51</v>
      </c>
      <c r="C25" s="63"/>
      <c r="D25" s="63"/>
      <c r="E25" s="63"/>
      <c r="F25" s="63"/>
      <c r="G25" s="63">
        <v>1</v>
      </c>
      <c r="H25" s="63"/>
      <c r="I25" s="63"/>
      <c r="J25" s="63"/>
      <c r="K25" s="63"/>
      <c r="L25" s="63"/>
      <c r="M25" s="63"/>
      <c r="N25" s="64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4"/>
      <c r="AA25" s="65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4"/>
      <c r="AM25" s="65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4"/>
      <c r="AY25" s="64"/>
      <c r="AZ25" s="85" t="s">
        <v>66</v>
      </c>
      <c r="BA25" s="86" t="s">
        <v>31</v>
      </c>
      <c r="BB25" s="86" t="s">
        <v>31</v>
      </c>
      <c r="BC25" s="63"/>
      <c r="BD25" s="63"/>
      <c r="BE25" s="63"/>
      <c r="BF25" s="63"/>
      <c r="BG25" s="63"/>
      <c r="BH25" s="63"/>
      <c r="BI25" s="63"/>
      <c r="BJ25" s="64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6">
        <v>1</v>
      </c>
    </row>
    <row r="26" spans="1:74" ht="17" thickBot="1" x14ac:dyDescent="0.5">
      <c r="A26" s="84" t="s">
        <v>32</v>
      </c>
      <c r="B26" s="58" t="s">
        <v>78</v>
      </c>
      <c r="C26" s="153">
        <v>2</v>
      </c>
      <c r="D26" s="154">
        <v>0</v>
      </c>
      <c r="E26" s="154">
        <v>0</v>
      </c>
      <c r="F26" s="154">
        <v>0</v>
      </c>
      <c r="G26" s="154">
        <v>0</v>
      </c>
      <c r="H26" s="154">
        <v>1</v>
      </c>
      <c r="I26" s="154">
        <v>0</v>
      </c>
      <c r="J26" s="154">
        <v>1</v>
      </c>
      <c r="K26" s="154">
        <v>0</v>
      </c>
      <c r="L26" s="154">
        <v>1</v>
      </c>
      <c r="M26" s="154">
        <v>0</v>
      </c>
      <c r="N26" s="155">
        <v>0</v>
      </c>
      <c r="O26" s="154">
        <v>0</v>
      </c>
      <c r="P26" s="154">
        <v>0</v>
      </c>
      <c r="Q26" s="154">
        <v>0</v>
      </c>
      <c r="R26" s="154">
        <v>1</v>
      </c>
      <c r="S26" s="154">
        <v>0</v>
      </c>
      <c r="T26" s="154">
        <v>0</v>
      </c>
      <c r="U26" s="154">
        <v>0</v>
      </c>
      <c r="V26" s="154">
        <v>1</v>
      </c>
      <c r="W26" s="154">
        <v>0</v>
      </c>
      <c r="X26" s="156">
        <v>1</v>
      </c>
      <c r="Y26" s="156">
        <v>1</v>
      </c>
      <c r="Z26" s="157">
        <v>0</v>
      </c>
      <c r="AA26" s="158">
        <v>0</v>
      </c>
      <c r="AB26" s="156">
        <v>0</v>
      </c>
      <c r="AC26" s="156">
        <v>0</v>
      </c>
      <c r="AD26" s="156">
        <v>0</v>
      </c>
      <c r="AE26" s="156">
        <v>0</v>
      </c>
      <c r="AF26" s="157">
        <v>0</v>
      </c>
      <c r="AG26" s="158">
        <v>1</v>
      </c>
      <c r="AH26" s="156">
        <v>0</v>
      </c>
      <c r="AI26" s="156">
        <v>0</v>
      </c>
      <c r="AJ26" s="156">
        <v>1</v>
      </c>
      <c r="AK26" s="156">
        <v>0</v>
      </c>
      <c r="AL26" s="157">
        <v>0</v>
      </c>
      <c r="AM26" s="158">
        <v>1</v>
      </c>
      <c r="AN26" s="156">
        <v>1</v>
      </c>
      <c r="AO26" s="156">
        <v>0</v>
      </c>
      <c r="AP26" s="156">
        <v>1</v>
      </c>
      <c r="AQ26" s="156">
        <v>0</v>
      </c>
      <c r="AR26" s="157">
        <v>1</v>
      </c>
      <c r="AS26" s="158">
        <v>0</v>
      </c>
      <c r="AT26" s="156">
        <v>0</v>
      </c>
      <c r="AU26" s="156">
        <v>1</v>
      </c>
      <c r="AV26" s="156">
        <v>1</v>
      </c>
      <c r="AW26" s="156">
        <v>1</v>
      </c>
      <c r="AX26" s="157">
        <v>1</v>
      </c>
      <c r="AY26" s="158">
        <v>1</v>
      </c>
      <c r="AZ26" s="156">
        <v>0</v>
      </c>
      <c r="BA26" s="156">
        <v>0</v>
      </c>
      <c r="BB26" s="156">
        <v>1</v>
      </c>
      <c r="BC26" s="156">
        <v>0</v>
      </c>
      <c r="BD26" s="156">
        <v>0</v>
      </c>
      <c r="BE26" s="159">
        <v>0</v>
      </c>
      <c r="BF26" s="159">
        <v>0</v>
      </c>
      <c r="BG26" s="159">
        <v>0</v>
      </c>
      <c r="BH26" s="160" t="s">
        <v>66</v>
      </c>
      <c r="BI26" s="160" t="s">
        <v>66</v>
      </c>
      <c r="BJ26" s="161" t="s">
        <v>31</v>
      </c>
      <c r="BK26" s="161" t="s">
        <v>31</v>
      </c>
      <c r="BL26" s="159">
        <v>0</v>
      </c>
      <c r="BM26" s="159">
        <v>0</v>
      </c>
      <c r="BN26" s="162">
        <v>1</v>
      </c>
      <c r="BO26" s="162">
        <v>0</v>
      </c>
      <c r="BP26" s="157">
        <v>0</v>
      </c>
      <c r="BQ26" s="159">
        <v>0</v>
      </c>
      <c r="BR26" s="159">
        <v>1</v>
      </c>
      <c r="BS26" s="159">
        <v>1</v>
      </c>
      <c r="BT26" s="162">
        <v>0</v>
      </c>
      <c r="BU26" s="162">
        <v>0</v>
      </c>
      <c r="BV26" s="163">
        <v>0</v>
      </c>
    </row>
    <row r="27" spans="1:74" ht="17" thickBot="1" x14ac:dyDescent="0.5">
      <c r="A27" s="84" t="s">
        <v>32</v>
      </c>
      <c r="B27" s="179" t="s">
        <v>252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85" t="s">
        <v>66</v>
      </c>
      <c r="BI27" s="85" t="s">
        <v>66</v>
      </c>
      <c r="BJ27" s="86" t="s">
        <v>31</v>
      </c>
      <c r="BK27" s="86" t="s">
        <v>31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84" t="s">
        <v>32</v>
      </c>
      <c r="B28" s="37" t="s">
        <v>253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85" t="s">
        <v>66</v>
      </c>
      <c r="BI28" s="85" t="s">
        <v>66</v>
      </c>
      <c r="BJ28" s="86" t="s">
        <v>31</v>
      </c>
      <c r="BK28" s="86" t="s">
        <v>31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84" t="s">
        <v>32</v>
      </c>
      <c r="B29" s="37" t="s">
        <v>254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85" t="s">
        <v>66</v>
      </c>
      <c r="BI29" s="85" t="s">
        <v>66</v>
      </c>
      <c r="BJ29" s="86" t="s">
        <v>31</v>
      </c>
      <c r="BK29" s="86" t="s">
        <v>31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84" t="s">
        <v>32</v>
      </c>
      <c r="B30" s="37" t="s">
        <v>72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85" t="s">
        <v>66</v>
      </c>
      <c r="BI30" s="85" t="s">
        <v>66</v>
      </c>
      <c r="BJ30" s="86" t="s">
        <v>31</v>
      </c>
      <c r="BK30" s="86" t="s">
        <v>31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84" t="s">
        <v>32</v>
      </c>
      <c r="B31" s="37" t="s">
        <v>51</v>
      </c>
      <c r="C31" s="6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85" t="s">
        <v>66</v>
      </c>
      <c r="BI31" s="85" t="s">
        <v>66</v>
      </c>
      <c r="BJ31" s="86" t="s">
        <v>31</v>
      </c>
      <c r="BK31" s="86" t="s">
        <v>31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84" t="s">
        <v>79</v>
      </c>
      <c r="B32" s="58" t="s">
        <v>78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85" t="s">
        <v>66</v>
      </c>
      <c r="BJ32" s="85" t="s">
        <v>66</v>
      </c>
      <c r="BK32" s="86" t="s">
        <v>31</v>
      </c>
      <c r="BL32" s="86" t="s">
        <v>31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84" t="s">
        <v>79</v>
      </c>
      <c r="B33" s="179" t="s">
        <v>252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85" t="s">
        <v>66</v>
      </c>
      <c r="BJ33" s="85" t="s">
        <v>66</v>
      </c>
      <c r="BK33" s="86" t="s">
        <v>31</v>
      </c>
      <c r="BL33" s="86" t="s">
        <v>31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84" t="s">
        <v>79</v>
      </c>
      <c r="B34" s="37" t="s">
        <v>253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85" t="s">
        <v>66</v>
      </c>
      <c r="BJ34" s="85" t="s">
        <v>66</v>
      </c>
      <c r="BK34" s="86" t="s">
        <v>31</v>
      </c>
      <c r="BL34" s="86" t="s">
        <v>31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84" t="s">
        <v>79</v>
      </c>
      <c r="B35" s="37" t="s">
        <v>254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85" t="s">
        <v>66</v>
      </c>
      <c r="BJ35" s="85" t="s">
        <v>66</v>
      </c>
      <c r="BK35" s="86" t="s">
        <v>31</v>
      </c>
      <c r="BL35" s="86" t="s">
        <v>31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84" t="s">
        <v>79</v>
      </c>
      <c r="B36" s="37" t="s">
        <v>72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85" t="s">
        <v>66</v>
      </c>
      <c r="BJ36" s="85" t="s">
        <v>66</v>
      </c>
      <c r="BK36" s="86" t="s">
        <v>31</v>
      </c>
      <c r="BL36" s="86" t="s">
        <v>31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84" t="s">
        <v>79</v>
      </c>
      <c r="B37" s="177" t="s">
        <v>51</v>
      </c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4"/>
      <c r="AA37" s="65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4"/>
      <c r="AM37" s="65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4"/>
      <c r="AY37" s="65"/>
      <c r="AZ37" s="63">
        <v>1</v>
      </c>
      <c r="BA37" s="63"/>
      <c r="BB37" s="63"/>
      <c r="BC37" s="63"/>
      <c r="BD37" s="63"/>
      <c r="BE37" s="63"/>
      <c r="BF37" s="63"/>
      <c r="BG37" s="63"/>
      <c r="BH37" s="63"/>
      <c r="BI37" s="85" t="s">
        <v>66</v>
      </c>
      <c r="BJ37" s="85" t="s">
        <v>66</v>
      </c>
      <c r="BK37" s="86" t="s">
        <v>31</v>
      </c>
      <c r="BL37" s="86" t="s">
        <v>31</v>
      </c>
      <c r="BM37" s="63"/>
      <c r="BN37" s="63"/>
      <c r="BO37" s="63"/>
      <c r="BP37" s="64"/>
      <c r="BQ37" s="63"/>
      <c r="BR37" s="63"/>
      <c r="BS37" s="63"/>
      <c r="BT37" s="63"/>
      <c r="BU37" s="63"/>
      <c r="BV37" s="66"/>
    </row>
    <row r="38" spans="1:74" ht="17" thickBot="1" x14ac:dyDescent="0.5">
      <c r="A38" s="84" t="s">
        <v>76</v>
      </c>
      <c r="B38" s="58" t="s">
        <v>78</v>
      </c>
      <c r="C38" s="153">
        <v>0</v>
      </c>
      <c r="D38" s="154">
        <v>0</v>
      </c>
      <c r="E38" s="154">
        <v>0</v>
      </c>
      <c r="F38" s="154">
        <v>0</v>
      </c>
      <c r="G38" s="154">
        <v>0</v>
      </c>
      <c r="H38" s="154">
        <v>0</v>
      </c>
      <c r="I38" s="154">
        <v>1</v>
      </c>
      <c r="J38" s="154">
        <v>0</v>
      </c>
      <c r="K38" s="154">
        <v>0</v>
      </c>
      <c r="L38" s="154">
        <v>0</v>
      </c>
      <c r="M38" s="154">
        <v>1</v>
      </c>
      <c r="N38" s="155">
        <v>0</v>
      </c>
      <c r="O38" s="154">
        <v>2</v>
      </c>
      <c r="P38" s="154">
        <v>0</v>
      </c>
      <c r="Q38" s="154">
        <v>1</v>
      </c>
      <c r="R38" s="154">
        <v>0</v>
      </c>
      <c r="S38" s="154">
        <v>0</v>
      </c>
      <c r="T38" s="154">
        <v>0</v>
      </c>
      <c r="U38" s="154">
        <v>0</v>
      </c>
      <c r="V38" s="154">
        <v>0</v>
      </c>
      <c r="W38" s="154">
        <v>0</v>
      </c>
      <c r="X38" s="156">
        <v>0</v>
      </c>
      <c r="Y38" s="156">
        <v>0</v>
      </c>
      <c r="Z38" s="157">
        <v>0</v>
      </c>
      <c r="AA38" s="158">
        <v>1</v>
      </c>
      <c r="AB38" s="156">
        <v>0</v>
      </c>
      <c r="AC38" s="156">
        <v>0</v>
      </c>
      <c r="AD38" s="156">
        <v>0</v>
      </c>
      <c r="AE38" s="156">
        <v>0</v>
      </c>
      <c r="AF38" s="157">
        <v>0</v>
      </c>
      <c r="AG38" s="158">
        <v>0</v>
      </c>
      <c r="AH38" s="156">
        <v>1</v>
      </c>
      <c r="AI38" s="156">
        <v>0</v>
      </c>
      <c r="AJ38" s="156">
        <v>0</v>
      </c>
      <c r="AK38" s="156">
        <v>0</v>
      </c>
      <c r="AL38" s="157">
        <v>1</v>
      </c>
      <c r="AM38" s="158">
        <v>0</v>
      </c>
      <c r="AN38" s="156">
        <v>0</v>
      </c>
      <c r="AO38" s="156">
        <v>0</v>
      </c>
      <c r="AP38" s="156">
        <v>0</v>
      </c>
      <c r="AQ38" s="156">
        <v>0</v>
      </c>
      <c r="AR38" s="157">
        <v>0</v>
      </c>
      <c r="AS38" s="158">
        <v>0</v>
      </c>
      <c r="AT38" s="156">
        <v>0</v>
      </c>
      <c r="AU38" s="156">
        <v>1</v>
      </c>
      <c r="AV38" s="156">
        <v>0</v>
      </c>
      <c r="AW38" s="156">
        <v>0</v>
      </c>
      <c r="AX38" s="157">
        <v>0</v>
      </c>
      <c r="AY38" s="158">
        <v>0</v>
      </c>
      <c r="AZ38" s="156">
        <v>0</v>
      </c>
      <c r="BA38" s="156">
        <v>0</v>
      </c>
      <c r="BB38" s="156">
        <v>0</v>
      </c>
      <c r="BC38" s="156">
        <v>0</v>
      </c>
      <c r="BD38" s="156">
        <v>0</v>
      </c>
      <c r="BE38" s="159">
        <v>0</v>
      </c>
      <c r="BF38" s="159">
        <v>0</v>
      </c>
      <c r="BG38" s="159">
        <v>0</v>
      </c>
      <c r="BH38" s="159">
        <v>0</v>
      </c>
      <c r="BI38" s="159">
        <v>0</v>
      </c>
      <c r="BJ38" s="159">
        <v>0</v>
      </c>
      <c r="BK38" s="159">
        <v>0</v>
      </c>
      <c r="BL38" s="160" t="s">
        <v>66</v>
      </c>
      <c r="BM38" s="161" t="s">
        <v>31</v>
      </c>
      <c r="BN38" s="161" t="s">
        <v>31</v>
      </c>
      <c r="BO38" s="162">
        <v>1</v>
      </c>
      <c r="BP38" s="157">
        <v>0</v>
      </c>
      <c r="BQ38" s="159">
        <v>0</v>
      </c>
      <c r="BR38" s="159">
        <v>0</v>
      </c>
      <c r="BS38" s="159">
        <v>1</v>
      </c>
      <c r="BT38" s="162">
        <v>0</v>
      </c>
      <c r="BU38" s="162">
        <v>0</v>
      </c>
      <c r="BV38" s="163">
        <v>0</v>
      </c>
    </row>
    <row r="39" spans="1:74" ht="17" thickBot="1" x14ac:dyDescent="0.5">
      <c r="A39" s="84" t="s">
        <v>76</v>
      </c>
      <c r="B39" s="179" t="s">
        <v>252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85" t="s">
        <v>66</v>
      </c>
      <c r="BM39" s="86" t="s">
        <v>31</v>
      </c>
      <c r="BN39" s="86" t="s">
        <v>31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84" t="s">
        <v>76</v>
      </c>
      <c r="B40" s="37" t="s">
        <v>253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85" t="s">
        <v>66</v>
      </c>
      <c r="BM40" s="86" t="s">
        <v>31</v>
      </c>
      <c r="BN40" s="86" t="s">
        <v>31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84" t="s">
        <v>76</v>
      </c>
      <c r="B41" s="37" t="s">
        <v>254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85" t="s">
        <v>66</v>
      </c>
      <c r="BM41" s="86" t="s">
        <v>31</v>
      </c>
      <c r="BN41" s="86" t="s">
        <v>31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84" t="s">
        <v>76</v>
      </c>
      <c r="B42" s="37" t="s">
        <v>72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85" t="s">
        <v>66</v>
      </c>
      <c r="BM42" s="86" t="s">
        <v>31</v>
      </c>
      <c r="BN42" s="86" t="s">
        <v>31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84" t="s">
        <v>76</v>
      </c>
      <c r="B43" s="37" t="s">
        <v>51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85" t="s">
        <v>66</v>
      </c>
      <c r="BM43" s="86" t="s">
        <v>31</v>
      </c>
      <c r="BN43" s="86" t="s">
        <v>31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84" t="s">
        <v>206</v>
      </c>
      <c r="B44" s="58" t="s">
        <v>78</v>
      </c>
      <c r="C44" s="30">
        <v>0</v>
      </c>
      <c r="D44" s="13">
        <v>0</v>
      </c>
      <c r="E44" s="13">
        <v>1</v>
      </c>
      <c r="F44" s="13">
        <v>0</v>
      </c>
      <c r="G44" s="13">
        <v>0</v>
      </c>
      <c r="H44" s="13">
        <v>0</v>
      </c>
      <c r="I44" s="13">
        <v>2</v>
      </c>
      <c r="J44" s="13">
        <v>0</v>
      </c>
      <c r="K44" s="13">
        <v>1</v>
      </c>
      <c r="L44" s="13">
        <v>0</v>
      </c>
      <c r="M44" s="13">
        <v>0</v>
      </c>
      <c r="N44" s="14">
        <v>0</v>
      </c>
      <c r="O44" s="13">
        <v>0</v>
      </c>
      <c r="P44" s="13">
        <v>0</v>
      </c>
      <c r="Q44" s="13">
        <v>0</v>
      </c>
      <c r="R44" s="13">
        <v>1</v>
      </c>
      <c r="S44" s="13">
        <v>0</v>
      </c>
      <c r="T44" s="13">
        <v>0</v>
      </c>
      <c r="U44" s="13">
        <v>1</v>
      </c>
      <c r="V44" s="13">
        <v>0</v>
      </c>
      <c r="W44" s="13">
        <v>0</v>
      </c>
      <c r="X44" s="15">
        <v>0</v>
      </c>
      <c r="Y44" s="15">
        <v>2</v>
      </c>
      <c r="Z44" s="16">
        <v>1</v>
      </c>
      <c r="AA44" s="17">
        <v>0</v>
      </c>
      <c r="AB44" s="15">
        <v>0</v>
      </c>
      <c r="AC44" s="15">
        <v>0</v>
      </c>
      <c r="AD44" s="15">
        <v>1</v>
      </c>
      <c r="AE44" s="15">
        <v>1</v>
      </c>
      <c r="AF44" s="16">
        <v>0</v>
      </c>
      <c r="AG44" s="17">
        <v>0</v>
      </c>
      <c r="AH44" s="15">
        <v>0</v>
      </c>
      <c r="AI44" s="15">
        <v>0</v>
      </c>
      <c r="AJ44" s="15">
        <v>0</v>
      </c>
      <c r="AK44" s="15">
        <v>0</v>
      </c>
      <c r="AL44" s="16">
        <v>0</v>
      </c>
      <c r="AM44" s="17">
        <v>0</v>
      </c>
      <c r="AN44" s="15">
        <v>0</v>
      </c>
      <c r="AO44" s="15">
        <v>0</v>
      </c>
      <c r="AP44" s="15">
        <v>0</v>
      </c>
      <c r="AQ44" s="15">
        <v>0</v>
      </c>
      <c r="AR44" s="16">
        <v>0</v>
      </c>
      <c r="AS44" s="17">
        <v>0</v>
      </c>
      <c r="AT44" s="15">
        <v>1</v>
      </c>
      <c r="AU44" s="15">
        <v>0</v>
      </c>
      <c r="AV44" s="15">
        <v>0</v>
      </c>
      <c r="AW44" s="15">
        <v>0</v>
      </c>
      <c r="AX44" s="16">
        <v>0</v>
      </c>
      <c r="AY44" s="17">
        <v>0</v>
      </c>
      <c r="AZ44" s="15">
        <v>1</v>
      </c>
      <c r="BA44" s="15">
        <v>0</v>
      </c>
      <c r="BB44" s="15">
        <v>2</v>
      </c>
      <c r="BC44" s="15">
        <v>0</v>
      </c>
      <c r="BD44" s="16">
        <v>0</v>
      </c>
      <c r="BE44" s="35">
        <v>0</v>
      </c>
      <c r="BF44" s="18">
        <v>0</v>
      </c>
      <c r="BG44" s="18">
        <v>0</v>
      </c>
      <c r="BH44" s="18">
        <v>1</v>
      </c>
      <c r="BI44" s="18">
        <v>0</v>
      </c>
      <c r="BJ44" s="19">
        <v>0</v>
      </c>
      <c r="BK44" s="13">
        <v>1</v>
      </c>
      <c r="BL44" s="13">
        <v>0</v>
      </c>
      <c r="BM44" s="13">
        <v>0</v>
      </c>
      <c r="BN44" s="13">
        <v>0</v>
      </c>
      <c r="BO44" s="13">
        <v>0</v>
      </c>
      <c r="BP44" s="13">
        <v>0</v>
      </c>
      <c r="BQ44" s="13">
        <v>0</v>
      </c>
      <c r="BR44" s="13">
        <v>0</v>
      </c>
      <c r="BS44" s="13">
        <v>0</v>
      </c>
      <c r="BT44" s="15">
        <v>0</v>
      </c>
      <c r="BU44" s="15">
        <v>0</v>
      </c>
      <c r="BV44" s="16">
        <v>1</v>
      </c>
    </row>
    <row r="45" spans="1:74" ht="17" thickBot="1" x14ac:dyDescent="0.5">
      <c r="A45" s="84" t="s">
        <v>206</v>
      </c>
      <c r="B45" s="179" t="s">
        <v>252</v>
      </c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2"/>
      <c r="O45" s="21"/>
      <c r="P45" s="21"/>
      <c r="Q45" s="21"/>
      <c r="R45" s="21"/>
      <c r="S45" s="21"/>
      <c r="T45" s="21"/>
      <c r="U45" s="21">
        <v>1</v>
      </c>
      <c r="V45" s="21"/>
      <c r="W45" s="21"/>
      <c r="X45" s="23"/>
      <c r="Y45" s="23">
        <v>2</v>
      </c>
      <c r="Z45" s="24"/>
      <c r="AA45" s="25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4"/>
      <c r="AM45" s="25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4"/>
      <c r="AY45" s="25"/>
      <c r="AZ45" s="23"/>
      <c r="BA45" s="23"/>
      <c r="BB45" s="23"/>
      <c r="BC45" s="23"/>
      <c r="BD45" s="23"/>
      <c r="BE45" s="29"/>
      <c r="BF45" s="21"/>
      <c r="BG45" s="21"/>
      <c r="BH45" s="21"/>
      <c r="BI45" s="21"/>
      <c r="BJ45" s="22"/>
      <c r="BK45" s="21"/>
      <c r="BL45" s="21"/>
      <c r="BM45" s="21"/>
      <c r="BN45" s="21"/>
      <c r="BO45" s="21"/>
      <c r="BP45" s="21"/>
      <c r="BQ45" s="21"/>
      <c r="BR45" s="21"/>
      <c r="BS45" s="21"/>
      <c r="BT45" s="23"/>
      <c r="BU45" s="23"/>
      <c r="BV45" s="24"/>
    </row>
    <row r="46" spans="1:74" ht="17" thickBot="1" x14ac:dyDescent="0.5">
      <c r="A46" s="84" t="s">
        <v>206</v>
      </c>
      <c r="B46" s="37" t="s">
        <v>253</v>
      </c>
      <c r="C46" s="21"/>
      <c r="D46" s="21"/>
      <c r="E46" s="21">
        <v>1</v>
      </c>
      <c r="F46" s="21"/>
      <c r="G46" s="21"/>
      <c r="H46" s="21"/>
      <c r="I46" s="21">
        <v>1</v>
      </c>
      <c r="J46" s="21"/>
      <c r="K46" s="21">
        <v>1</v>
      </c>
      <c r="L46" s="21"/>
      <c r="M46" s="21"/>
      <c r="N46" s="22"/>
      <c r="O46" s="21"/>
      <c r="P46" s="21"/>
      <c r="Q46" s="21"/>
      <c r="R46" s="21">
        <v>1</v>
      </c>
      <c r="S46" s="21"/>
      <c r="T46" s="21"/>
      <c r="U46" s="21"/>
      <c r="V46" s="21"/>
      <c r="W46" s="21"/>
      <c r="X46" s="23"/>
      <c r="Y46" s="23"/>
      <c r="Z46" s="24">
        <v>1</v>
      </c>
      <c r="AA46" s="25"/>
      <c r="AB46" s="23"/>
      <c r="AC46" s="23"/>
      <c r="AD46" s="23"/>
      <c r="AE46" s="23">
        <v>1</v>
      </c>
      <c r="AF46" s="23"/>
      <c r="AG46" s="23"/>
      <c r="AH46" s="23"/>
      <c r="AI46" s="23"/>
      <c r="AJ46" s="23"/>
      <c r="AK46" s="23"/>
      <c r="AL46" s="24"/>
      <c r="AM46" s="25"/>
      <c r="AN46" s="23"/>
      <c r="AO46" s="23"/>
      <c r="AP46" s="23"/>
      <c r="AQ46" s="23"/>
      <c r="AR46" s="23"/>
      <c r="AS46" s="23"/>
      <c r="AT46" s="23">
        <v>1</v>
      </c>
      <c r="AU46" s="23"/>
      <c r="AV46" s="23"/>
      <c r="AW46" s="23"/>
      <c r="AX46" s="24"/>
      <c r="AY46" s="25"/>
      <c r="AZ46" s="23"/>
      <c r="BA46" s="23"/>
      <c r="BB46" s="23"/>
      <c r="BC46" s="23"/>
      <c r="BD46" s="23"/>
      <c r="BE46" s="29"/>
      <c r="BF46" s="21"/>
      <c r="BG46" s="21"/>
      <c r="BH46" s="21">
        <v>1</v>
      </c>
      <c r="BI46" s="21"/>
      <c r="BJ46" s="22"/>
      <c r="BK46" s="21"/>
      <c r="BL46" s="21"/>
      <c r="BM46" s="21"/>
      <c r="BN46" s="21"/>
      <c r="BO46" s="21"/>
      <c r="BP46" s="21"/>
      <c r="BQ46" s="21"/>
      <c r="BR46" s="21"/>
      <c r="BS46" s="21"/>
      <c r="BT46" s="23"/>
      <c r="BU46" s="23"/>
      <c r="BV46" s="24">
        <v>1</v>
      </c>
    </row>
    <row r="47" spans="1:74" ht="17" thickBot="1" x14ac:dyDescent="0.35">
      <c r="A47" s="84" t="s">
        <v>206</v>
      </c>
      <c r="B47" s="37" t="s">
        <v>254</v>
      </c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7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7"/>
      <c r="AA47" s="28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7"/>
      <c r="AM47" s="28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7"/>
      <c r="AY47" s="28"/>
      <c r="AZ47" s="26"/>
      <c r="BA47" s="26"/>
      <c r="BB47" s="26"/>
      <c r="BC47" s="26"/>
      <c r="BD47" s="26"/>
      <c r="BE47" s="28"/>
      <c r="BF47" s="26"/>
      <c r="BG47" s="26"/>
      <c r="BH47" s="26"/>
      <c r="BI47" s="26"/>
      <c r="BJ47" s="27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7"/>
    </row>
    <row r="48" spans="1:74" ht="17" thickBot="1" x14ac:dyDescent="0.35">
      <c r="A48" s="84" t="s">
        <v>206</v>
      </c>
      <c r="B48" s="37" t="s">
        <v>72</v>
      </c>
      <c r="C48" s="26"/>
      <c r="D48" s="26"/>
      <c r="E48" s="26"/>
      <c r="F48" s="26"/>
      <c r="G48" s="26"/>
      <c r="H48" s="26"/>
      <c r="I48" s="26">
        <v>1</v>
      </c>
      <c r="J48" s="26"/>
      <c r="K48" s="26"/>
      <c r="L48" s="26"/>
      <c r="M48" s="26"/>
      <c r="N48" s="27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7"/>
      <c r="AA48" s="28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7"/>
      <c r="AM48" s="28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7"/>
      <c r="AY48" s="28"/>
      <c r="AZ48" s="26">
        <v>1</v>
      </c>
      <c r="BA48" s="26"/>
      <c r="BB48" s="26"/>
      <c r="BC48" s="26"/>
      <c r="BD48" s="26"/>
      <c r="BE48" s="28"/>
      <c r="BF48" s="26"/>
      <c r="BG48" s="26"/>
      <c r="BH48" s="26"/>
      <c r="BI48" s="26"/>
      <c r="BJ48" s="27"/>
      <c r="BK48" s="26">
        <v>1</v>
      </c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7"/>
    </row>
    <row r="49" spans="1:74" ht="17" thickBot="1" x14ac:dyDescent="0.35">
      <c r="A49" s="84" t="s">
        <v>206</v>
      </c>
      <c r="B49" s="37" t="s">
        <v>51</v>
      </c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7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7"/>
      <c r="AA49" s="28"/>
      <c r="AB49" s="26"/>
      <c r="AC49" s="26"/>
      <c r="AD49" s="26">
        <v>1</v>
      </c>
      <c r="AE49" s="26"/>
      <c r="AF49" s="26"/>
      <c r="AG49" s="26"/>
      <c r="AH49" s="26"/>
      <c r="AI49" s="26"/>
      <c r="AJ49" s="26"/>
      <c r="AK49" s="26"/>
      <c r="AL49" s="27"/>
      <c r="AM49" s="28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7"/>
      <c r="AY49" s="28"/>
      <c r="AZ49" s="26"/>
      <c r="BA49" s="26"/>
      <c r="BB49" s="26">
        <v>2</v>
      </c>
      <c r="BC49" s="26"/>
      <c r="BD49" s="26"/>
      <c r="BE49" s="28"/>
      <c r="BF49" s="26"/>
      <c r="BG49" s="26"/>
      <c r="BH49" s="26"/>
      <c r="BI49" s="26"/>
      <c r="BJ49" s="27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7"/>
    </row>
    <row r="50" spans="1:74" ht="17" thickBot="1" x14ac:dyDescent="0.5">
      <c r="A50" s="84" t="s">
        <v>202</v>
      </c>
      <c r="B50" s="58" t="s">
        <v>78</v>
      </c>
      <c r="C50" s="30">
        <v>0</v>
      </c>
      <c r="D50" s="13">
        <v>0</v>
      </c>
      <c r="E50" s="13">
        <v>3</v>
      </c>
      <c r="F50" s="13">
        <v>2</v>
      </c>
      <c r="G50" s="13">
        <v>1</v>
      </c>
      <c r="H50" s="13">
        <v>2</v>
      </c>
      <c r="I50" s="13">
        <v>0</v>
      </c>
      <c r="J50" s="13">
        <v>2</v>
      </c>
      <c r="K50" s="13">
        <v>1</v>
      </c>
      <c r="L50" s="13">
        <v>1</v>
      </c>
      <c r="M50" s="13">
        <v>0</v>
      </c>
      <c r="N50" s="14">
        <v>1</v>
      </c>
      <c r="O50" s="13">
        <v>1</v>
      </c>
      <c r="P50" s="13">
        <v>3</v>
      </c>
      <c r="Q50" s="13">
        <v>1</v>
      </c>
      <c r="R50" s="13">
        <v>2</v>
      </c>
      <c r="S50" s="13">
        <v>0</v>
      </c>
      <c r="T50" s="13">
        <v>1</v>
      </c>
      <c r="U50" s="13">
        <v>3</v>
      </c>
      <c r="V50" s="13">
        <v>1</v>
      </c>
      <c r="W50" s="13">
        <v>2</v>
      </c>
      <c r="X50" s="15">
        <v>1</v>
      </c>
      <c r="Y50" s="15">
        <v>1</v>
      </c>
      <c r="Z50" s="16">
        <v>2</v>
      </c>
      <c r="AA50" s="17">
        <v>1</v>
      </c>
      <c r="AB50" s="15">
        <v>0</v>
      </c>
      <c r="AC50" s="15">
        <v>0</v>
      </c>
      <c r="AD50" s="15">
        <v>0</v>
      </c>
      <c r="AE50" s="15">
        <v>1</v>
      </c>
      <c r="AF50" s="16">
        <v>0</v>
      </c>
      <c r="AG50" s="17">
        <v>5</v>
      </c>
      <c r="AH50" s="15">
        <v>1</v>
      </c>
      <c r="AI50" s="15">
        <v>3</v>
      </c>
      <c r="AJ50" s="15">
        <v>1</v>
      </c>
      <c r="AK50" s="15">
        <v>3</v>
      </c>
      <c r="AL50" s="16">
        <v>0</v>
      </c>
      <c r="AM50" s="17">
        <v>1</v>
      </c>
      <c r="AN50" s="15">
        <v>2</v>
      </c>
      <c r="AO50" s="15">
        <v>1</v>
      </c>
      <c r="AP50" s="15">
        <v>0</v>
      </c>
      <c r="AQ50" s="15">
        <v>2</v>
      </c>
      <c r="AR50" s="16">
        <v>1</v>
      </c>
      <c r="AS50" s="17">
        <v>0</v>
      </c>
      <c r="AT50" s="15">
        <v>1</v>
      </c>
      <c r="AU50" s="15">
        <v>2</v>
      </c>
      <c r="AV50" s="15">
        <v>0</v>
      </c>
      <c r="AW50" s="15">
        <v>2</v>
      </c>
      <c r="AX50" s="16">
        <v>5</v>
      </c>
      <c r="AY50" s="17">
        <v>1</v>
      </c>
      <c r="AZ50" s="15">
        <v>0</v>
      </c>
      <c r="BA50" s="15">
        <v>3</v>
      </c>
      <c r="BB50" s="15">
        <v>1</v>
      </c>
      <c r="BC50" s="15">
        <v>1</v>
      </c>
      <c r="BD50" s="15">
        <v>0</v>
      </c>
      <c r="BE50" s="18">
        <v>1</v>
      </c>
      <c r="BF50" s="18">
        <v>0</v>
      </c>
      <c r="BG50" s="18">
        <v>1</v>
      </c>
      <c r="BH50" s="18">
        <v>1</v>
      </c>
      <c r="BI50" s="18">
        <v>0</v>
      </c>
      <c r="BJ50" s="19">
        <v>0</v>
      </c>
      <c r="BK50" s="13"/>
      <c r="BL50" s="13"/>
      <c r="BM50" s="13"/>
      <c r="BN50" s="13"/>
      <c r="BO50" s="13"/>
      <c r="BP50" s="13"/>
      <c r="BQ50" s="13"/>
      <c r="BR50" s="13"/>
      <c r="BS50" s="13"/>
      <c r="BT50" s="15"/>
      <c r="BU50" s="15"/>
      <c r="BV50" s="16"/>
    </row>
    <row r="51" spans="1:74" ht="17" thickBot="1" x14ac:dyDescent="0.5">
      <c r="A51" s="84" t="s">
        <v>202</v>
      </c>
      <c r="B51" s="179" t="s">
        <v>252</v>
      </c>
      <c r="C51" s="21"/>
      <c r="D51" s="21"/>
      <c r="E51" s="21"/>
      <c r="F51" s="21">
        <v>1</v>
      </c>
      <c r="G51" s="21"/>
      <c r="H51" s="21"/>
      <c r="I51" s="21"/>
      <c r="J51" s="21"/>
      <c r="K51" s="21">
        <v>1</v>
      </c>
      <c r="L51" s="21"/>
      <c r="M51" s="21"/>
      <c r="N51" s="22"/>
      <c r="O51" s="21">
        <v>1</v>
      </c>
      <c r="P51" s="21">
        <v>1</v>
      </c>
      <c r="Q51" s="21"/>
      <c r="R51" s="21"/>
      <c r="S51" s="21"/>
      <c r="T51" s="21"/>
      <c r="U51" s="21">
        <v>3</v>
      </c>
      <c r="V51" s="21"/>
      <c r="W51" s="21"/>
      <c r="X51" s="23"/>
      <c r="Y51" s="23"/>
      <c r="Z51" s="24"/>
      <c r="AA51" s="25"/>
      <c r="AB51" s="23"/>
      <c r="AC51" s="23"/>
      <c r="AD51" s="23"/>
      <c r="AE51" s="23"/>
      <c r="AF51" s="23"/>
      <c r="AG51" s="23"/>
      <c r="AH51" s="23"/>
      <c r="AI51" s="23">
        <v>1</v>
      </c>
      <c r="AJ51" s="23"/>
      <c r="AK51" s="23">
        <v>1</v>
      </c>
      <c r="AL51" s="24"/>
      <c r="AM51" s="25"/>
      <c r="AN51" s="23"/>
      <c r="AO51" s="23"/>
      <c r="AP51" s="23"/>
      <c r="AQ51" s="23">
        <v>2</v>
      </c>
      <c r="AR51" s="23"/>
      <c r="AS51" s="23"/>
      <c r="AT51" s="23"/>
      <c r="AU51" s="23"/>
      <c r="AV51" s="23"/>
      <c r="AW51" s="23"/>
      <c r="AX51" s="24"/>
      <c r="AY51" s="25"/>
      <c r="AZ51" s="23"/>
      <c r="BA51" s="23"/>
      <c r="BB51" s="23"/>
      <c r="BC51" s="23"/>
      <c r="BD51" s="23"/>
      <c r="BE51" s="21"/>
      <c r="BF51" s="21"/>
      <c r="BG51" s="21">
        <v>1</v>
      </c>
      <c r="BH51" s="21"/>
      <c r="BI51" s="21"/>
      <c r="BJ51" s="22"/>
      <c r="BK51" s="21"/>
      <c r="BL51" s="21"/>
      <c r="BM51" s="21"/>
      <c r="BN51" s="21"/>
      <c r="BO51" s="21"/>
      <c r="BP51" s="21"/>
      <c r="BQ51" s="21"/>
      <c r="BR51" s="21"/>
      <c r="BS51" s="21"/>
      <c r="BT51" s="23"/>
      <c r="BU51" s="23"/>
      <c r="BV51" s="24"/>
    </row>
    <row r="52" spans="1:74" ht="17" thickBot="1" x14ac:dyDescent="0.5">
      <c r="A52" s="84" t="s">
        <v>202</v>
      </c>
      <c r="B52" s="37" t="s">
        <v>253</v>
      </c>
      <c r="C52" s="21"/>
      <c r="D52" s="21"/>
      <c r="E52" s="21">
        <v>3</v>
      </c>
      <c r="F52" s="21">
        <v>1</v>
      </c>
      <c r="G52" s="21">
        <v>1</v>
      </c>
      <c r="H52" s="21"/>
      <c r="I52" s="21"/>
      <c r="J52" s="21">
        <v>1</v>
      </c>
      <c r="K52" s="21"/>
      <c r="L52" s="21">
        <v>1</v>
      </c>
      <c r="M52" s="21"/>
      <c r="N52" s="22">
        <v>1</v>
      </c>
      <c r="O52" s="21"/>
      <c r="P52" s="21">
        <v>1</v>
      </c>
      <c r="Q52" s="21">
        <v>1</v>
      </c>
      <c r="R52" s="21">
        <v>2</v>
      </c>
      <c r="S52" s="21"/>
      <c r="T52" s="21"/>
      <c r="U52" s="21"/>
      <c r="V52" s="21">
        <v>1</v>
      </c>
      <c r="W52" s="21">
        <v>2</v>
      </c>
      <c r="X52" s="23">
        <v>1</v>
      </c>
      <c r="Y52" s="23">
        <v>1</v>
      </c>
      <c r="Z52" s="24">
        <v>2</v>
      </c>
      <c r="AA52" s="25">
        <v>1</v>
      </c>
      <c r="AB52" s="23"/>
      <c r="AC52" s="23"/>
      <c r="AD52" s="23"/>
      <c r="AE52" s="23"/>
      <c r="AF52" s="23"/>
      <c r="AG52" s="23">
        <v>5</v>
      </c>
      <c r="AH52" s="23">
        <v>1</v>
      </c>
      <c r="AI52" s="23">
        <v>2</v>
      </c>
      <c r="AJ52" s="23">
        <v>1</v>
      </c>
      <c r="AK52" s="23">
        <v>2</v>
      </c>
      <c r="AL52" s="24"/>
      <c r="AM52" s="25">
        <v>1</v>
      </c>
      <c r="AN52" s="23">
        <v>2</v>
      </c>
      <c r="AO52" s="23">
        <v>1</v>
      </c>
      <c r="AP52" s="23"/>
      <c r="AQ52" s="23"/>
      <c r="AR52" s="23"/>
      <c r="AS52" s="23"/>
      <c r="AT52" s="23">
        <v>1</v>
      </c>
      <c r="AU52" s="23">
        <v>2</v>
      </c>
      <c r="AV52" s="23"/>
      <c r="AW52" s="23">
        <v>2</v>
      </c>
      <c r="AX52" s="24">
        <v>5</v>
      </c>
      <c r="AY52" s="25">
        <v>1</v>
      </c>
      <c r="AZ52" s="23"/>
      <c r="BA52" s="23"/>
      <c r="BB52" s="23">
        <v>1</v>
      </c>
      <c r="BC52" s="23">
        <v>1</v>
      </c>
      <c r="BD52" s="23"/>
      <c r="BE52" s="21">
        <v>1</v>
      </c>
      <c r="BF52" s="21"/>
      <c r="BG52" s="21"/>
      <c r="BH52" s="21">
        <v>1</v>
      </c>
      <c r="BI52" s="21"/>
      <c r="BJ52" s="22"/>
      <c r="BK52" s="21"/>
      <c r="BL52" s="21"/>
      <c r="BM52" s="21"/>
      <c r="BN52" s="21"/>
      <c r="BO52" s="21"/>
      <c r="BP52" s="21"/>
      <c r="BQ52" s="21"/>
      <c r="BR52" s="21"/>
      <c r="BS52" s="21"/>
      <c r="BT52" s="23"/>
      <c r="BU52" s="23"/>
      <c r="BV52" s="24"/>
    </row>
    <row r="53" spans="1:74" ht="17" thickBot="1" x14ac:dyDescent="0.35">
      <c r="A53" s="84" t="s">
        <v>202</v>
      </c>
      <c r="B53" s="37" t="s">
        <v>254</v>
      </c>
      <c r="C53" s="26"/>
      <c r="D53" s="26"/>
      <c r="E53" s="26"/>
      <c r="F53" s="26"/>
      <c r="G53" s="26"/>
      <c r="H53" s="26">
        <v>1</v>
      </c>
      <c r="I53" s="26"/>
      <c r="J53" s="26">
        <v>1</v>
      </c>
      <c r="K53" s="26"/>
      <c r="L53" s="26"/>
      <c r="M53" s="26"/>
      <c r="N53" s="27"/>
      <c r="O53" s="26"/>
      <c r="P53" s="26"/>
      <c r="Q53" s="26"/>
      <c r="R53" s="26"/>
      <c r="S53" s="26"/>
      <c r="T53" s="26">
        <v>1</v>
      </c>
      <c r="U53" s="26"/>
      <c r="V53" s="26"/>
      <c r="W53" s="26"/>
      <c r="X53" s="26"/>
      <c r="Y53" s="26"/>
      <c r="Z53" s="27"/>
      <c r="AA53" s="28"/>
      <c r="AB53" s="26"/>
      <c r="AC53" s="26"/>
      <c r="AD53" s="26"/>
      <c r="AE53" s="26">
        <v>1</v>
      </c>
      <c r="AF53" s="26"/>
      <c r="AG53" s="26"/>
      <c r="AH53" s="26"/>
      <c r="AI53" s="26"/>
      <c r="AJ53" s="26"/>
      <c r="AK53" s="26"/>
      <c r="AL53" s="27"/>
      <c r="AM53" s="28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7"/>
      <c r="AY53" s="28"/>
      <c r="AZ53" s="26"/>
      <c r="BA53" s="26">
        <v>1</v>
      </c>
      <c r="BB53" s="26"/>
      <c r="BC53" s="26"/>
      <c r="BD53" s="26"/>
      <c r="BE53" s="26"/>
      <c r="BF53" s="26"/>
      <c r="BG53" s="26"/>
      <c r="BH53" s="26"/>
      <c r="BI53" s="26"/>
      <c r="BJ53" s="27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7"/>
    </row>
    <row r="54" spans="1:74" ht="17" thickBot="1" x14ac:dyDescent="0.35">
      <c r="A54" s="84" t="s">
        <v>202</v>
      </c>
      <c r="B54" s="37" t="s">
        <v>72</v>
      </c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7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27"/>
      <c r="AA54" s="28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7"/>
      <c r="AM54" s="28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7"/>
      <c r="AY54" s="28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7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7"/>
    </row>
    <row r="55" spans="1:74" ht="17" thickBot="1" x14ac:dyDescent="0.35">
      <c r="A55" s="84" t="s">
        <v>202</v>
      </c>
      <c r="B55" s="37" t="s">
        <v>51</v>
      </c>
      <c r="C55" s="26"/>
      <c r="D55" s="26"/>
      <c r="E55" s="26"/>
      <c r="F55" s="26"/>
      <c r="G55" s="26"/>
      <c r="H55" s="26">
        <v>1</v>
      </c>
      <c r="I55" s="26"/>
      <c r="J55" s="26"/>
      <c r="K55" s="26"/>
      <c r="L55" s="26"/>
      <c r="M55" s="26"/>
      <c r="N55" s="27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7"/>
      <c r="AA55" s="28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7"/>
      <c r="AM55" s="28"/>
      <c r="AN55" s="26"/>
      <c r="AO55" s="26"/>
      <c r="AP55" s="26"/>
      <c r="AQ55" s="26"/>
      <c r="AR55" s="26">
        <v>1</v>
      </c>
      <c r="AS55" s="26"/>
      <c r="AT55" s="26"/>
      <c r="AU55" s="26"/>
      <c r="AV55" s="26"/>
      <c r="AW55" s="26"/>
      <c r="AX55" s="27"/>
      <c r="AY55" s="28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7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7"/>
    </row>
    <row r="56" spans="1:74" ht="17" thickBot="1" x14ac:dyDescent="0.5">
      <c r="A56" s="84" t="s">
        <v>220</v>
      </c>
      <c r="B56" s="58" t="s">
        <v>78</v>
      </c>
      <c r="C56" s="30">
        <v>0</v>
      </c>
      <c r="D56" s="13">
        <v>0</v>
      </c>
      <c r="E56" s="13">
        <v>0</v>
      </c>
      <c r="F56" s="13">
        <v>0</v>
      </c>
      <c r="G56" s="13">
        <v>0</v>
      </c>
      <c r="H56" s="13">
        <v>1</v>
      </c>
      <c r="I56" s="13">
        <v>0</v>
      </c>
      <c r="J56" s="13">
        <v>0</v>
      </c>
      <c r="K56" s="13">
        <v>1</v>
      </c>
      <c r="L56" s="13">
        <v>0</v>
      </c>
      <c r="M56" s="13">
        <v>1</v>
      </c>
      <c r="N56" s="14">
        <v>0</v>
      </c>
      <c r="O56" s="13">
        <v>0</v>
      </c>
      <c r="P56" s="13">
        <v>0</v>
      </c>
      <c r="Q56" s="13">
        <v>1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5">
        <v>0</v>
      </c>
      <c r="Y56" s="15">
        <v>0</v>
      </c>
      <c r="Z56" s="16">
        <v>0</v>
      </c>
      <c r="AA56" s="17">
        <v>0</v>
      </c>
      <c r="AB56" s="15">
        <v>0</v>
      </c>
      <c r="AC56" s="15">
        <v>0</v>
      </c>
      <c r="AD56" s="15">
        <v>0</v>
      </c>
      <c r="AE56" s="15">
        <v>0</v>
      </c>
      <c r="AF56" s="16">
        <v>0</v>
      </c>
      <c r="AG56" s="17">
        <v>0</v>
      </c>
      <c r="AH56" s="15">
        <v>0</v>
      </c>
      <c r="AI56" s="15">
        <v>0</v>
      </c>
      <c r="AJ56" s="15">
        <v>0</v>
      </c>
      <c r="AK56" s="15">
        <v>0</v>
      </c>
      <c r="AL56" s="16">
        <v>0</v>
      </c>
      <c r="AM56" s="17">
        <v>0</v>
      </c>
      <c r="AN56" s="15">
        <v>0</v>
      </c>
      <c r="AO56" s="15">
        <v>0</v>
      </c>
      <c r="AP56" s="15">
        <v>0</v>
      </c>
      <c r="AQ56" s="15">
        <v>0</v>
      </c>
      <c r="AR56" s="16">
        <v>0</v>
      </c>
      <c r="AS56" s="17">
        <v>1</v>
      </c>
      <c r="AT56" s="15">
        <v>0</v>
      </c>
      <c r="AU56" s="15">
        <v>0</v>
      </c>
      <c r="AV56" s="15">
        <v>0</v>
      </c>
      <c r="AW56" s="15">
        <v>0</v>
      </c>
      <c r="AX56" s="16">
        <v>0</v>
      </c>
      <c r="AY56" s="17">
        <v>0</v>
      </c>
      <c r="AZ56" s="15">
        <v>0</v>
      </c>
      <c r="BA56" s="15">
        <v>0</v>
      </c>
      <c r="BB56" s="15">
        <v>0</v>
      </c>
      <c r="BC56" s="15">
        <v>0</v>
      </c>
      <c r="BD56" s="16">
        <v>0</v>
      </c>
      <c r="BE56" s="35">
        <v>0</v>
      </c>
      <c r="BF56" s="18">
        <v>0</v>
      </c>
      <c r="BG56" s="18">
        <v>0</v>
      </c>
      <c r="BH56" s="18">
        <v>0</v>
      </c>
      <c r="BI56" s="18">
        <v>1</v>
      </c>
      <c r="BJ56" s="19">
        <v>1</v>
      </c>
      <c r="BK56" s="13">
        <v>0</v>
      </c>
      <c r="BL56" s="13">
        <v>0</v>
      </c>
      <c r="BM56" s="13">
        <v>0</v>
      </c>
      <c r="BN56" s="13">
        <v>0</v>
      </c>
      <c r="BO56" s="13">
        <v>0</v>
      </c>
      <c r="BP56" s="13">
        <v>0</v>
      </c>
      <c r="BQ56" s="13">
        <v>0</v>
      </c>
      <c r="BR56" s="13">
        <v>0</v>
      </c>
      <c r="BS56" s="13">
        <v>0</v>
      </c>
      <c r="BT56" s="15">
        <v>0</v>
      </c>
      <c r="BU56" s="15">
        <v>1</v>
      </c>
      <c r="BV56" s="16">
        <v>1</v>
      </c>
    </row>
    <row r="57" spans="1:74" ht="17" thickBot="1" x14ac:dyDescent="0.5">
      <c r="A57" s="84" t="s">
        <v>220</v>
      </c>
      <c r="B57" s="179" t="s">
        <v>252</v>
      </c>
      <c r="C57" s="21"/>
      <c r="D57" s="21"/>
      <c r="E57" s="21"/>
      <c r="F57" s="21"/>
      <c r="G57" s="21"/>
      <c r="H57" s="21">
        <v>1</v>
      </c>
      <c r="I57" s="21"/>
      <c r="J57" s="21"/>
      <c r="K57" s="21"/>
      <c r="L57" s="21"/>
      <c r="M57" s="21"/>
      <c r="N57" s="22"/>
      <c r="O57" s="21"/>
      <c r="P57" s="21"/>
      <c r="Q57" s="21"/>
      <c r="R57" s="21"/>
      <c r="S57" s="21"/>
      <c r="T57" s="21"/>
      <c r="U57" s="21"/>
      <c r="V57" s="21"/>
      <c r="W57" s="21"/>
      <c r="X57" s="23"/>
      <c r="Y57" s="23"/>
      <c r="Z57" s="24"/>
      <c r="AA57" s="25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4"/>
      <c r="AM57" s="25"/>
      <c r="AN57" s="23"/>
      <c r="AO57" s="23"/>
      <c r="AP57" s="23"/>
      <c r="AQ57" s="23"/>
      <c r="AR57" s="23"/>
      <c r="AS57" s="23">
        <v>1</v>
      </c>
      <c r="AT57" s="23"/>
      <c r="AU57" s="23"/>
      <c r="AV57" s="23"/>
      <c r="AW57" s="23"/>
      <c r="AX57" s="24"/>
      <c r="AY57" s="25"/>
      <c r="AZ57" s="23"/>
      <c r="BA57" s="23"/>
      <c r="BB57" s="23"/>
      <c r="BC57" s="23"/>
      <c r="BD57" s="23"/>
      <c r="BE57" s="29"/>
      <c r="BF57" s="21"/>
      <c r="BG57" s="21"/>
      <c r="BH57" s="21"/>
      <c r="BI57" s="21"/>
      <c r="BJ57" s="22"/>
      <c r="BK57" s="21"/>
      <c r="BL57" s="21"/>
      <c r="BM57" s="21"/>
      <c r="BN57" s="21"/>
      <c r="BO57" s="21"/>
      <c r="BP57" s="21"/>
      <c r="BQ57" s="21"/>
      <c r="BR57" s="21"/>
      <c r="BS57" s="21"/>
      <c r="BT57" s="23"/>
      <c r="BU57" s="23"/>
      <c r="BV57" s="24">
        <v>1</v>
      </c>
    </row>
    <row r="58" spans="1:74" ht="17" thickBot="1" x14ac:dyDescent="0.5">
      <c r="A58" s="84" t="s">
        <v>220</v>
      </c>
      <c r="B58" s="37" t="s">
        <v>253</v>
      </c>
      <c r="C58" s="21"/>
      <c r="D58" s="21"/>
      <c r="E58" s="21"/>
      <c r="F58" s="21"/>
      <c r="G58" s="21"/>
      <c r="H58" s="21"/>
      <c r="I58" s="21"/>
      <c r="J58" s="21"/>
      <c r="K58" s="21">
        <v>1</v>
      </c>
      <c r="L58" s="21"/>
      <c r="M58" s="21">
        <v>1</v>
      </c>
      <c r="N58" s="22"/>
      <c r="O58" s="21"/>
      <c r="P58" s="21"/>
      <c r="Q58" s="21">
        <v>1</v>
      </c>
      <c r="R58" s="21"/>
      <c r="S58" s="21"/>
      <c r="T58" s="21"/>
      <c r="U58" s="21"/>
      <c r="V58" s="21"/>
      <c r="W58" s="21"/>
      <c r="X58" s="23"/>
      <c r="Y58" s="23"/>
      <c r="Z58" s="24"/>
      <c r="AA58" s="25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4"/>
      <c r="AM58" s="25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4"/>
      <c r="AY58" s="25"/>
      <c r="AZ58" s="23"/>
      <c r="BA58" s="23"/>
      <c r="BB58" s="23"/>
      <c r="BC58" s="23"/>
      <c r="BD58" s="23"/>
      <c r="BE58" s="29"/>
      <c r="BF58" s="21"/>
      <c r="BG58" s="21"/>
      <c r="BH58" s="21"/>
      <c r="BI58" s="21"/>
      <c r="BJ58" s="22"/>
      <c r="BK58" s="21"/>
      <c r="BL58" s="21"/>
      <c r="BM58" s="21"/>
      <c r="BN58" s="21"/>
      <c r="BO58" s="21"/>
      <c r="BP58" s="21"/>
      <c r="BQ58" s="21"/>
      <c r="BR58" s="21"/>
      <c r="BS58" s="21"/>
      <c r="BT58" s="23"/>
      <c r="BU58" s="23">
        <v>1</v>
      </c>
      <c r="BV58" s="24"/>
    </row>
    <row r="59" spans="1:74" ht="17" thickBot="1" x14ac:dyDescent="0.35">
      <c r="A59" s="84" t="s">
        <v>220</v>
      </c>
      <c r="B59" s="37" t="s">
        <v>254</v>
      </c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7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7"/>
      <c r="AA59" s="28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7"/>
      <c r="AM59" s="28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7"/>
      <c r="AY59" s="28"/>
      <c r="AZ59" s="26"/>
      <c r="BA59" s="26"/>
      <c r="BB59" s="26"/>
      <c r="BC59" s="26"/>
      <c r="BD59" s="26"/>
      <c r="BE59" s="28"/>
      <c r="BF59" s="26"/>
      <c r="BG59" s="26"/>
      <c r="BH59" s="26"/>
      <c r="BI59" s="26"/>
      <c r="BJ59" s="27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7"/>
    </row>
    <row r="60" spans="1:74" ht="17" thickBot="1" x14ac:dyDescent="0.35">
      <c r="A60" s="84" t="s">
        <v>220</v>
      </c>
      <c r="B60" s="37" t="s">
        <v>72</v>
      </c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7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7"/>
      <c r="AA60" s="28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7"/>
      <c r="AM60" s="28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7"/>
      <c r="AY60" s="28"/>
      <c r="AZ60" s="26"/>
      <c r="BA60" s="26"/>
      <c r="BB60" s="26"/>
      <c r="BC60" s="26"/>
      <c r="BD60" s="26"/>
      <c r="BE60" s="28"/>
      <c r="BF60" s="26"/>
      <c r="BG60" s="26"/>
      <c r="BH60" s="26"/>
      <c r="BI60" s="26">
        <v>1</v>
      </c>
      <c r="BJ60" s="27">
        <v>1</v>
      </c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7"/>
    </row>
    <row r="61" spans="1:74" ht="17" thickBot="1" x14ac:dyDescent="0.35">
      <c r="A61" s="84" t="s">
        <v>220</v>
      </c>
      <c r="B61" s="37" t="s">
        <v>51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7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7"/>
      <c r="AA61" s="28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7"/>
      <c r="AM61" s="28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7"/>
      <c r="AY61" s="28"/>
      <c r="AZ61" s="26"/>
      <c r="BA61" s="26"/>
      <c r="BB61" s="26"/>
      <c r="BC61" s="26"/>
      <c r="BD61" s="26"/>
      <c r="BE61" s="28"/>
      <c r="BF61" s="26"/>
      <c r="BG61" s="26"/>
      <c r="BH61" s="26"/>
      <c r="BI61" s="26"/>
      <c r="BJ61" s="27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7"/>
    </row>
    <row r="62" spans="1:74" ht="17" thickBot="1" x14ac:dyDescent="0.5">
      <c r="A62" s="84" t="s">
        <v>214</v>
      </c>
      <c r="B62" s="58" t="s">
        <v>78</v>
      </c>
      <c r="C62" s="30">
        <v>0</v>
      </c>
      <c r="D62" s="13">
        <v>0</v>
      </c>
      <c r="E62" s="13">
        <v>1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4">
        <v>1</v>
      </c>
      <c r="O62" s="13">
        <v>0</v>
      </c>
      <c r="P62" s="13">
        <v>0</v>
      </c>
      <c r="Q62" s="13">
        <v>1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5">
        <v>1</v>
      </c>
      <c r="Y62" s="15">
        <v>0</v>
      </c>
      <c r="Z62" s="16">
        <v>0</v>
      </c>
      <c r="AA62" s="17">
        <v>0</v>
      </c>
      <c r="AB62" s="15">
        <v>0</v>
      </c>
      <c r="AC62" s="15">
        <v>0</v>
      </c>
      <c r="AD62" s="15">
        <v>0</v>
      </c>
      <c r="AE62" s="15">
        <v>0</v>
      </c>
      <c r="AF62" s="16">
        <v>0</v>
      </c>
      <c r="AG62" s="17">
        <v>0</v>
      </c>
      <c r="AH62" s="15">
        <v>0</v>
      </c>
      <c r="AI62" s="15">
        <v>1</v>
      </c>
      <c r="AJ62" s="15">
        <v>0</v>
      </c>
      <c r="AK62" s="15">
        <v>0</v>
      </c>
      <c r="AL62" s="16">
        <v>0</v>
      </c>
      <c r="AM62" s="17">
        <v>0</v>
      </c>
      <c r="AN62" s="15">
        <v>0</v>
      </c>
      <c r="AO62" s="15">
        <v>0</v>
      </c>
      <c r="AP62" s="15">
        <v>1</v>
      </c>
      <c r="AQ62" s="15">
        <v>0</v>
      </c>
      <c r="AR62" s="16">
        <v>0</v>
      </c>
      <c r="AS62" s="17">
        <v>0</v>
      </c>
      <c r="AT62" s="15">
        <v>1</v>
      </c>
      <c r="AU62" s="15">
        <v>0</v>
      </c>
      <c r="AV62" s="15">
        <v>0</v>
      </c>
      <c r="AW62" s="15">
        <v>0</v>
      </c>
      <c r="AX62" s="16">
        <v>1</v>
      </c>
      <c r="AY62" s="17">
        <v>0</v>
      </c>
      <c r="AZ62" s="15">
        <v>0</v>
      </c>
      <c r="BA62" s="15">
        <v>0</v>
      </c>
      <c r="BB62" s="15">
        <v>0</v>
      </c>
      <c r="BC62" s="15">
        <v>0</v>
      </c>
      <c r="BD62" s="15">
        <v>0</v>
      </c>
      <c r="BE62" s="18">
        <v>1</v>
      </c>
      <c r="BF62" s="18">
        <v>0</v>
      </c>
      <c r="BG62" s="18">
        <v>0</v>
      </c>
      <c r="BH62" s="18">
        <v>0</v>
      </c>
      <c r="BI62" s="18">
        <v>0</v>
      </c>
      <c r="BJ62" s="19">
        <v>0</v>
      </c>
      <c r="BK62" s="13">
        <v>0</v>
      </c>
      <c r="BL62" s="13">
        <v>0</v>
      </c>
      <c r="BM62" s="13">
        <v>0</v>
      </c>
      <c r="BN62" s="13">
        <v>0</v>
      </c>
      <c r="BO62" s="13">
        <v>0</v>
      </c>
      <c r="BP62" s="13">
        <v>0</v>
      </c>
      <c r="BQ62" s="13">
        <v>0</v>
      </c>
      <c r="BR62" s="13">
        <v>0</v>
      </c>
      <c r="BS62" s="13">
        <v>0</v>
      </c>
      <c r="BT62" s="15">
        <v>0</v>
      </c>
      <c r="BU62" s="15">
        <v>1</v>
      </c>
      <c r="BV62" s="98">
        <v>1</v>
      </c>
    </row>
    <row r="63" spans="1:74" ht="17" thickBot="1" x14ac:dyDescent="0.5">
      <c r="A63" s="84" t="s">
        <v>214</v>
      </c>
      <c r="B63" s="179" t="s">
        <v>252</v>
      </c>
      <c r="C63" s="31"/>
      <c r="D63" s="21"/>
      <c r="E63" s="21">
        <v>1</v>
      </c>
      <c r="F63" s="21"/>
      <c r="G63" s="21"/>
      <c r="H63" s="21"/>
      <c r="I63" s="21"/>
      <c r="J63" s="21"/>
      <c r="K63" s="21"/>
      <c r="L63" s="21"/>
      <c r="M63" s="21"/>
      <c r="N63" s="22"/>
      <c r="O63" s="21"/>
      <c r="P63" s="21"/>
      <c r="Q63" s="21">
        <v>1</v>
      </c>
      <c r="R63" s="21"/>
      <c r="S63" s="21"/>
      <c r="T63" s="21"/>
      <c r="U63" s="21"/>
      <c r="V63" s="21"/>
      <c r="W63" s="21"/>
      <c r="X63" s="23"/>
      <c r="Y63" s="23"/>
      <c r="Z63" s="24"/>
      <c r="AA63" s="25"/>
      <c r="AB63" s="23"/>
      <c r="AC63" s="23"/>
      <c r="AD63" s="23"/>
      <c r="AE63" s="23"/>
      <c r="AF63" s="23"/>
      <c r="AG63" s="23"/>
      <c r="AH63" s="23"/>
      <c r="AI63" s="23">
        <v>1</v>
      </c>
      <c r="AJ63" s="23"/>
      <c r="AK63" s="23"/>
      <c r="AL63" s="24"/>
      <c r="AM63" s="25"/>
      <c r="AN63" s="23"/>
      <c r="AO63" s="23"/>
      <c r="AP63" s="23">
        <v>1</v>
      </c>
      <c r="AQ63" s="23"/>
      <c r="AR63" s="23"/>
      <c r="AS63" s="23"/>
      <c r="AT63" s="23"/>
      <c r="AU63" s="23"/>
      <c r="AV63" s="23"/>
      <c r="AW63" s="23"/>
      <c r="AX63" s="24"/>
      <c r="AY63" s="25"/>
      <c r="AZ63" s="23"/>
      <c r="BA63" s="23"/>
      <c r="BB63" s="23"/>
      <c r="BC63" s="23"/>
      <c r="BD63" s="23"/>
      <c r="BE63" s="21"/>
      <c r="BF63" s="21"/>
      <c r="BG63" s="21"/>
      <c r="BH63" s="21"/>
      <c r="BI63" s="21"/>
      <c r="BJ63" s="22"/>
      <c r="BK63" s="21"/>
      <c r="BL63" s="21"/>
      <c r="BM63" s="21"/>
      <c r="BN63" s="21"/>
      <c r="BO63" s="21"/>
      <c r="BP63" s="21"/>
      <c r="BQ63" s="21"/>
      <c r="BR63" s="21"/>
      <c r="BS63" s="21"/>
      <c r="BT63" s="23"/>
      <c r="BU63" s="23"/>
      <c r="BV63" s="32"/>
    </row>
    <row r="64" spans="1:74" ht="17" thickBot="1" x14ac:dyDescent="0.5">
      <c r="A64" s="84" t="s">
        <v>214</v>
      </c>
      <c r="B64" s="37" t="s">
        <v>253</v>
      </c>
      <c r="C64" s="3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>
        <v>1</v>
      </c>
      <c r="O64" s="21"/>
      <c r="P64" s="21"/>
      <c r="Q64" s="21"/>
      <c r="R64" s="21"/>
      <c r="S64" s="21"/>
      <c r="T64" s="21"/>
      <c r="U64" s="21"/>
      <c r="V64" s="21"/>
      <c r="W64" s="21"/>
      <c r="X64" s="23"/>
      <c r="Y64" s="23"/>
      <c r="Z64" s="24"/>
      <c r="AA64" s="25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4"/>
      <c r="AM64" s="25"/>
      <c r="AN64" s="23"/>
      <c r="AO64" s="23"/>
      <c r="AP64" s="23"/>
      <c r="AQ64" s="23"/>
      <c r="AR64" s="23"/>
      <c r="AS64" s="23"/>
      <c r="AT64" s="23">
        <v>1</v>
      </c>
      <c r="AU64" s="23"/>
      <c r="AV64" s="23"/>
      <c r="AW64" s="23"/>
      <c r="AX64" s="24">
        <v>1</v>
      </c>
      <c r="AY64" s="25"/>
      <c r="AZ64" s="23"/>
      <c r="BA64" s="23"/>
      <c r="BB64" s="23"/>
      <c r="BC64" s="23"/>
      <c r="BD64" s="23"/>
      <c r="BE64" s="21">
        <v>1</v>
      </c>
      <c r="BF64" s="21"/>
      <c r="BG64" s="21"/>
      <c r="BH64" s="21"/>
      <c r="BI64" s="21"/>
      <c r="BJ64" s="22"/>
      <c r="BK64" s="21"/>
      <c r="BL64" s="21"/>
      <c r="BM64" s="21"/>
      <c r="BN64" s="21"/>
      <c r="BO64" s="21"/>
      <c r="BP64" s="21"/>
      <c r="BQ64" s="21"/>
      <c r="BR64" s="21"/>
      <c r="BS64" s="21"/>
      <c r="BT64" s="23"/>
      <c r="BU64" s="23"/>
      <c r="BV64" s="32">
        <v>1</v>
      </c>
    </row>
    <row r="65" spans="1:74" ht="17" thickBot="1" x14ac:dyDescent="0.35">
      <c r="A65" s="84" t="s">
        <v>214</v>
      </c>
      <c r="B65" s="37" t="s">
        <v>254</v>
      </c>
      <c r="C65" s="33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7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7"/>
      <c r="AA65" s="28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28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7"/>
      <c r="AY65" s="28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7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34"/>
    </row>
    <row r="66" spans="1:74" ht="17" thickBot="1" x14ac:dyDescent="0.35">
      <c r="A66" s="84" t="s">
        <v>214</v>
      </c>
      <c r="B66" s="37" t="s">
        <v>72</v>
      </c>
      <c r="C66" s="33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7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7"/>
      <c r="AA66" s="28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7"/>
      <c r="AM66" s="28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7"/>
      <c r="AY66" s="28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7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>
        <v>1</v>
      </c>
      <c r="BV66" s="34"/>
    </row>
    <row r="67" spans="1:74" ht="16.5" customHeight="1" thickBot="1" x14ac:dyDescent="0.35">
      <c r="A67" s="84" t="s">
        <v>214</v>
      </c>
      <c r="B67" s="37" t="s">
        <v>51</v>
      </c>
      <c r="C67" s="61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40"/>
      <c r="O67" s="39"/>
      <c r="P67" s="39"/>
      <c r="Q67" s="39"/>
      <c r="R67" s="39"/>
      <c r="S67" s="39"/>
      <c r="T67" s="39"/>
      <c r="U67" s="39"/>
      <c r="V67" s="39"/>
      <c r="W67" s="39"/>
      <c r="X67" s="39">
        <v>1</v>
      </c>
      <c r="Y67" s="39"/>
      <c r="Z67" s="40"/>
      <c r="AA67" s="38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40"/>
      <c r="AM67" s="38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40"/>
      <c r="AY67" s="38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40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41"/>
    </row>
    <row r="68" spans="1:74" ht="17" thickBot="1" x14ac:dyDescent="0.5">
      <c r="A68" s="84" t="s">
        <v>195</v>
      </c>
      <c r="B68" s="58" t="s">
        <v>78</v>
      </c>
      <c r="C68" s="30">
        <v>0</v>
      </c>
      <c r="D68" s="13">
        <v>0</v>
      </c>
      <c r="E68" s="13">
        <v>1</v>
      </c>
      <c r="F68" s="13">
        <v>0</v>
      </c>
      <c r="G68" s="13">
        <v>2</v>
      </c>
      <c r="H68" s="13">
        <v>0</v>
      </c>
      <c r="I68" s="13">
        <v>1</v>
      </c>
      <c r="J68" s="13">
        <v>2</v>
      </c>
      <c r="K68" s="13">
        <v>1</v>
      </c>
      <c r="L68" s="13">
        <v>1</v>
      </c>
      <c r="M68" s="13">
        <v>0</v>
      </c>
      <c r="N68" s="14">
        <v>0</v>
      </c>
      <c r="O68" s="13">
        <v>3</v>
      </c>
      <c r="P68" s="13">
        <v>1</v>
      </c>
      <c r="Q68" s="13">
        <v>3</v>
      </c>
      <c r="R68" s="13">
        <v>0</v>
      </c>
      <c r="S68" s="13">
        <v>1</v>
      </c>
      <c r="T68" s="13">
        <v>0</v>
      </c>
      <c r="U68" s="13">
        <v>1</v>
      </c>
      <c r="V68" s="13">
        <v>1</v>
      </c>
      <c r="W68" s="13">
        <v>2</v>
      </c>
      <c r="X68" s="15">
        <v>2</v>
      </c>
      <c r="Y68" s="15">
        <v>1</v>
      </c>
      <c r="Z68" s="16">
        <v>2</v>
      </c>
      <c r="AA68" s="17">
        <v>3</v>
      </c>
      <c r="AB68" s="15">
        <v>0</v>
      </c>
      <c r="AC68" s="15">
        <v>1</v>
      </c>
      <c r="AD68" s="15">
        <v>3</v>
      </c>
      <c r="AE68" s="15">
        <v>1</v>
      </c>
      <c r="AF68" s="16">
        <v>1</v>
      </c>
      <c r="AG68" s="17">
        <v>0</v>
      </c>
      <c r="AH68" s="15">
        <v>0</v>
      </c>
      <c r="AI68" s="15">
        <v>0</v>
      </c>
      <c r="AJ68" s="15">
        <v>0</v>
      </c>
      <c r="AK68" s="15">
        <v>0</v>
      </c>
      <c r="AL68" s="16">
        <v>0</v>
      </c>
      <c r="AM68" s="17">
        <v>0</v>
      </c>
      <c r="AN68" s="15">
        <v>0</v>
      </c>
      <c r="AO68" s="15">
        <v>1</v>
      </c>
      <c r="AP68" s="15">
        <v>3</v>
      </c>
      <c r="AQ68" s="15">
        <v>2</v>
      </c>
      <c r="AR68" s="16">
        <v>4</v>
      </c>
      <c r="AS68" s="17">
        <v>1</v>
      </c>
      <c r="AT68" s="15">
        <v>0</v>
      </c>
      <c r="AU68" s="15">
        <v>1</v>
      </c>
      <c r="AV68" s="15">
        <v>1</v>
      </c>
      <c r="AW68" s="15">
        <v>1</v>
      </c>
      <c r="AX68" s="16">
        <v>2</v>
      </c>
      <c r="AY68" s="17">
        <v>0</v>
      </c>
      <c r="AZ68" s="15">
        <v>2</v>
      </c>
      <c r="BA68" s="15">
        <v>2</v>
      </c>
      <c r="BB68" s="15">
        <v>2</v>
      </c>
      <c r="BC68" s="15">
        <v>1</v>
      </c>
      <c r="BD68" s="16">
        <v>1</v>
      </c>
      <c r="BE68" s="35">
        <v>0</v>
      </c>
      <c r="BF68" s="18">
        <v>0</v>
      </c>
      <c r="BG68" s="18">
        <v>1</v>
      </c>
      <c r="BH68" s="18">
        <v>2</v>
      </c>
      <c r="BI68" s="18">
        <v>1</v>
      </c>
      <c r="BJ68" s="19">
        <v>0</v>
      </c>
      <c r="BK68" s="13">
        <v>1</v>
      </c>
      <c r="BL68" s="13">
        <v>1</v>
      </c>
      <c r="BM68" s="13">
        <v>3</v>
      </c>
      <c r="BN68" s="13">
        <v>2</v>
      </c>
      <c r="BO68" s="13">
        <v>1</v>
      </c>
      <c r="BP68" s="13">
        <v>1</v>
      </c>
      <c r="BQ68" s="13">
        <v>1</v>
      </c>
      <c r="BR68" s="13">
        <v>0</v>
      </c>
      <c r="BS68" s="13">
        <v>0</v>
      </c>
      <c r="BT68" s="15">
        <v>2</v>
      </c>
      <c r="BU68" s="15">
        <v>1</v>
      </c>
      <c r="BV68" s="98">
        <v>2</v>
      </c>
    </row>
    <row r="69" spans="1:74" ht="17" thickBot="1" x14ac:dyDescent="0.5">
      <c r="A69" s="84" t="s">
        <v>195</v>
      </c>
      <c r="B69" s="179" t="s">
        <v>252</v>
      </c>
      <c r="C69" s="31"/>
      <c r="D69" s="21"/>
      <c r="E69" s="21">
        <v>1</v>
      </c>
      <c r="F69" s="21"/>
      <c r="G69" s="21">
        <v>1</v>
      </c>
      <c r="H69" s="21"/>
      <c r="I69" s="21"/>
      <c r="J69" s="21">
        <v>1</v>
      </c>
      <c r="K69" s="21"/>
      <c r="L69" s="21">
        <v>1</v>
      </c>
      <c r="M69" s="21"/>
      <c r="N69" s="22"/>
      <c r="O69" s="21">
        <v>1</v>
      </c>
      <c r="P69" s="21"/>
      <c r="Q69" s="21"/>
      <c r="R69" s="21"/>
      <c r="S69" s="21">
        <v>1</v>
      </c>
      <c r="T69" s="21"/>
      <c r="U69" s="21">
        <v>1</v>
      </c>
      <c r="V69" s="21"/>
      <c r="W69" s="21"/>
      <c r="X69" s="23">
        <v>1</v>
      </c>
      <c r="Y69" s="23">
        <v>1</v>
      </c>
      <c r="Z69" s="24">
        <v>2</v>
      </c>
      <c r="AA69" s="25"/>
      <c r="AB69" s="23"/>
      <c r="AC69" s="23">
        <v>1</v>
      </c>
      <c r="AD69" s="23">
        <v>1</v>
      </c>
      <c r="AE69" s="23"/>
      <c r="AF69" s="23">
        <v>1</v>
      </c>
      <c r="AG69" s="23"/>
      <c r="AH69" s="23"/>
      <c r="AI69" s="23"/>
      <c r="AJ69" s="23"/>
      <c r="AK69" s="23"/>
      <c r="AL69" s="24"/>
      <c r="AM69" s="25"/>
      <c r="AN69" s="23"/>
      <c r="AO69" s="23"/>
      <c r="AP69" s="23">
        <v>1</v>
      </c>
      <c r="AQ69" s="23">
        <v>1</v>
      </c>
      <c r="AR69" s="23">
        <v>1</v>
      </c>
      <c r="AS69" s="23"/>
      <c r="AT69" s="23"/>
      <c r="AU69" s="23"/>
      <c r="AV69" s="23"/>
      <c r="AW69" s="23"/>
      <c r="AX69" s="24">
        <v>1</v>
      </c>
      <c r="AY69" s="25"/>
      <c r="AZ69" s="23"/>
      <c r="BA69" s="23">
        <v>1</v>
      </c>
      <c r="BB69" s="23"/>
      <c r="BC69" s="23">
        <v>1</v>
      </c>
      <c r="BD69" s="23"/>
      <c r="BE69" s="29"/>
      <c r="BF69" s="21"/>
      <c r="BG69" s="21"/>
      <c r="BH69" s="21">
        <v>2</v>
      </c>
      <c r="BI69" s="21">
        <v>1</v>
      </c>
      <c r="BJ69" s="22"/>
      <c r="BK69" s="21">
        <v>1</v>
      </c>
      <c r="BL69" s="21"/>
      <c r="BM69" s="21"/>
      <c r="BN69" s="21">
        <v>1</v>
      </c>
      <c r="BO69" s="21"/>
      <c r="BP69" s="21"/>
      <c r="BQ69" s="21"/>
      <c r="BR69" s="21"/>
      <c r="BS69" s="21"/>
      <c r="BT69" s="23">
        <v>1</v>
      </c>
      <c r="BU69" s="23">
        <v>1</v>
      </c>
      <c r="BV69" s="32"/>
    </row>
    <row r="70" spans="1:74" ht="17" thickBot="1" x14ac:dyDescent="0.5">
      <c r="A70" s="84" t="s">
        <v>195</v>
      </c>
      <c r="B70" s="37" t="s">
        <v>253</v>
      </c>
      <c r="C70" s="31"/>
      <c r="D70" s="21"/>
      <c r="E70" s="21"/>
      <c r="F70" s="21"/>
      <c r="G70" s="21"/>
      <c r="H70" s="21"/>
      <c r="I70" s="21"/>
      <c r="J70" s="21">
        <v>1</v>
      </c>
      <c r="K70" s="21">
        <v>1</v>
      </c>
      <c r="L70" s="21"/>
      <c r="M70" s="21"/>
      <c r="N70" s="22"/>
      <c r="O70" s="21">
        <v>2</v>
      </c>
      <c r="P70" s="21">
        <v>1</v>
      </c>
      <c r="Q70" s="21"/>
      <c r="R70" s="21"/>
      <c r="S70" s="21"/>
      <c r="T70" s="21"/>
      <c r="U70" s="21"/>
      <c r="V70" s="21"/>
      <c r="W70" s="21">
        <v>1</v>
      </c>
      <c r="X70" s="23">
        <v>1</v>
      </c>
      <c r="Y70" s="23"/>
      <c r="Z70" s="24"/>
      <c r="AA70" s="25">
        <v>2</v>
      </c>
      <c r="AB70" s="23"/>
      <c r="AC70" s="23"/>
      <c r="AD70" s="23">
        <v>1</v>
      </c>
      <c r="AE70" s="23">
        <v>1</v>
      </c>
      <c r="AF70" s="23"/>
      <c r="AG70" s="23"/>
      <c r="AH70" s="23"/>
      <c r="AI70" s="23"/>
      <c r="AJ70" s="23"/>
      <c r="AK70" s="23"/>
      <c r="AL70" s="24"/>
      <c r="AM70" s="25"/>
      <c r="AN70" s="23"/>
      <c r="AO70" s="23">
        <v>1</v>
      </c>
      <c r="AP70" s="23">
        <v>2</v>
      </c>
      <c r="AQ70" s="23">
        <v>1</v>
      </c>
      <c r="AR70" s="23">
        <v>3</v>
      </c>
      <c r="AS70" s="23"/>
      <c r="AT70" s="23"/>
      <c r="AU70" s="23"/>
      <c r="AV70" s="23">
        <v>1</v>
      </c>
      <c r="AW70" s="23">
        <v>1</v>
      </c>
      <c r="AX70" s="24">
        <v>1</v>
      </c>
      <c r="AY70" s="25"/>
      <c r="AZ70" s="23">
        <v>1</v>
      </c>
      <c r="BA70" s="23"/>
      <c r="BB70" s="23">
        <v>1</v>
      </c>
      <c r="BC70" s="23"/>
      <c r="BD70" s="23">
        <v>1</v>
      </c>
      <c r="BE70" s="29"/>
      <c r="BF70" s="21"/>
      <c r="BG70" s="21">
        <v>1</v>
      </c>
      <c r="BH70" s="21"/>
      <c r="BI70" s="21"/>
      <c r="BJ70" s="22"/>
      <c r="BK70" s="21"/>
      <c r="BL70" s="21"/>
      <c r="BM70" s="21">
        <v>2</v>
      </c>
      <c r="BN70" s="21">
        <v>1</v>
      </c>
      <c r="BO70" s="21"/>
      <c r="BP70" s="21"/>
      <c r="BQ70" s="21">
        <v>1</v>
      </c>
      <c r="BR70" s="21"/>
      <c r="BS70" s="21"/>
      <c r="BT70" s="23">
        <v>1</v>
      </c>
      <c r="BU70" s="23"/>
      <c r="BV70" s="32">
        <v>2</v>
      </c>
    </row>
    <row r="71" spans="1:74" ht="17" thickBot="1" x14ac:dyDescent="0.35">
      <c r="A71" s="84" t="s">
        <v>195</v>
      </c>
      <c r="B71" s="37" t="s">
        <v>254</v>
      </c>
      <c r="C71" s="33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7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7"/>
      <c r="AA71" s="28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7"/>
      <c r="AM71" s="28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7"/>
      <c r="AY71" s="28"/>
      <c r="AZ71" s="26"/>
      <c r="BA71" s="26"/>
      <c r="BB71" s="26"/>
      <c r="BC71" s="26"/>
      <c r="BD71" s="26"/>
      <c r="BE71" s="28"/>
      <c r="BF71" s="26"/>
      <c r="BG71" s="26"/>
      <c r="BH71" s="26"/>
      <c r="BI71" s="26"/>
      <c r="BJ71" s="27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34"/>
    </row>
    <row r="72" spans="1:74" ht="17" thickBot="1" x14ac:dyDescent="0.35">
      <c r="A72" s="84" t="s">
        <v>195</v>
      </c>
      <c r="B72" s="37" t="s">
        <v>72</v>
      </c>
      <c r="C72" s="33"/>
      <c r="D72" s="26"/>
      <c r="E72" s="26"/>
      <c r="F72" s="26"/>
      <c r="G72" s="26">
        <v>1</v>
      </c>
      <c r="H72" s="26"/>
      <c r="I72" s="26"/>
      <c r="J72" s="26"/>
      <c r="K72" s="26"/>
      <c r="L72" s="26"/>
      <c r="M72" s="26"/>
      <c r="N72" s="27"/>
      <c r="O72" s="26"/>
      <c r="P72" s="26"/>
      <c r="Q72" s="26">
        <v>2</v>
      </c>
      <c r="R72" s="26"/>
      <c r="S72" s="26"/>
      <c r="T72" s="26"/>
      <c r="U72" s="26"/>
      <c r="V72" s="26">
        <v>1</v>
      </c>
      <c r="W72" s="26">
        <v>1</v>
      </c>
      <c r="X72" s="26"/>
      <c r="Y72" s="26"/>
      <c r="Z72" s="27"/>
      <c r="AA72" s="28">
        <v>1</v>
      </c>
      <c r="AB72" s="26"/>
      <c r="AC72" s="26"/>
      <c r="AD72" s="26">
        <v>1</v>
      </c>
      <c r="AE72" s="26"/>
      <c r="AF72" s="26"/>
      <c r="AG72" s="26"/>
      <c r="AH72" s="26"/>
      <c r="AI72" s="26"/>
      <c r="AJ72" s="26"/>
      <c r="AK72" s="26"/>
      <c r="AL72" s="27"/>
      <c r="AM72" s="28"/>
      <c r="AN72" s="26"/>
      <c r="AO72" s="26"/>
      <c r="AP72" s="26"/>
      <c r="AQ72" s="26"/>
      <c r="AR72" s="26"/>
      <c r="AS72" s="26"/>
      <c r="AT72" s="26"/>
      <c r="AU72" s="26">
        <v>1</v>
      </c>
      <c r="AV72" s="26"/>
      <c r="AW72" s="26"/>
      <c r="AX72" s="27"/>
      <c r="AY72" s="28"/>
      <c r="AZ72" s="26"/>
      <c r="BA72" s="26"/>
      <c r="BB72" s="26">
        <v>1</v>
      </c>
      <c r="BC72" s="26"/>
      <c r="BD72" s="26"/>
      <c r="BE72" s="28"/>
      <c r="BF72" s="26"/>
      <c r="BG72" s="26"/>
      <c r="BH72" s="26"/>
      <c r="BI72" s="26"/>
      <c r="BJ72" s="27"/>
      <c r="BK72" s="26"/>
      <c r="BL72" s="26">
        <v>1</v>
      </c>
      <c r="BM72" s="26">
        <v>1</v>
      </c>
      <c r="BN72" s="26"/>
      <c r="BO72" s="26">
        <v>1</v>
      </c>
      <c r="BP72" s="26">
        <v>1</v>
      </c>
      <c r="BQ72" s="26"/>
      <c r="BR72" s="26"/>
      <c r="BS72" s="26"/>
      <c r="BT72" s="26"/>
      <c r="BU72" s="26"/>
      <c r="BV72" s="34"/>
    </row>
    <row r="73" spans="1:74" ht="17" thickBot="1" x14ac:dyDescent="0.35">
      <c r="A73" s="84" t="s">
        <v>195</v>
      </c>
      <c r="B73" s="37" t="s">
        <v>51</v>
      </c>
      <c r="C73" s="61"/>
      <c r="D73" s="39"/>
      <c r="E73" s="39"/>
      <c r="F73" s="39"/>
      <c r="G73" s="39"/>
      <c r="H73" s="39"/>
      <c r="I73" s="39">
        <v>1</v>
      </c>
      <c r="J73" s="39"/>
      <c r="K73" s="39"/>
      <c r="L73" s="39"/>
      <c r="M73" s="39"/>
      <c r="N73" s="40"/>
      <c r="O73" s="39"/>
      <c r="P73" s="39"/>
      <c r="Q73" s="39">
        <v>1</v>
      </c>
      <c r="R73" s="39"/>
      <c r="S73" s="39"/>
      <c r="T73" s="39"/>
      <c r="U73" s="39"/>
      <c r="V73" s="39"/>
      <c r="W73" s="39"/>
      <c r="X73" s="39"/>
      <c r="Y73" s="39"/>
      <c r="Z73" s="40"/>
      <c r="AA73" s="38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40"/>
      <c r="AM73" s="38"/>
      <c r="AN73" s="39"/>
      <c r="AO73" s="39"/>
      <c r="AP73" s="39"/>
      <c r="AQ73" s="39"/>
      <c r="AR73" s="39"/>
      <c r="AS73" s="39">
        <v>1</v>
      </c>
      <c r="AT73" s="39"/>
      <c r="AU73" s="39"/>
      <c r="AV73" s="39"/>
      <c r="AW73" s="39"/>
      <c r="AX73" s="40"/>
      <c r="AY73" s="38"/>
      <c r="AZ73" s="39">
        <v>1</v>
      </c>
      <c r="BA73" s="39">
        <v>1</v>
      </c>
      <c r="BB73" s="39"/>
      <c r="BC73" s="39"/>
      <c r="BD73" s="39"/>
      <c r="BE73" s="38"/>
      <c r="BF73" s="39"/>
      <c r="BG73" s="39"/>
      <c r="BH73" s="39"/>
      <c r="BI73" s="39"/>
      <c r="BJ73" s="40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41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60"/>
  <sheetViews>
    <sheetView topLeftCell="A7" zoomScale="84" workbookViewId="0">
      <selection activeCell="P9" sqref="P9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140</v>
      </c>
      <c r="B1" s="20" t="s">
        <v>141</v>
      </c>
      <c r="C1" s="6" t="s">
        <v>80</v>
      </c>
      <c r="D1" s="6" t="s">
        <v>81</v>
      </c>
      <c r="E1" s="6" t="s">
        <v>82</v>
      </c>
      <c r="F1" s="6" t="s">
        <v>83</v>
      </c>
      <c r="G1" s="6" t="s">
        <v>84</v>
      </c>
      <c r="H1" s="6" t="s">
        <v>85</v>
      </c>
      <c r="I1" s="6" t="s">
        <v>86</v>
      </c>
      <c r="J1" s="6" t="s">
        <v>87</v>
      </c>
      <c r="K1" s="6" t="s">
        <v>88</v>
      </c>
      <c r="L1" s="6" t="s">
        <v>89</v>
      </c>
      <c r="M1" s="6" t="s">
        <v>90</v>
      </c>
      <c r="N1" s="6" t="s">
        <v>91</v>
      </c>
      <c r="O1" s="6" t="s">
        <v>178</v>
      </c>
      <c r="P1" s="6" t="s">
        <v>179</v>
      </c>
      <c r="Q1" s="6" t="s">
        <v>180</v>
      </c>
      <c r="R1" s="6" t="s">
        <v>181</v>
      </c>
      <c r="S1" s="6" t="s">
        <v>182</v>
      </c>
      <c r="T1" s="6" t="s">
        <v>183</v>
      </c>
      <c r="U1" s="6" t="s">
        <v>184</v>
      </c>
      <c r="V1" s="6" t="s">
        <v>185</v>
      </c>
      <c r="W1" s="6" t="s">
        <v>186</v>
      </c>
      <c r="X1" s="6" t="s">
        <v>187</v>
      </c>
      <c r="Y1" s="6" t="s">
        <v>188</v>
      </c>
      <c r="Z1" s="6" t="s">
        <v>189</v>
      </c>
      <c r="AA1" s="12" t="s">
        <v>92</v>
      </c>
      <c r="AB1" s="12" t="s">
        <v>93</v>
      </c>
      <c r="AC1" s="12" t="s">
        <v>94</v>
      </c>
      <c r="AD1" s="12" t="s">
        <v>95</v>
      </c>
      <c r="AE1" s="12" t="s">
        <v>96</v>
      </c>
      <c r="AF1" s="12" t="s">
        <v>97</v>
      </c>
      <c r="AG1" s="12" t="s">
        <v>98</v>
      </c>
      <c r="AH1" s="12" t="s">
        <v>99</v>
      </c>
      <c r="AI1" s="12" t="s">
        <v>100</v>
      </c>
      <c r="AJ1" s="12" t="s">
        <v>101</v>
      </c>
      <c r="AK1" s="12" t="s">
        <v>102</v>
      </c>
      <c r="AL1" s="12" t="s">
        <v>103</v>
      </c>
      <c r="AM1" s="6" t="s">
        <v>104</v>
      </c>
      <c r="AN1" s="6" t="s">
        <v>105</v>
      </c>
      <c r="AO1" s="6" t="s">
        <v>106</v>
      </c>
      <c r="AP1" s="6" t="s">
        <v>107</v>
      </c>
      <c r="AQ1" s="6" t="s">
        <v>108</v>
      </c>
      <c r="AR1" s="6" t="s">
        <v>109</v>
      </c>
      <c r="AS1" s="6" t="s">
        <v>110</v>
      </c>
      <c r="AT1" s="6" t="s">
        <v>111</v>
      </c>
      <c r="AU1" s="6" t="s">
        <v>112</v>
      </c>
      <c r="AV1" s="6" t="s">
        <v>113</v>
      </c>
      <c r="AW1" s="6" t="s">
        <v>114</v>
      </c>
      <c r="AX1" s="6" t="s">
        <v>115</v>
      </c>
      <c r="AY1" s="6" t="s">
        <v>116</v>
      </c>
      <c r="AZ1" s="6" t="s">
        <v>117</v>
      </c>
      <c r="BA1" s="6" t="s">
        <v>118</v>
      </c>
      <c r="BB1" s="6" t="s">
        <v>119</v>
      </c>
      <c r="BC1" s="6" t="s">
        <v>120</v>
      </c>
      <c r="BD1" s="6" t="s">
        <v>121</v>
      </c>
      <c r="BE1" s="6" t="s">
        <v>122</v>
      </c>
      <c r="BF1" s="6" t="s">
        <v>123</v>
      </c>
      <c r="BG1" s="6" t="s">
        <v>124</v>
      </c>
      <c r="BH1" s="6" t="s">
        <v>125</v>
      </c>
      <c r="BI1" s="6" t="s">
        <v>126</v>
      </c>
      <c r="BJ1" s="6" t="s">
        <v>127</v>
      </c>
      <c r="BK1" s="6" t="s">
        <v>128</v>
      </c>
      <c r="BL1" s="6" t="s">
        <v>129</v>
      </c>
      <c r="BM1" s="6" t="s">
        <v>130</v>
      </c>
      <c r="BN1" s="6" t="s">
        <v>131</v>
      </c>
      <c r="BO1" s="6" t="s">
        <v>132</v>
      </c>
      <c r="BP1" s="6" t="s">
        <v>133</v>
      </c>
      <c r="BQ1" s="6" t="s">
        <v>134</v>
      </c>
      <c r="BR1" s="6" t="s">
        <v>135</v>
      </c>
      <c r="BS1" s="6" t="s">
        <v>136</v>
      </c>
      <c r="BT1" s="6" t="s">
        <v>137</v>
      </c>
      <c r="BU1" s="6" t="s">
        <v>138</v>
      </c>
      <c r="BV1" s="6" t="s">
        <v>139</v>
      </c>
    </row>
    <row r="2" spans="1:74" ht="17" thickBot="1" x14ac:dyDescent="0.5">
      <c r="A2" s="84" t="s">
        <v>3</v>
      </c>
      <c r="B2" s="58" t="s">
        <v>78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71">
        <v>5</v>
      </c>
      <c r="AN2" s="72">
        <v>4</v>
      </c>
      <c r="AO2" s="72">
        <v>4</v>
      </c>
      <c r="AP2" s="85" t="s">
        <v>66</v>
      </c>
      <c r="AQ2" s="85" t="s">
        <v>66</v>
      </c>
      <c r="AR2" s="86" t="s">
        <v>31</v>
      </c>
      <c r="AS2" s="86" t="s">
        <v>31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84" t="s">
        <v>3</v>
      </c>
      <c r="B3" s="179" t="s">
        <v>252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85" t="s">
        <v>66</v>
      </c>
      <c r="AQ3" s="85" t="s">
        <v>66</v>
      </c>
      <c r="AR3" s="86" t="s">
        <v>31</v>
      </c>
      <c r="AS3" s="86" t="s">
        <v>31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84" t="s">
        <v>3</v>
      </c>
      <c r="B4" s="37" t="s">
        <v>253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85" t="s">
        <v>66</v>
      </c>
      <c r="AQ4" s="85" t="s">
        <v>66</v>
      </c>
      <c r="AR4" s="86" t="s">
        <v>31</v>
      </c>
      <c r="AS4" s="86" t="s">
        <v>31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84" t="s">
        <v>3</v>
      </c>
      <c r="B5" s="37" t="s">
        <v>254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85" t="s">
        <v>66</v>
      </c>
      <c r="AQ5" s="85" t="s">
        <v>66</v>
      </c>
      <c r="AR5" s="86" t="s">
        <v>31</v>
      </c>
      <c r="AS5" s="86" t="s">
        <v>31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84" t="s">
        <v>3</v>
      </c>
      <c r="B6" s="57" t="s">
        <v>72</v>
      </c>
      <c r="C6" s="62"/>
      <c r="D6" s="63"/>
      <c r="E6" s="63"/>
      <c r="F6" s="63"/>
      <c r="G6" s="63"/>
      <c r="H6" s="63"/>
      <c r="I6" s="63"/>
      <c r="J6" s="63"/>
      <c r="K6" s="63"/>
      <c r="L6" s="63"/>
      <c r="M6" s="63"/>
      <c r="N6" s="64"/>
      <c r="O6" s="63">
        <v>1</v>
      </c>
      <c r="P6" s="63"/>
      <c r="Q6" s="63"/>
      <c r="R6" s="63"/>
      <c r="S6" s="63"/>
      <c r="T6" s="63"/>
      <c r="U6" s="63"/>
      <c r="V6" s="63"/>
      <c r="W6" s="63"/>
      <c r="X6" s="63"/>
      <c r="Y6" s="63"/>
      <c r="Z6" s="64"/>
      <c r="AA6" s="63"/>
      <c r="AB6" s="63"/>
      <c r="AC6" s="63"/>
      <c r="AD6" s="63"/>
      <c r="AE6" s="63"/>
      <c r="AF6" s="63"/>
      <c r="AG6" s="63"/>
      <c r="AH6" s="63"/>
      <c r="AI6" s="63"/>
      <c r="AJ6" s="63">
        <v>1</v>
      </c>
      <c r="AK6" s="63"/>
      <c r="AL6" s="64"/>
      <c r="AM6" s="65"/>
      <c r="AN6" s="63">
        <v>1</v>
      </c>
      <c r="AO6" s="63"/>
      <c r="AP6" s="85" t="s">
        <v>66</v>
      </c>
      <c r="AQ6" s="85" t="s">
        <v>66</v>
      </c>
      <c r="AR6" s="86" t="s">
        <v>31</v>
      </c>
      <c r="AS6" s="86" t="s">
        <v>31</v>
      </c>
      <c r="AT6" s="63"/>
      <c r="AU6" s="63"/>
      <c r="AV6" s="63"/>
      <c r="AW6" s="63"/>
      <c r="AX6" s="63">
        <v>1</v>
      </c>
      <c r="AY6" s="65"/>
      <c r="AZ6" s="63"/>
      <c r="BA6" s="63"/>
      <c r="BB6" s="63"/>
      <c r="BC6" s="63"/>
      <c r="BD6" s="63"/>
      <c r="BE6" s="63">
        <v>1</v>
      </c>
      <c r="BF6" s="63"/>
      <c r="BG6" s="63">
        <v>1</v>
      </c>
      <c r="BH6" s="63"/>
      <c r="BI6" s="63"/>
      <c r="BJ6" s="64"/>
      <c r="BK6" s="63"/>
      <c r="BL6" s="63"/>
      <c r="BM6" s="63"/>
      <c r="BN6" s="63"/>
      <c r="BO6" s="63"/>
      <c r="BP6" s="63">
        <v>1</v>
      </c>
      <c r="BQ6" s="63"/>
      <c r="BR6" s="63"/>
      <c r="BS6" s="63"/>
      <c r="BT6" s="63"/>
      <c r="BU6" s="63"/>
      <c r="BV6" s="66"/>
    </row>
    <row r="7" spans="1:74" ht="17" thickBot="1" x14ac:dyDescent="0.35">
      <c r="A7" s="84" t="s">
        <v>3</v>
      </c>
      <c r="B7" s="37" t="s">
        <v>51</v>
      </c>
      <c r="C7" s="61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85" t="s">
        <v>66</v>
      </c>
      <c r="AQ7" s="85" t="s">
        <v>66</v>
      </c>
      <c r="AR7" s="86" t="s">
        <v>31</v>
      </c>
      <c r="AS7" s="86" t="s">
        <v>31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84" t="s">
        <v>4</v>
      </c>
      <c r="B8" s="58" t="s">
        <v>78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56">
        <v>2</v>
      </c>
      <c r="AJ8" s="16">
        <v>1</v>
      </c>
      <c r="AK8" s="85" t="s">
        <v>66</v>
      </c>
      <c r="AL8" s="85" t="s">
        <v>66</v>
      </c>
      <c r="AM8" s="86" t="s">
        <v>31</v>
      </c>
      <c r="AN8" s="86" t="s">
        <v>31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84" t="s">
        <v>4</v>
      </c>
      <c r="B9" s="179" t="s">
        <v>252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85" t="s">
        <v>66</v>
      </c>
      <c r="AL9" s="85" t="s">
        <v>66</v>
      </c>
      <c r="AM9" s="86" t="s">
        <v>31</v>
      </c>
      <c r="AN9" s="86" t="s">
        <v>31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84" t="s">
        <v>4</v>
      </c>
      <c r="B10" s="37" t="s">
        <v>253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85" t="s">
        <v>66</v>
      </c>
      <c r="AL10" s="85" t="s">
        <v>66</v>
      </c>
      <c r="AM10" s="86" t="s">
        <v>31</v>
      </c>
      <c r="AN10" s="86" t="s">
        <v>31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84" t="s">
        <v>4</v>
      </c>
      <c r="B11" s="37" t="s">
        <v>254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85" t="s">
        <v>66</v>
      </c>
      <c r="AL11" s="85" t="s">
        <v>66</v>
      </c>
      <c r="AM11" s="86" t="s">
        <v>31</v>
      </c>
      <c r="AN11" s="86" t="s">
        <v>31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84" t="s">
        <v>4</v>
      </c>
      <c r="B12" s="37" t="s">
        <v>72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85" t="s">
        <v>66</v>
      </c>
      <c r="AL12" s="85" t="s">
        <v>66</v>
      </c>
      <c r="AM12" s="86" t="s">
        <v>31</v>
      </c>
      <c r="AN12" s="86" t="s">
        <v>31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84" t="s">
        <v>4</v>
      </c>
      <c r="B13" s="179" t="s">
        <v>51</v>
      </c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4"/>
      <c r="AA13" s="65"/>
      <c r="AB13" s="63"/>
      <c r="AC13" s="63"/>
      <c r="AD13" s="63"/>
      <c r="AE13" s="63">
        <v>1</v>
      </c>
      <c r="AF13" s="39"/>
      <c r="AG13" s="63"/>
      <c r="AH13" s="63">
        <v>1</v>
      </c>
      <c r="AI13" s="39"/>
      <c r="AJ13" s="64"/>
      <c r="AK13" s="85" t="s">
        <v>66</v>
      </c>
      <c r="AL13" s="85" t="s">
        <v>66</v>
      </c>
      <c r="AM13" s="86" t="s">
        <v>31</v>
      </c>
      <c r="AN13" s="86" t="s">
        <v>31</v>
      </c>
      <c r="AO13" s="63"/>
      <c r="AP13" s="63"/>
      <c r="AQ13" s="63"/>
      <c r="AR13" s="64"/>
      <c r="AS13" s="65"/>
      <c r="AT13" s="63"/>
      <c r="AU13" s="63"/>
      <c r="AV13" s="63"/>
      <c r="AW13" s="63"/>
      <c r="AX13" s="64"/>
      <c r="AY13" s="65"/>
      <c r="AZ13" s="63"/>
      <c r="BA13" s="63"/>
      <c r="BB13" s="63"/>
      <c r="BC13" s="63"/>
      <c r="BD13" s="63"/>
      <c r="BE13" s="63"/>
      <c r="BF13" s="63"/>
      <c r="BG13" s="63"/>
      <c r="BH13" s="63"/>
      <c r="BI13" s="63">
        <v>1</v>
      </c>
      <c r="BJ13" s="64"/>
      <c r="BK13" s="63"/>
      <c r="BL13" s="63"/>
      <c r="BM13" s="63"/>
      <c r="BN13" s="63"/>
      <c r="BO13" s="63"/>
      <c r="BP13" s="63">
        <v>2</v>
      </c>
      <c r="BQ13" s="63">
        <v>1</v>
      </c>
      <c r="BR13" s="63"/>
      <c r="BS13" s="63"/>
      <c r="BT13" s="63">
        <v>1</v>
      </c>
      <c r="BU13" s="63"/>
      <c r="BV13" s="66"/>
    </row>
    <row r="14" spans="1:74" ht="17" thickBot="1" x14ac:dyDescent="0.5">
      <c r="A14" s="84" t="s">
        <v>36</v>
      </c>
      <c r="B14" s="58" t="s">
        <v>78</v>
      </c>
      <c r="C14" s="153">
        <v>0</v>
      </c>
      <c r="D14" s="154">
        <v>1</v>
      </c>
      <c r="E14" s="154">
        <v>1</v>
      </c>
      <c r="F14" s="154">
        <v>0</v>
      </c>
      <c r="G14" s="154">
        <v>1</v>
      </c>
      <c r="H14" s="154">
        <v>0</v>
      </c>
      <c r="I14" s="154">
        <v>2</v>
      </c>
      <c r="J14" s="154">
        <v>1</v>
      </c>
      <c r="K14" s="154">
        <v>0</v>
      </c>
      <c r="L14" s="154">
        <v>3</v>
      </c>
      <c r="M14" s="154">
        <v>4</v>
      </c>
      <c r="N14" s="155">
        <v>1</v>
      </c>
      <c r="O14" s="154">
        <v>2</v>
      </c>
      <c r="P14" s="154">
        <v>1</v>
      </c>
      <c r="Q14" s="154">
        <v>0</v>
      </c>
      <c r="R14" s="154">
        <v>3</v>
      </c>
      <c r="S14" s="154">
        <v>1</v>
      </c>
      <c r="T14" s="154">
        <v>3</v>
      </c>
      <c r="U14" s="154">
        <v>0</v>
      </c>
      <c r="V14" s="154">
        <v>1</v>
      </c>
      <c r="W14" s="154">
        <v>2</v>
      </c>
      <c r="X14" s="156">
        <v>4</v>
      </c>
      <c r="Y14" s="156">
        <v>0</v>
      </c>
      <c r="Z14" s="157">
        <v>6</v>
      </c>
      <c r="AA14" s="158">
        <v>2</v>
      </c>
      <c r="AB14" s="156">
        <v>1</v>
      </c>
      <c r="AC14" s="156">
        <v>0</v>
      </c>
      <c r="AD14" s="156">
        <v>1</v>
      </c>
      <c r="AE14" s="156">
        <v>2</v>
      </c>
      <c r="AF14" s="157">
        <v>0</v>
      </c>
      <c r="AG14" s="158">
        <v>3</v>
      </c>
      <c r="AH14" s="156">
        <v>4</v>
      </c>
      <c r="AI14" s="156">
        <v>0</v>
      </c>
      <c r="AJ14" s="156">
        <v>1</v>
      </c>
      <c r="AK14" s="156">
        <v>0</v>
      </c>
      <c r="AL14" s="157">
        <v>1</v>
      </c>
      <c r="AM14" s="158">
        <v>2</v>
      </c>
      <c r="AN14" s="156">
        <v>3</v>
      </c>
      <c r="AO14" s="156">
        <v>0</v>
      </c>
      <c r="AP14" s="156">
        <v>2</v>
      </c>
      <c r="AQ14" s="156">
        <v>1</v>
      </c>
      <c r="AR14" s="157">
        <v>3</v>
      </c>
      <c r="AS14" s="158">
        <v>2</v>
      </c>
      <c r="AT14" s="156">
        <v>3</v>
      </c>
      <c r="AU14" s="156">
        <v>1</v>
      </c>
      <c r="AV14" s="156">
        <v>4</v>
      </c>
      <c r="AW14" s="156">
        <v>1</v>
      </c>
      <c r="AX14" s="157">
        <v>2</v>
      </c>
      <c r="AY14" s="173">
        <v>2</v>
      </c>
      <c r="AZ14" s="159">
        <v>0</v>
      </c>
      <c r="BA14" s="159">
        <v>3</v>
      </c>
      <c r="BB14" s="159">
        <v>2</v>
      </c>
      <c r="BC14" s="159">
        <v>0</v>
      </c>
      <c r="BD14" s="159">
        <v>0</v>
      </c>
      <c r="BE14" s="159">
        <v>1</v>
      </c>
      <c r="BF14" s="159">
        <v>0</v>
      </c>
      <c r="BG14" s="159">
        <v>1</v>
      </c>
      <c r="BH14" s="159">
        <v>0</v>
      </c>
      <c r="BI14" s="159">
        <v>2</v>
      </c>
      <c r="BJ14" s="159">
        <v>0</v>
      </c>
      <c r="BK14" s="160" t="s">
        <v>66</v>
      </c>
      <c r="BL14" s="161" t="s">
        <v>31</v>
      </c>
      <c r="BM14" s="161" t="s">
        <v>31</v>
      </c>
      <c r="BN14" s="159">
        <v>0</v>
      </c>
      <c r="BO14" s="159">
        <v>0</v>
      </c>
      <c r="BP14" s="174">
        <v>0</v>
      </c>
      <c r="BQ14" s="159">
        <v>0</v>
      </c>
      <c r="BR14" s="159">
        <v>3</v>
      </c>
      <c r="BS14" s="159">
        <v>1</v>
      </c>
      <c r="BT14" s="162">
        <v>0</v>
      </c>
      <c r="BU14" s="162">
        <v>1</v>
      </c>
      <c r="BV14" s="163">
        <v>0</v>
      </c>
    </row>
    <row r="15" spans="1:74" ht="17" thickBot="1" x14ac:dyDescent="0.5">
      <c r="A15" s="84" t="s">
        <v>36</v>
      </c>
      <c r="B15" s="179" t="s">
        <v>252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85" t="s">
        <v>66</v>
      </c>
      <c r="BL15" s="86" t="s">
        <v>31</v>
      </c>
      <c r="BM15" s="86" t="s">
        <v>31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84" t="s">
        <v>36</v>
      </c>
      <c r="B16" s="37" t="s">
        <v>253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85" t="s">
        <v>66</v>
      </c>
      <c r="BL16" s="86" t="s">
        <v>31</v>
      </c>
      <c r="BM16" s="86" t="s">
        <v>31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84" t="s">
        <v>36</v>
      </c>
      <c r="B17" s="37" t="s">
        <v>254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85" t="s">
        <v>66</v>
      </c>
      <c r="BL17" s="86" t="s">
        <v>31</v>
      </c>
      <c r="BM17" s="86" t="s">
        <v>31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84" t="s">
        <v>36</v>
      </c>
      <c r="B18" s="37" t="s">
        <v>72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85" t="s">
        <v>66</v>
      </c>
      <c r="BL18" s="86" t="s">
        <v>31</v>
      </c>
      <c r="BM18" s="86" t="s">
        <v>31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97" t="s">
        <v>36</v>
      </c>
      <c r="B19" s="37" t="s">
        <v>51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75" t="s">
        <v>66</v>
      </c>
      <c r="BL19" s="176" t="s">
        <v>31</v>
      </c>
      <c r="BM19" s="176" t="s">
        <v>31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64" t="s">
        <v>37</v>
      </c>
      <c r="B20" s="165" t="s">
        <v>78</v>
      </c>
      <c r="C20" s="166">
        <v>1</v>
      </c>
      <c r="D20" s="167">
        <v>0</v>
      </c>
      <c r="E20" s="167">
        <v>0</v>
      </c>
      <c r="F20" s="167">
        <v>0</v>
      </c>
      <c r="G20" s="167">
        <v>2</v>
      </c>
      <c r="H20" s="167">
        <v>0</v>
      </c>
      <c r="I20" s="167">
        <v>0</v>
      </c>
      <c r="J20" s="167">
        <v>1</v>
      </c>
      <c r="K20" s="167">
        <v>0</v>
      </c>
      <c r="L20" s="167">
        <v>1</v>
      </c>
      <c r="M20" s="167">
        <v>0</v>
      </c>
      <c r="N20" s="168">
        <v>0</v>
      </c>
      <c r="O20" s="167">
        <v>0</v>
      </c>
      <c r="P20" s="167">
        <v>0</v>
      </c>
      <c r="Q20" s="167">
        <v>0</v>
      </c>
      <c r="R20" s="167">
        <v>1</v>
      </c>
      <c r="S20" s="167">
        <v>0</v>
      </c>
      <c r="T20" s="167">
        <v>0</v>
      </c>
      <c r="U20" s="167">
        <v>1</v>
      </c>
      <c r="V20" s="167">
        <v>1</v>
      </c>
      <c r="W20" s="167">
        <v>0</v>
      </c>
      <c r="X20" s="169">
        <v>0</v>
      </c>
      <c r="Y20" s="169">
        <v>0</v>
      </c>
      <c r="Z20" s="170">
        <v>0</v>
      </c>
      <c r="AA20" s="171">
        <v>0</v>
      </c>
      <c r="AB20" s="169">
        <v>0</v>
      </c>
      <c r="AC20" s="169">
        <v>0</v>
      </c>
      <c r="AD20" s="169">
        <v>0</v>
      </c>
      <c r="AE20" s="169">
        <v>1</v>
      </c>
      <c r="AF20" s="170">
        <v>0</v>
      </c>
      <c r="AG20" s="171">
        <v>1</v>
      </c>
      <c r="AH20" s="169">
        <v>0</v>
      </c>
      <c r="AI20" s="169">
        <v>0</v>
      </c>
      <c r="AJ20" s="169">
        <v>0</v>
      </c>
      <c r="AK20" s="169">
        <v>0</v>
      </c>
      <c r="AL20" s="170">
        <v>0</v>
      </c>
      <c r="AM20" s="171">
        <v>1</v>
      </c>
      <c r="AN20" s="169">
        <v>0</v>
      </c>
      <c r="AO20" s="169">
        <v>0</v>
      </c>
      <c r="AP20" s="169">
        <v>0</v>
      </c>
      <c r="AQ20" s="169">
        <v>0</v>
      </c>
      <c r="AR20" s="170">
        <v>0</v>
      </c>
      <c r="AS20" s="171">
        <v>0</v>
      </c>
      <c r="AT20" s="169">
        <v>0</v>
      </c>
      <c r="AU20" s="169">
        <v>0</v>
      </c>
      <c r="AV20" s="169">
        <v>0</v>
      </c>
      <c r="AW20" s="169">
        <v>0</v>
      </c>
      <c r="AX20" s="170">
        <v>0</v>
      </c>
      <c r="AY20" s="170">
        <v>0</v>
      </c>
      <c r="AZ20" s="85" t="s">
        <v>66</v>
      </c>
      <c r="BA20" s="86" t="s">
        <v>31</v>
      </c>
      <c r="BB20" s="86" t="s">
        <v>31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72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84" t="s">
        <v>37</v>
      </c>
      <c r="B21" s="179" t="s">
        <v>252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85" t="s">
        <v>66</v>
      </c>
      <c r="BA21" s="86" t="s">
        <v>31</v>
      </c>
      <c r="BB21" s="86" t="s">
        <v>31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84" t="s">
        <v>37</v>
      </c>
      <c r="B22" s="37" t="s">
        <v>253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85" t="s">
        <v>66</v>
      </c>
      <c r="BA22" s="86" t="s">
        <v>31</v>
      </c>
      <c r="BB22" s="86" t="s">
        <v>31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84" t="s">
        <v>37</v>
      </c>
      <c r="B23" s="37" t="s">
        <v>254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85" t="s">
        <v>66</v>
      </c>
      <c r="BA23" s="86" t="s">
        <v>31</v>
      </c>
      <c r="BB23" s="86" t="s">
        <v>31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84" t="s">
        <v>37</v>
      </c>
      <c r="B24" s="37" t="s">
        <v>72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85" t="s">
        <v>66</v>
      </c>
      <c r="BA24" s="86" t="s">
        <v>31</v>
      </c>
      <c r="BB24" s="86" t="s">
        <v>31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84" t="s">
        <v>37</v>
      </c>
      <c r="B25" s="179" t="s">
        <v>51</v>
      </c>
      <c r="C25" s="63"/>
      <c r="D25" s="63"/>
      <c r="E25" s="63"/>
      <c r="F25" s="63"/>
      <c r="G25" s="63">
        <v>1</v>
      </c>
      <c r="H25" s="63"/>
      <c r="I25" s="63"/>
      <c r="J25" s="63"/>
      <c r="K25" s="63"/>
      <c r="L25" s="63"/>
      <c r="M25" s="63"/>
      <c r="N25" s="64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4"/>
      <c r="AA25" s="65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4"/>
      <c r="AM25" s="65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4"/>
      <c r="AY25" s="64"/>
      <c r="AZ25" s="85" t="s">
        <v>66</v>
      </c>
      <c r="BA25" s="86" t="s">
        <v>31</v>
      </c>
      <c r="BB25" s="86" t="s">
        <v>31</v>
      </c>
      <c r="BC25" s="63"/>
      <c r="BD25" s="63"/>
      <c r="BE25" s="63"/>
      <c r="BF25" s="63"/>
      <c r="BG25" s="63"/>
      <c r="BH25" s="63"/>
      <c r="BI25" s="63"/>
      <c r="BJ25" s="64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6">
        <v>1</v>
      </c>
    </row>
    <row r="26" spans="1:74" ht="17" thickBot="1" x14ac:dyDescent="0.5">
      <c r="A26" s="84" t="s">
        <v>32</v>
      </c>
      <c r="B26" s="58" t="s">
        <v>78</v>
      </c>
      <c r="C26" s="153">
        <v>2</v>
      </c>
      <c r="D26" s="154">
        <v>0</v>
      </c>
      <c r="E26" s="154">
        <v>0</v>
      </c>
      <c r="F26" s="154">
        <v>0</v>
      </c>
      <c r="G26" s="154">
        <v>0</v>
      </c>
      <c r="H26" s="154">
        <v>1</v>
      </c>
      <c r="I26" s="154">
        <v>0</v>
      </c>
      <c r="J26" s="154">
        <v>1</v>
      </c>
      <c r="K26" s="154">
        <v>0</v>
      </c>
      <c r="L26" s="154">
        <v>1</v>
      </c>
      <c r="M26" s="154">
        <v>0</v>
      </c>
      <c r="N26" s="155">
        <v>0</v>
      </c>
      <c r="O26" s="154">
        <v>0</v>
      </c>
      <c r="P26" s="154">
        <v>0</v>
      </c>
      <c r="Q26" s="154">
        <v>0</v>
      </c>
      <c r="R26" s="154">
        <v>1</v>
      </c>
      <c r="S26" s="154">
        <v>0</v>
      </c>
      <c r="T26" s="154">
        <v>0</v>
      </c>
      <c r="U26" s="154">
        <v>0</v>
      </c>
      <c r="V26" s="154">
        <v>1</v>
      </c>
      <c r="W26" s="154">
        <v>0</v>
      </c>
      <c r="X26" s="156">
        <v>1</v>
      </c>
      <c r="Y26" s="156">
        <v>1</v>
      </c>
      <c r="Z26" s="157">
        <v>0</v>
      </c>
      <c r="AA26" s="158">
        <v>0</v>
      </c>
      <c r="AB26" s="156">
        <v>0</v>
      </c>
      <c r="AC26" s="156">
        <v>0</v>
      </c>
      <c r="AD26" s="156">
        <v>0</v>
      </c>
      <c r="AE26" s="156">
        <v>0</v>
      </c>
      <c r="AF26" s="157">
        <v>0</v>
      </c>
      <c r="AG26" s="158">
        <v>1</v>
      </c>
      <c r="AH26" s="156">
        <v>0</v>
      </c>
      <c r="AI26" s="156">
        <v>0</v>
      </c>
      <c r="AJ26" s="156">
        <v>1</v>
      </c>
      <c r="AK26" s="156">
        <v>0</v>
      </c>
      <c r="AL26" s="157">
        <v>0</v>
      </c>
      <c r="AM26" s="158">
        <v>1</v>
      </c>
      <c r="AN26" s="156">
        <v>1</v>
      </c>
      <c r="AO26" s="156">
        <v>0</v>
      </c>
      <c r="AP26" s="156">
        <v>1</v>
      </c>
      <c r="AQ26" s="156">
        <v>0</v>
      </c>
      <c r="AR26" s="157">
        <v>1</v>
      </c>
      <c r="AS26" s="158">
        <v>0</v>
      </c>
      <c r="AT26" s="156">
        <v>0</v>
      </c>
      <c r="AU26" s="156">
        <v>1</v>
      </c>
      <c r="AV26" s="156">
        <v>1</v>
      </c>
      <c r="AW26" s="156">
        <v>1</v>
      </c>
      <c r="AX26" s="157">
        <v>1</v>
      </c>
      <c r="AY26" s="158">
        <v>1</v>
      </c>
      <c r="AZ26" s="156">
        <v>0</v>
      </c>
      <c r="BA26" s="156">
        <v>0</v>
      </c>
      <c r="BB26" s="156">
        <v>1</v>
      </c>
      <c r="BC26" s="156">
        <v>0</v>
      </c>
      <c r="BD26" s="156">
        <v>0</v>
      </c>
      <c r="BE26" s="159">
        <v>0</v>
      </c>
      <c r="BF26" s="159">
        <v>0</v>
      </c>
      <c r="BG26" s="159">
        <v>0</v>
      </c>
      <c r="BH26" s="160" t="s">
        <v>66</v>
      </c>
      <c r="BI26" s="160" t="s">
        <v>66</v>
      </c>
      <c r="BJ26" s="161" t="s">
        <v>31</v>
      </c>
      <c r="BK26" s="161" t="s">
        <v>31</v>
      </c>
      <c r="BL26" s="159">
        <v>0</v>
      </c>
      <c r="BM26" s="159">
        <v>0</v>
      </c>
      <c r="BN26" s="162">
        <v>1</v>
      </c>
      <c r="BO26" s="162">
        <v>0</v>
      </c>
      <c r="BP26" s="157">
        <v>0</v>
      </c>
      <c r="BQ26" s="159">
        <v>0</v>
      </c>
      <c r="BR26" s="159">
        <v>1</v>
      </c>
      <c r="BS26" s="159">
        <v>1</v>
      </c>
      <c r="BT26" s="162">
        <v>0</v>
      </c>
      <c r="BU26" s="162">
        <v>0</v>
      </c>
      <c r="BV26" s="163">
        <v>0</v>
      </c>
    </row>
    <row r="27" spans="1:74" ht="17" thickBot="1" x14ac:dyDescent="0.5">
      <c r="A27" s="84" t="s">
        <v>32</v>
      </c>
      <c r="B27" s="179" t="s">
        <v>252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85" t="s">
        <v>66</v>
      </c>
      <c r="BI27" s="85" t="s">
        <v>66</v>
      </c>
      <c r="BJ27" s="86" t="s">
        <v>31</v>
      </c>
      <c r="BK27" s="86" t="s">
        <v>31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84" t="s">
        <v>32</v>
      </c>
      <c r="B28" s="37" t="s">
        <v>253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85" t="s">
        <v>66</v>
      </c>
      <c r="BI28" s="85" t="s">
        <v>66</v>
      </c>
      <c r="BJ28" s="86" t="s">
        <v>31</v>
      </c>
      <c r="BK28" s="86" t="s">
        <v>31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84" t="s">
        <v>32</v>
      </c>
      <c r="B29" s="37" t="s">
        <v>254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85" t="s">
        <v>66</v>
      </c>
      <c r="BI29" s="85" t="s">
        <v>66</v>
      </c>
      <c r="BJ29" s="86" t="s">
        <v>31</v>
      </c>
      <c r="BK29" s="86" t="s">
        <v>31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84" t="s">
        <v>32</v>
      </c>
      <c r="B30" s="37" t="s">
        <v>72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85" t="s">
        <v>66</v>
      </c>
      <c r="BI30" s="85" t="s">
        <v>66</v>
      </c>
      <c r="BJ30" s="86" t="s">
        <v>31</v>
      </c>
      <c r="BK30" s="86" t="s">
        <v>31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84" t="s">
        <v>32</v>
      </c>
      <c r="B31" s="37" t="s">
        <v>51</v>
      </c>
      <c r="C31" s="6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85" t="s">
        <v>66</v>
      </c>
      <c r="BI31" s="85" t="s">
        <v>66</v>
      </c>
      <c r="BJ31" s="86" t="s">
        <v>31</v>
      </c>
      <c r="BK31" s="86" t="s">
        <v>31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84" t="s">
        <v>79</v>
      </c>
      <c r="B32" s="58" t="s">
        <v>78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85" t="s">
        <v>66</v>
      </c>
      <c r="BJ32" s="85" t="s">
        <v>66</v>
      </c>
      <c r="BK32" s="86" t="s">
        <v>31</v>
      </c>
      <c r="BL32" s="86" t="s">
        <v>31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84" t="s">
        <v>79</v>
      </c>
      <c r="B33" s="179" t="s">
        <v>252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85" t="s">
        <v>66</v>
      </c>
      <c r="BJ33" s="85" t="s">
        <v>66</v>
      </c>
      <c r="BK33" s="86" t="s">
        <v>31</v>
      </c>
      <c r="BL33" s="86" t="s">
        <v>31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84" t="s">
        <v>79</v>
      </c>
      <c r="B34" s="37" t="s">
        <v>253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85" t="s">
        <v>66</v>
      </c>
      <c r="BJ34" s="85" t="s">
        <v>66</v>
      </c>
      <c r="BK34" s="86" t="s">
        <v>31</v>
      </c>
      <c r="BL34" s="86" t="s">
        <v>31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84" t="s">
        <v>79</v>
      </c>
      <c r="B35" s="37" t="s">
        <v>254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85" t="s">
        <v>66</v>
      </c>
      <c r="BJ35" s="85" t="s">
        <v>66</v>
      </c>
      <c r="BK35" s="86" t="s">
        <v>31</v>
      </c>
      <c r="BL35" s="86" t="s">
        <v>31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84" t="s">
        <v>79</v>
      </c>
      <c r="B36" s="37" t="s">
        <v>72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85" t="s">
        <v>66</v>
      </c>
      <c r="BJ36" s="85" t="s">
        <v>66</v>
      </c>
      <c r="BK36" s="86" t="s">
        <v>31</v>
      </c>
      <c r="BL36" s="86" t="s">
        <v>31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84" t="s">
        <v>79</v>
      </c>
      <c r="B37" s="179" t="s">
        <v>51</v>
      </c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4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4"/>
      <c r="AA37" s="65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4"/>
      <c r="AM37" s="65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4"/>
      <c r="AY37" s="65"/>
      <c r="AZ37" s="63">
        <v>1</v>
      </c>
      <c r="BA37" s="63"/>
      <c r="BB37" s="63"/>
      <c r="BC37" s="63"/>
      <c r="BD37" s="63"/>
      <c r="BE37" s="63"/>
      <c r="BF37" s="63"/>
      <c r="BG37" s="63"/>
      <c r="BH37" s="63"/>
      <c r="BI37" s="85" t="s">
        <v>66</v>
      </c>
      <c r="BJ37" s="85" t="s">
        <v>66</v>
      </c>
      <c r="BK37" s="86" t="s">
        <v>31</v>
      </c>
      <c r="BL37" s="86" t="s">
        <v>31</v>
      </c>
      <c r="BM37" s="63"/>
      <c r="BN37" s="63"/>
      <c r="BO37" s="63"/>
      <c r="BP37" s="64"/>
      <c r="BQ37" s="63"/>
      <c r="BR37" s="63"/>
      <c r="BS37" s="63"/>
      <c r="BT37" s="63"/>
      <c r="BU37" s="63"/>
      <c r="BV37" s="66"/>
    </row>
    <row r="38" spans="1:74" ht="17" thickBot="1" x14ac:dyDescent="0.5">
      <c r="A38" s="84" t="s">
        <v>76</v>
      </c>
      <c r="B38" s="58" t="s">
        <v>78</v>
      </c>
      <c r="C38" s="153">
        <v>0</v>
      </c>
      <c r="D38" s="154">
        <v>0</v>
      </c>
      <c r="E38" s="154">
        <v>0</v>
      </c>
      <c r="F38" s="154">
        <v>0</v>
      </c>
      <c r="G38" s="154">
        <v>0</v>
      </c>
      <c r="H38" s="154">
        <v>0</v>
      </c>
      <c r="I38" s="154">
        <v>1</v>
      </c>
      <c r="J38" s="154">
        <v>0</v>
      </c>
      <c r="K38" s="154">
        <v>0</v>
      </c>
      <c r="L38" s="154">
        <v>0</v>
      </c>
      <c r="M38" s="154">
        <v>1</v>
      </c>
      <c r="N38" s="155">
        <v>0</v>
      </c>
      <c r="O38" s="154">
        <v>2</v>
      </c>
      <c r="P38" s="154">
        <v>0</v>
      </c>
      <c r="Q38" s="154">
        <v>1</v>
      </c>
      <c r="R38" s="154">
        <v>0</v>
      </c>
      <c r="S38" s="154">
        <v>0</v>
      </c>
      <c r="T38" s="154">
        <v>0</v>
      </c>
      <c r="U38" s="154">
        <v>0</v>
      </c>
      <c r="V38" s="154">
        <v>0</v>
      </c>
      <c r="W38" s="154">
        <v>0</v>
      </c>
      <c r="X38" s="156">
        <v>0</v>
      </c>
      <c r="Y38" s="156">
        <v>0</v>
      </c>
      <c r="Z38" s="157">
        <v>0</v>
      </c>
      <c r="AA38" s="158">
        <v>1</v>
      </c>
      <c r="AB38" s="156">
        <v>0</v>
      </c>
      <c r="AC38" s="156">
        <v>0</v>
      </c>
      <c r="AD38" s="156">
        <v>0</v>
      </c>
      <c r="AE38" s="156">
        <v>0</v>
      </c>
      <c r="AF38" s="157">
        <v>0</v>
      </c>
      <c r="AG38" s="158">
        <v>0</v>
      </c>
      <c r="AH38" s="156">
        <v>1</v>
      </c>
      <c r="AI38" s="156">
        <v>0</v>
      </c>
      <c r="AJ38" s="156">
        <v>0</v>
      </c>
      <c r="AK38" s="156">
        <v>0</v>
      </c>
      <c r="AL38" s="157">
        <v>1</v>
      </c>
      <c r="AM38" s="158">
        <v>0</v>
      </c>
      <c r="AN38" s="156">
        <v>0</v>
      </c>
      <c r="AO38" s="156">
        <v>0</v>
      </c>
      <c r="AP38" s="156">
        <v>0</v>
      </c>
      <c r="AQ38" s="156">
        <v>0</v>
      </c>
      <c r="AR38" s="157">
        <v>0</v>
      </c>
      <c r="AS38" s="158">
        <v>0</v>
      </c>
      <c r="AT38" s="156">
        <v>0</v>
      </c>
      <c r="AU38" s="156">
        <v>1</v>
      </c>
      <c r="AV38" s="156">
        <v>0</v>
      </c>
      <c r="AW38" s="156">
        <v>0</v>
      </c>
      <c r="AX38" s="157">
        <v>0</v>
      </c>
      <c r="AY38" s="158">
        <v>0</v>
      </c>
      <c r="AZ38" s="156">
        <v>0</v>
      </c>
      <c r="BA38" s="156">
        <v>0</v>
      </c>
      <c r="BB38" s="156">
        <v>0</v>
      </c>
      <c r="BC38" s="156">
        <v>0</v>
      </c>
      <c r="BD38" s="156">
        <v>0</v>
      </c>
      <c r="BE38" s="159">
        <v>0</v>
      </c>
      <c r="BF38" s="159">
        <v>0</v>
      </c>
      <c r="BG38" s="159">
        <v>0</v>
      </c>
      <c r="BH38" s="159">
        <v>0</v>
      </c>
      <c r="BI38" s="159">
        <v>0</v>
      </c>
      <c r="BJ38" s="159">
        <v>0</v>
      </c>
      <c r="BK38" s="159">
        <v>0</v>
      </c>
      <c r="BL38" s="160" t="s">
        <v>66</v>
      </c>
      <c r="BM38" s="161" t="s">
        <v>31</v>
      </c>
      <c r="BN38" s="161" t="s">
        <v>31</v>
      </c>
      <c r="BO38" s="162">
        <v>1</v>
      </c>
      <c r="BP38" s="157">
        <v>0</v>
      </c>
      <c r="BQ38" s="159">
        <v>0</v>
      </c>
      <c r="BR38" s="159">
        <v>0</v>
      </c>
      <c r="BS38" s="159">
        <v>1</v>
      </c>
      <c r="BT38" s="162">
        <v>0</v>
      </c>
      <c r="BU38" s="162">
        <v>0</v>
      </c>
      <c r="BV38" s="163">
        <v>0</v>
      </c>
    </row>
    <row r="39" spans="1:74" ht="17" thickBot="1" x14ac:dyDescent="0.5">
      <c r="A39" s="84" t="s">
        <v>76</v>
      </c>
      <c r="B39" s="179" t="s">
        <v>252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85" t="s">
        <v>66</v>
      </c>
      <c r="BM39" s="86" t="s">
        <v>31</v>
      </c>
      <c r="BN39" s="86" t="s">
        <v>31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84" t="s">
        <v>76</v>
      </c>
      <c r="B40" s="37" t="s">
        <v>253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85" t="s">
        <v>66</v>
      </c>
      <c r="BM40" s="86" t="s">
        <v>31</v>
      </c>
      <c r="BN40" s="86" t="s">
        <v>31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84" t="s">
        <v>76</v>
      </c>
      <c r="B41" s="37" t="s">
        <v>254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85" t="s">
        <v>66</v>
      </c>
      <c r="BM41" s="86" t="s">
        <v>31</v>
      </c>
      <c r="BN41" s="86" t="s">
        <v>31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84" t="s">
        <v>76</v>
      </c>
      <c r="B42" s="37" t="s">
        <v>72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85" t="s">
        <v>66</v>
      </c>
      <c r="BM42" s="86" t="s">
        <v>31</v>
      </c>
      <c r="BN42" s="86" t="s">
        <v>31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84" t="s">
        <v>76</v>
      </c>
      <c r="B43" s="37" t="s">
        <v>51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85" t="s">
        <v>66</v>
      </c>
      <c r="BM43" s="86" t="s">
        <v>31</v>
      </c>
      <c r="BN43" s="86" t="s">
        <v>31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84" t="s">
        <v>273</v>
      </c>
      <c r="B44" s="58" t="s">
        <v>78</v>
      </c>
      <c r="C44" s="153">
        <v>2</v>
      </c>
      <c r="D44" s="154">
        <v>3</v>
      </c>
      <c r="E44" s="154">
        <v>1</v>
      </c>
      <c r="F44" s="154">
        <v>3</v>
      </c>
      <c r="G44" s="154">
        <v>1</v>
      </c>
      <c r="H44" s="154">
        <v>4</v>
      </c>
      <c r="I44" s="154">
        <v>1</v>
      </c>
      <c r="J44" s="154">
        <v>1</v>
      </c>
      <c r="K44" s="154">
        <v>3</v>
      </c>
      <c r="L44" s="154">
        <v>1</v>
      </c>
      <c r="M44" s="154">
        <v>2</v>
      </c>
      <c r="N44" s="155">
        <v>3</v>
      </c>
      <c r="O44" s="154">
        <v>3</v>
      </c>
      <c r="P44" s="154">
        <v>1</v>
      </c>
      <c r="Q44" s="154">
        <v>2</v>
      </c>
      <c r="R44" s="154">
        <v>3</v>
      </c>
      <c r="S44" s="154">
        <v>3</v>
      </c>
      <c r="T44" s="154">
        <v>1</v>
      </c>
      <c r="U44" s="154">
        <v>0</v>
      </c>
      <c r="V44" s="154">
        <v>3</v>
      </c>
      <c r="W44" s="154">
        <v>5</v>
      </c>
      <c r="X44" s="156">
        <v>1</v>
      </c>
      <c r="Y44" s="156">
        <v>2</v>
      </c>
      <c r="Z44" s="157">
        <v>4</v>
      </c>
      <c r="AA44" s="158">
        <v>3</v>
      </c>
      <c r="AB44" s="156">
        <v>3</v>
      </c>
      <c r="AC44" s="156">
        <v>1</v>
      </c>
      <c r="AD44" s="156">
        <v>0</v>
      </c>
      <c r="AE44" s="156">
        <v>6</v>
      </c>
      <c r="AF44" s="157">
        <v>0</v>
      </c>
      <c r="AG44" s="158">
        <v>0</v>
      </c>
      <c r="AH44" s="156">
        <v>5</v>
      </c>
      <c r="AI44" s="156">
        <v>0</v>
      </c>
      <c r="AJ44" s="156">
        <v>2</v>
      </c>
      <c r="AK44" s="156">
        <v>1</v>
      </c>
      <c r="AL44" s="157">
        <v>1</v>
      </c>
      <c r="AM44" s="158">
        <v>3</v>
      </c>
      <c r="AN44" s="156">
        <v>3</v>
      </c>
      <c r="AO44" s="156">
        <v>2</v>
      </c>
      <c r="AP44" s="156">
        <v>3</v>
      </c>
      <c r="AQ44" s="156">
        <v>5</v>
      </c>
      <c r="AR44" s="157">
        <v>6</v>
      </c>
      <c r="AS44" s="158">
        <v>3</v>
      </c>
      <c r="AT44" s="156">
        <v>2</v>
      </c>
      <c r="AU44" s="156">
        <v>1</v>
      </c>
      <c r="AV44" s="156">
        <v>3</v>
      </c>
      <c r="AW44" s="156">
        <v>2</v>
      </c>
      <c r="AX44" s="157">
        <v>5</v>
      </c>
      <c r="AY44" s="154">
        <v>0</v>
      </c>
      <c r="AZ44" s="154">
        <v>3</v>
      </c>
      <c r="BA44" s="154">
        <v>2</v>
      </c>
      <c r="BB44" s="154">
        <v>1</v>
      </c>
      <c r="BC44" s="154">
        <v>2</v>
      </c>
      <c r="BD44" s="154">
        <v>1</v>
      </c>
      <c r="BE44" s="154">
        <v>0</v>
      </c>
      <c r="BF44" s="154">
        <v>1</v>
      </c>
      <c r="BG44" s="154">
        <v>3</v>
      </c>
      <c r="BH44" s="156">
        <v>0</v>
      </c>
      <c r="BI44" s="156">
        <v>2</v>
      </c>
      <c r="BJ44" s="157">
        <v>3</v>
      </c>
      <c r="BK44" s="154"/>
      <c r="BL44" s="154"/>
      <c r="BM44" s="154"/>
      <c r="BN44" s="154"/>
      <c r="BO44" s="154"/>
      <c r="BP44" s="154"/>
      <c r="BQ44" s="154"/>
      <c r="BR44" s="154"/>
      <c r="BS44" s="154"/>
      <c r="BT44" s="156"/>
      <c r="BU44" s="156"/>
      <c r="BV44" s="404"/>
    </row>
    <row r="45" spans="1:74" ht="17" thickBot="1" x14ac:dyDescent="0.5">
      <c r="A45" s="84" t="s">
        <v>195</v>
      </c>
      <c r="B45" s="58" t="s">
        <v>78</v>
      </c>
      <c r="C45" s="153">
        <v>0</v>
      </c>
      <c r="D45" s="154">
        <v>0</v>
      </c>
      <c r="E45" s="154">
        <v>1</v>
      </c>
      <c r="F45" s="154">
        <v>0</v>
      </c>
      <c r="G45" s="154">
        <v>2</v>
      </c>
      <c r="H45" s="154">
        <v>0</v>
      </c>
      <c r="I45" s="154">
        <v>1</v>
      </c>
      <c r="J45" s="154">
        <v>2</v>
      </c>
      <c r="K45" s="154">
        <v>1</v>
      </c>
      <c r="L45" s="154">
        <v>1</v>
      </c>
      <c r="M45" s="154">
        <v>0</v>
      </c>
      <c r="N45" s="155">
        <v>0</v>
      </c>
      <c r="O45" s="154">
        <v>3</v>
      </c>
      <c r="P45" s="154">
        <v>1</v>
      </c>
      <c r="Q45" s="154">
        <v>3</v>
      </c>
      <c r="R45" s="154">
        <v>0</v>
      </c>
      <c r="S45" s="154">
        <v>1</v>
      </c>
      <c r="T45" s="154">
        <v>0</v>
      </c>
      <c r="U45" s="154">
        <v>1</v>
      </c>
      <c r="V45" s="154">
        <v>1</v>
      </c>
      <c r="W45" s="154">
        <v>2</v>
      </c>
      <c r="X45" s="156">
        <v>2</v>
      </c>
      <c r="Y45" s="156">
        <v>1</v>
      </c>
      <c r="Z45" s="157">
        <v>2</v>
      </c>
      <c r="AA45" s="158">
        <v>3</v>
      </c>
      <c r="AB45" s="156">
        <v>0</v>
      </c>
      <c r="AC45" s="156">
        <v>1</v>
      </c>
      <c r="AD45" s="156">
        <v>3</v>
      </c>
      <c r="AE45" s="156">
        <v>1</v>
      </c>
      <c r="AF45" s="157">
        <v>1</v>
      </c>
      <c r="AG45" s="158">
        <v>0</v>
      </c>
      <c r="AH45" s="156">
        <v>0</v>
      </c>
      <c r="AI45" s="156">
        <v>0</v>
      </c>
      <c r="AJ45" s="156">
        <v>0</v>
      </c>
      <c r="AK45" s="156">
        <v>0</v>
      </c>
      <c r="AL45" s="157">
        <v>0</v>
      </c>
      <c r="AM45" s="158">
        <v>0</v>
      </c>
      <c r="AN45" s="156">
        <v>0</v>
      </c>
      <c r="AO45" s="156">
        <v>1</v>
      </c>
      <c r="AP45" s="156">
        <v>3</v>
      </c>
      <c r="AQ45" s="156">
        <v>2</v>
      </c>
      <c r="AR45" s="157">
        <v>4</v>
      </c>
      <c r="AS45" s="158">
        <v>1</v>
      </c>
      <c r="AT45" s="156">
        <v>0</v>
      </c>
      <c r="AU45" s="156">
        <v>1</v>
      </c>
      <c r="AV45" s="156">
        <v>1</v>
      </c>
      <c r="AW45" s="156">
        <v>1</v>
      </c>
      <c r="AX45" s="157">
        <v>2</v>
      </c>
      <c r="AY45" s="154">
        <v>0</v>
      </c>
      <c r="AZ45" s="154">
        <v>2</v>
      </c>
      <c r="BA45" s="154">
        <v>2</v>
      </c>
      <c r="BB45" s="154">
        <v>2</v>
      </c>
      <c r="BC45" s="154">
        <v>1</v>
      </c>
      <c r="BD45" s="154">
        <v>1</v>
      </c>
      <c r="BE45" s="154">
        <v>0</v>
      </c>
      <c r="BF45" s="154">
        <v>0</v>
      </c>
      <c r="BG45" s="154">
        <v>1</v>
      </c>
      <c r="BH45" s="156">
        <v>2</v>
      </c>
      <c r="BI45" s="156">
        <v>1</v>
      </c>
      <c r="BJ45" s="157">
        <v>0</v>
      </c>
      <c r="BK45" s="154">
        <v>1</v>
      </c>
      <c r="BL45" s="154">
        <v>1</v>
      </c>
      <c r="BM45" s="154">
        <v>3</v>
      </c>
      <c r="BN45" s="154">
        <v>2</v>
      </c>
      <c r="BO45" s="154">
        <v>1</v>
      </c>
      <c r="BP45" s="154">
        <v>1</v>
      </c>
      <c r="BQ45" s="154">
        <v>1</v>
      </c>
      <c r="BR45" s="154">
        <v>0</v>
      </c>
      <c r="BS45" s="154">
        <v>0</v>
      </c>
      <c r="BT45" s="156">
        <v>2</v>
      </c>
      <c r="BU45" s="156">
        <v>1</v>
      </c>
      <c r="BV45" s="404">
        <v>2</v>
      </c>
    </row>
    <row r="46" spans="1:74" ht="17" thickBot="1" x14ac:dyDescent="0.5">
      <c r="A46" s="84" t="s">
        <v>274</v>
      </c>
      <c r="B46" s="58" t="s">
        <v>78</v>
      </c>
      <c r="C46" s="153">
        <v>2</v>
      </c>
      <c r="D46" s="154">
        <v>1</v>
      </c>
      <c r="E46" s="154">
        <v>2</v>
      </c>
      <c r="F46" s="154">
        <v>0</v>
      </c>
      <c r="G46" s="154">
        <v>0</v>
      </c>
      <c r="H46" s="154">
        <v>1</v>
      </c>
      <c r="I46" s="154">
        <v>1</v>
      </c>
      <c r="J46" s="154">
        <v>2</v>
      </c>
      <c r="K46" s="154">
        <v>2</v>
      </c>
      <c r="L46" s="154">
        <v>0</v>
      </c>
      <c r="M46" s="154">
        <v>1</v>
      </c>
      <c r="N46" s="155">
        <v>1</v>
      </c>
      <c r="O46" s="154">
        <v>2</v>
      </c>
      <c r="P46" s="154">
        <v>0</v>
      </c>
      <c r="Q46" s="154">
        <v>2</v>
      </c>
      <c r="R46" s="154">
        <v>1</v>
      </c>
      <c r="S46" s="154">
        <v>1</v>
      </c>
      <c r="T46" s="154">
        <v>0</v>
      </c>
      <c r="U46" s="154">
        <v>0</v>
      </c>
      <c r="V46" s="154">
        <v>0</v>
      </c>
      <c r="W46" s="154">
        <v>0</v>
      </c>
      <c r="X46" s="156">
        <v>3</v>
      </c>
      <c r="Y46" s="156">
        <v>1</v>
      </c>
      <c r="Z46" s="157">
        <v>0</v>
      </c>
      <c r="AA46" s="158">
        <v>1</v>
      </c>
      <c r="AB46" s="156">
        <v>0</v>
      </c>
      <c r="AC46" s="156">
        <v>1</v>
      </c>
      <c r="AD46" s="156">
        <v>4</v>
      </c>
      <c r="AE46" s="156">
        <v>0</v>
      </c>
      <c r="AF46" s="157">
        <v>3</v>
      </c>
      <c r="AG46" s="158">
        <v>0</v>
      </c>
      <c r="AH46" s="156">
        <v>3</v>
      </c>
      <c r="AI46" s="156">
        <v>2</v>
      </c>
      <c r="AJ46" s="156">
        <v>0</v>
      </c>
      <c r="AK46" s="156">
        <v>1</v>
      </c>
      <c r="AL46" s="157">
        <v>2</v>
      </c>
      <c r="AM46" s="158">
        <v>5</v>
      </c>
      <c r="AN46" s="156">
        <v>2</v>
      </c>
      <c r="AO46" s="156">
        <v>1</v>
      </c>
      <c r="AP46" s="156">
        <v>5</v>
      </c>
      <c r="AQ46" s="156">
        <v>1</v>
      </c>
      <c r="AR46" s="157">
        <v>5</v>
      </c>
      <c r="AS46" s="158">
        <v>5</v>
      </c>
      <c r="AT46" s="156">
        <v>2</v>
      </c>
      <c r="AU46" s="156">
        <v>2</v>
      </c>
      <c r="AV46" s="156">
        <v>6</v>
      </c>
      <c r="AW46" s="156">
        <v>4</v>
      </c>
      <c r="AX46" s="157">
        <v>3</v>
      </c>
      <c r="AY46" s="154">
        <v>2</v>
      </c>
      <c r="AZ46" s="154">
        <v>3</v>
      </c>
      <c r="BA46" s="154">
        <v>2</v>
      </c>
      <c r="BB46" s="154">
        <v>2</v>
      </c>
      <c r="BC46" s="154">
        <v>5</v>
      </c>
      <c r="BD46" s="154">
        <v>2</v>
      </c>
      <c r="BE46" s="154">
        <v>3</v>
      </c>
      <c r="BF46" s="154">
        <v>2</v>
      </c>
      <c r="BG46" s="154">
        <v>1</v>
      </c>
      <c r="BH46" s="156">
        <v>0</v>
      </c>
      <c r="BI46" s="156">
        <v>3</v>
      </c>
      <c r="BJ46" s="157">
        <v>3</v>
      </c>
      <c r="BK46" s="154">
        <v>1</v>
      </c>
      <c r="BL46" s="154">
        <v>0</v>
      </c>
      <c r="BM46" s="154">
        <v>1</v>
      </c>
      <c r="BN46" s="154">
        <v>2</v>
      </c>
      <c r="BO46" s="154">
        <v>3</v>
      </c>
      <c r="BP46" s="154">
        <v>4</v>
      </c>
      <c r="BQ46" s="154">
        <v>1</v>
      </c>
      <c r="BR46" s="154">
        <v>2</v>
      </c>
      <c r="BS46" s="154">
        <v>0</v>
      </c>
      <c r="BT46" s="156">
        <v>5</v>
      </c>
      <c r="BU46" s="156">
        <v>1</v>
      </c>
      <c r="BV46" s="404">
        <v>1</v>
      </c>
    </row>
    <row r="47" spans="1:74" ht="17" thickBot="1" x14ac:dyDescent="0.5">
      <c r="A47" s="84" t="s">
        <v>276</v>
      </c>
      <c r="B47" s="58" t="s">
        <v>78</v>
      </c>
      <c r="C47" s="153">
        <v>1</v>
      </c>
      <c r="D47" s="154">
        <v>3</v>
      </c>
      <c r="E47" s="154">
        <v>2</v>
      </c>
      <c r="F47" s="154">
        <v>1</v>
      </c>
      <c r="G47" s="154">
        <v>0</v>
      </c>
      <c r="H47" s="154">
        <v>1</v>
      </c>
      <c r="I47" s="154">
        <v>3</v>
      </c>
      <c r="J47" s="154">
        <v>0</v>
      </c>
      <c r="K47" s="154">
        <v>1</v>
      </c>
      <c r="L47" s="154">
        <v>0</v>
      </c>
      <c r="M47" s="154">
        <v>0</v>
      </c>
      <c r="N47" s="155">
        <v>3</v>
      </c>
      <c r="O47" s="154">
        <v>4</v>
      </c>
      <c r="P47" s="154">
        <v>1</v>
      </c>
      <c r="Q47" s="154">
        <v>0</v>
      </c>
      <c r="R47" s="154">
        <v>3</v>
      </c>
      <c r="S47" s="154">
        <v>4</v>
      </c>
      <c r="T47" s="154">
        <v>2</v>
      </c>
      <c r="U47" s="154">
        <v>1</v>
      </c>
      <c r="V47" s="154">
        <v>1</v>
      </c>
      <c r="W47" s="154">
        <v>1</v>
      </c>
      <c r="X47" s="156">
        <v>1</v>
      </c>
      <c r="Y47" s="156">
        <v>0</v>
      </c>
      <c r="Z47" s="157">
        <v>1</v>
      </c>
      <c r="AA47" s="158">
        <v>2</v>
      </c>
      <c r="AB47" s="156">
        <v>1</v>
      </c>
      <c r="AC47" s="156">
        <v>1</v>
      </c>
      <c r="AD47" s="156">
        <v>0</v>
      </c>
      <c r="AE47" s="156">
        <v>2</v>
      </c>
      <c r="AF47" s="157">
        <v>3</v>
      </c>
      <c r="AG47" s="158">
        <v>2</v>
      </c>
      <c r="AH47" s="156">
        <v>0</v>
      </c>
      <c r="AI47" s="156">
        <v>2</v>
      </c>
      <c r="AJ47" s="156">
        <v>0</v>
      </c>
      <c r="AK47" s="156">
        <v>0</v>
      </c>
      <c r="AL47" s="157">
        <v>1</v>
      </c>
      <c r="AM47" s="158">
        <v>3</v>
      </c>
      <c r="AN47" s="156">
        <v>2</v>
      </c>
      <c r="AO47" s="156">
        <v>3</v>
      </c>
      <c r="AP47" s="156">
        <v>2</v>
      </c>
      <c r="AQ47" s="156">
        <v>1</v>
      </c>
      <c r="AR47" s="157">
        <v>0</v>
      </c>
      <c r="AS47" s="158">
        <v>2</v>
      </c>
      <c r="AT47" s="156">
        <v>1</v>
      </c>
      <c r="AU47" s="156">
        <v>0</v>
      </c>
      <c r="AV47" s="156">
        <v>0</v>
      </c>
      <c r="AW47" s="156">
        <v>3</v>
      </c>
      <c r="AX47" s="157">
        <v>3</v>
      </c>
      <c r="AY47" s="154">
        <v>2</v>
      </c>
      <c r="AZ47" s="154">
        <v>1</v>
      </c>
      <c r="BA47" s="154">
        <v>2</v>
      </c>
      <c r="BB47" s="154">
        <v>1</v>
      </c>
      <c r="BC47" s="154">
        <v>4</v>
      </c>
      <c r="BD47" s="154">
        <v>0</v>
      </c>
      <c r="BE47" s="154">
        <v>1</v>
      </c>
      <c r="BF47" s="154">
        <v>0</v>
      </c>
      <c r="BG47" s="154">
        <v>2</v>
      </c>
      <c r="BH47" s="156">
        <v>0</v>
      </c>
      <c r="BI47" s="156">
        <v>2</v>
      </c>
      <c r="BJ47" s="157">
        <v>0</v>
      </c>
      <c r="BK47" s="154">
        <v>0</v>
      </c>
      <c r="BL47" s="154">
        <v>5</v>
      </c>
      <c r="BM47" s="154">
        <v>3</v>
      </c>
      <c r="BN47" s="154">
        <v>1</v>
      </c>
      <c r="BO47" s="154">
        <v>2</v>
      </c>
      <c r="BP47" s="154">
        <v>1</v>
      </c>
      <c r="BQ47" s="154">
        <v>2</v>
      </c>
      <c r="BR47" s="154">
        <v>4</v>
      </c>
      <c r="BS47" s="154">
        <v>4</v>
      </c>
      <c r="BT47" s="156">
        <v>2</v>
      </c>
      <c r="BU47" s="156">
        <v>1</v>
      </c>
      <c r="BV47" s="404">
        <v>2</v>
      </c>
    </row>
    <row r="48" spans="1:74" ht="17" thickBot="1" x14ac:dyDescent="0.5">
      <c r="A48" s="84" t="s">
        <v>270</v>
      </c>
      <c r="B48" s="58" t="s">
        <v>78</v>
      </c>
      <c r="C48" s="153">
        <v>1</v>
      </c>
      <c r="D48" s="154">
        <v>1</v>
      </c>
      <c r="E48" s="154">
        <v>0</v>
      </c>
      <c r="F48" s="154">
        <v>0</v>
      </c>
      <c r="G48" s="154">
        <v>0</v>
      </c>
      <c r="H48" s="154">
        <v>0</v>
      </c>
      <c r="I48" s="154">
        <v>1</v>
      </c>
      <c r="J48" s="154">
        <v>0</v>
      </c>
      <c r="K48" s="154">
        <v>2</v>
      </c>
      <c r="L48" s="154">
        <v>1</v>
      </c>
      <c r="M48" s="154">
        <v>3</v>
      </c>
      <c r="N48" s="155">
        <v>0</v>
      </c>
      <c r="O48" s="154">
        <v>0</v>
      </c>
      <c r="P48" s="154">
        <v>0</v>
      </c>
      <c r="Q48" s="154">
        <v>0</v>
      </c>
      <c r="R48" s="154">
        <v>1</v>
      </c>
      <c r="S48" s="154">
        <v>2</v>
      </c>
      <c r="T48" s="154">
        <v>0</v>
      </c>
      <c r="U48" s="154">
        <v>0</v>
      </c>
      <c r="V48" s="154">
        <v>1</v>
      </c>
      <c r="W48" s="154">
        <v>3</v>
      </c>
      <c r="X48" s="156">
        <v>4</v>
      </c>
      <c r="Y48" s="156">
        <v>5</v>
      </c>
      <c r="Z48" s="157">
        <v>1</v>
      </c>
      <c r="AA48" s="158">
        <v>2</v>
      </c>
      <c r="AB48" s="156">
        <v>1</v>
      </c>
      <c r="AC48" s="156">
        <v>0</v>
      </c>
      <c r="AD48" s="156">
        <v>0</v>
      </c>
      <c r="AE48" s="156">
        <v>3</v>
      </c>
      <c r="AF48" s="157">
        <v>0</v>
      </c>
      <c r="AG48" s="158">
        <v>0</v>
      </c>
      <c r="AH48" s="156">
        <v>0</v>
      </c>
      <c r="AI48" s="156">
        <v>0</v>
      </c>
      <c r="AJ48" s="156">
        <v>2</v>
      </c>
      <c r="AK48" s="156">
        <v>1</v>
      </c>
      <c r="AL48" s="157">
        <v>3</v>
      </c>
      <c r="AM48" s="158">
        <v>3</v>
      </c>
      <c r="AN48" s="156">
        <v>1</v>
      </c>
      <c r="AO48" s="156">
        <v>2</v>
      </c>
      <c r="AP48" s="156">
        <v>1</v>
      </c>
      <c r="AQ48" s="156">
        <v>2</v>
      </c>
      <c r="AR48" s="157">
        <v>0</v>
      </c>
      <c r="AS48" s="158">
        <v>1</v>
      </c>
      <c r="AT48" s="156">
        <v>1</v>
      </c>
      <c r="AU48" s="156">
        <v>5</v>
      </c>
      <c r="AV48" s="156">
        <v>1</v>
      </c>
      <c r="AW48" s="156">
        <v>0</v>
      </c>
      <c r="AX48" s="157">
        <v>0</v>
      </c>
      <c r="AY48" s="154">
        <v>4</v>
      </c>
      <c r="AZ48" s="154">
        <v>0</v>
      </c>
      <c r="BA48" s="154">
        <v>2</v>
      </c>
      <c r="BB48" s="154">
        <v>1</v>
      </c>
      <c r="BC48" s="154">
        <v>1</v>
      </c>
      <c r="BD48" s="154">
        <v>0</v>
      </c>
      <c r="BE48" s="154">
        <v>1</v>
      </c>
      <c r="BF48" s="154">
        <v>1</v>
      </c>
      <c r="BG48" s="154">
        <v>2</v>
      </c>
      <c r="BH48" s="156">
        <v>1</v>
      </c>
      <c r="BI48" s="156">
        <v>4</v>
      </c>
      <c r="BJ48" s="157">
        <v>2</v>
      </c>
      <c r="BK48" s="154">
        <v>2</v>
      </c>
      <c r="BL48" s="154">
        <v>1</v>
      </c>
      <c r="BM48" s="154">
        <v>4</v>
      </c>
      <c r="BN48" s="154">
        <v>0</v>
      </c>
      <c r="BO48" s="154">
        <v>4</v>
      </c>
      <c r="BP48" s="154">
        <v>3</v>
      </c>
      <c r="BQ48" s="154"/>
      <c r="BR48" s="154"/>
      <c r="BS48" s="154"/>
      <c r="BT48" s="156"/>
      <c r="BU48" s="156"/>
      <c r="BV48" s="404"/>
    </row>
    <row r="49" spans="1:74" ht="17" thickBot="1" x14ac:dyDescent="0.5">
      <c r="A49" s="84" t="s">
        <v>215</v>
      </c>
      <c r="B49" s="58" t="s">
        <v>78</v>
      </c>
      <c r="C49" s="153">
        <v>7</v>
      </c>
      <c r="D49" s="154">
        <v>3</v>
      </c>
      <c r="E49" s="154">
        <v>7</v>
      </c>
      <c r="F49" s="154">
        <v>2</v>
      </c>
      <c r="G49" s="154">
        <v>5</v>
      </c>
      <c r="H49" s="154">
        <v>4</v>
      </c>
      <c r="I49" s="154">
        <v>4</v>
      </c>
      <c r="J49" s="154">
        <v>8</v>
      </c>
      <c r="K49" s="154">
        <v>8</v>
      </c>
      <c r="L49" s="154">
        <v>5</v>
      </c>
      <c r="M49" s="154">
        <v>6</v>
      </c>
      <c r="N49" s="155">
        <v>6</v>
      </c>
      <c r="O49" s="154">
        <v>7</v>
      </c>
      <c r="P49" s="154">
        <v>4</v>
      </c>
      <c r="Q49" s="154">
        <v>0</v>
      </c>
      <c r="R49" s="154">
        <v>1</v>
      </c>
      <c r="S49" s="154">
        <v>9</v>
      </c>
      <c r="T49" s="154">
        <v>5</v>
      </c>
      <c r="U49" s="154">
        <v>5</v>
      </c>
      <c r="V49" s="154">
        <v>5</v>
      </c>
      <c r="W49" s="154">
        <v>6</v>
      </c>
      <c r="X49" s="156">
        <v>6</v>
      </c>
      <c r="Y49" s="156">
        <v>10</v>
      </c>
      <c r="Z49" s="157">
        <v>15</v>
      </c>
      <c r="AA49" s="158">
        <v>12</v>
      </c>
      <c r="AB49" s="156">
        <v>4</v>
      </c>
      <c r="AC49" s="156">
        <v>6</v>
      </c>
      <c r="AD49" s="156">
        <v>9</v>
      </c>
      <c r="AE49" s="156">
        <v>5</v>
      </c>
      <c r="AF49" s="157">
        <v>10</v>
      </c>
      <c r="AG49" s="158">
        <v>7</v>
      </c>
      <c r="AH49" s="156">
        <v>9</v>
      </c>
      <c r="AI49" s="156">
        <v>8</v>
      </c>
      <c r="AJ49" s="156">
        <v>15</v>
      </c>
      <c r="AK49" s="156">
        <v>7</v>
      </c>
      <c r="AL49" s="157">
        <v>8</v>
      </c>
      <c r="AM49" s="158">
        <v>6</v>
      </c>
      <c r="AN49" s="156">
        <v>4</v>
      </c>
      <c r="AO49" s="156">
        <v>10</v>
      </c>
      <c r="AP49" s="156">
        <v>12</v>
      </c>
      <c r="AQ49" s="156">
        <v>4</v>
      </c>
      <c r="AR49" s="157">
        <v>8</v>
      </c>
      <c r="AS49" s="158">
        <v>12</v>
      </c>
      <c r="AT49" s="156">
        <v>6</v>
      </c>
      <c r="AU49" s="156">
        <v>7</v>
      </c>
      <c r="AV49" s="156">
        <v>13</v>
      </c>
      <c r="AW49" s="156">
        <v>8</v>
      </c>
      <c r="AX49" s="157">
        <v>9</v>
      </c>
      <c r="AY49" s="154">
        <v>9</v>
      </c>
      <c r="AZ49" s="154">
        <v>4</v>
      </c>
      <c r="BA49" s="154">
        <v>4</v>
      </c>
      <c r="BB49" s="154">
        <v>6</v>
      </c>
      <c r="BC49" s="154">
        <v>3</v>
      </c>
      <c r="BD49" s="154">
        <v>7</v>
      </c>
      <c r="BE49" s="154">
        <v>4</v>
      </c>
      <c r="BF49" s="154">
        <v>3</v>
      </c>
      <c r="BG49" s="154">
        <v>7</v>
      </c>
      <c r="BH49" s="156">
        <v>5</v>
      </c>
      <c r="BI49" s="156">
        <v>7</v>
      </c>
      <c r="BJ49" s="157">
        <v>6</v>
      </c>
      <c r="BK49" s="154">
        <v>6</v>
      </c>
      <c r="BL49" s="154">
        <v>2</v>
      </c>
      <c r="BM49" s="154">
        <v>6</v>
      </c>
      <c r="BN49" s="154">
        <v>6</v>
      </c>
      <c r="BO49" s="154">
        <v>9</v>
      </c>
      <c r="BP49" s="154">
        <v>9</v>
      </c>
      <c r="BQ49" s="154">
        <v>9</v>
      </c>
      <c r="BR49" s="154">
        <v>2</v>
      </c>
      <c r="BS49" s="154">
        <v>1</v>
      </c>
      <c r="BT49" s="156">
        <v>8</v>
      </c>
      <c r="BU49" s="156">
        <v>2</v>
      </c>
      <c r="BV49" s="404">
        <v>4</v>
      </c>
    </row>
    <row r="50" spans="1:74" ht="17" thickBot="1" x14ac:dyDescent="0.5">
      <c r="A50" s="84" t="s">
        <v>304</v>
      </c>
      <c r="B50" s="58" t="s">
        <v>78</v>
      </c>
      <c r="C50" s="153">
        <v>0</v>
      </c>
      <c r="D50" s="154">
        <v>0</v>
      </c>
      <c r="E50" s="154">
        <v>1</v>
      </c>
      <c r="F50" s="154">
        <v>0</v>
      </c>
      <c r="G50" s="154">
        <v>1</v>
      </c>
      <c r="H50" s="154">
        <v>0</v>
      </c>
      <c r="I50" s="154">
        <v>0</v>
      </c>
      <c r="J50" s="154">
        <v>0</v>
      </c>
      <c r="K50" s="154">
        <v>0</v>
      </c>
      <c r="L50" s="154">
        <v>0</v>
      </c>
      <c r="M50" s="154">
        <v>0</v>
      </c>
      <c r="N50" s="155">
        <v>0</v>
      </c>
      <c r="O50" s="154">
        <v>2</v>
      </c>
      <c r="P50" s="154">
        <v>0</v>
      </c>
      <c r="Q50" s="154">
        <v>0</v>
      </c>
      <c r="R50" s="154">
        <v>0</v>
      </c>
      <c r="S50" s="154">
        <v>1</v>
      </c>
      <c r="T50" s="154">
        <v>1</v>
      </c>
      <c r="U50" s="154">
        <v>1</v>
      </c>
      <c r="V50" s="154">
        <v>0</v>
      </c>
      <c r="W50" s="154">
        <v>0</v>
      </c>
      <c r="X50" s="156">
        <v>0</v>
      </c>
      <c r="Y50" s="156">
        <v>0</v>
      </c>
      <c r="Z50" s="157">
        <v>0</v>
      </c>
      <c r="AA50" s="158">
        <v>0</v>
      </c>
      <c r="AB50" s="156">
        <v>0</v>
      </c>
      <c r="AC50" s="156">
        <v>0</v>
      </c>
      <c r="AD50" s="156">
        <v>2</v>
      </c>
      <c r="AE50" s="156">
        <v>0</v>
      </c>
      <c r="AF50" s="157">
        <v>1</v>
      </c>
      <c r="AG50" s="158">
        <v>1</v>
      </c>
      <c r="AH50" s="156">
        <v>2</v>
      </c>
      <c r="AI50" s="156">
        <v>0</v>
      </c>
      <c r="AJ50" s="156">
        <v>0</v>
      </c>
      <c r="AK50" s="156">
        <v>0</v>
      </c>
      <c r="AL50" s="157">
        <v>0</v>
      </c>
      <c r="AM50" s="158">
        <v>1</v>
      </c>
      <c r="AN50" s="156">
        <v>1</v>
      </c>
      <c r="AO50" s="156">
        <v>0</v>
      </c>
      <c r="AP50" s="156">
        <v>0</v>
      </c>
      <c r="AQ50" s="156">
        <v>0</v>
      </c>
      <c r="AR50" s="157">
        <v>11</v>
      </c>
      <c r="AS50" s="158">
        <v>0</v>
      </c>
      <c r="AT50" s="156">
        <v>0</v>
      </c>
      <c r="AU50" s="156">
        <v>0</v>
      </c>
      <c r="AV50" s="156">
        <v>2</v>
      </c>
      <c r="AW50" s="156">
        <v>1</v>
      </c>
      <c r="AX50" s="157">
        <v>1</v>
      </c>
      <c r="AY50" s="154">
        <v>2</v>
      </c>
      <c r="AZ50" s="154">
        <v>1</v>
      </c>
      <c r="BA50" s="154">
        <v>0</v>
      </c>
      <c r="BB50" s="154">
        <v>0</v>
      </c>
      <c r="BC50" s="154">
        <v>0</v>
      </c>
      <c r="BD50" s="154">
        <v>0</v>
      </c>
      <c r="BE50" s="154">
        <v>0</v>
      </c>
      <c r="BF50" s="154">
        <v>0</v>
      </c>
      <c r="BG50" s="154">
        <v>0</v>
      </c>
      <c r="BH50" s="156">
        <v>0</v>
      </c>
      <c r="BI50" s="156">
        <v>0</v>
      </c>
      <c r="BJ50" s="157">
        <v>0</v>
      </c>
      <c r="BK50" s="154">
        <v>0</v>
      </c>
      <c r="BL50" s="154">
        <v>0</v>
      </c>
      <c r="BM50" s="154">
        <v>0</v>
      </c>
      <c r="BN50" s="154">
        <v>0</v>
      </c>
      <c r="BO50" s="154">
        <v>0</v>
      </c>
      <c r="BP50" s="154">
        <v>1</v>
      </c>
      <c r="BQ50" s="154">
        <v>0</v>
      </c>
      <c r="BR50" s="154">
        <v>0</v>
      </c>
      <c r="BS50" s="154">
        <v>1</v>
      </c>
      <c r="BT50" s="156">
        <v>0</v>
      </c>
      <c r="BU50" s="156">
        <v>0</v>
      </c>
      <c r="BV50" s="404">
        <v>1</v>
      </c>
    </row>
    <row r="51" spans="1:74" ht="17" thickBot="1" x14ac:dyDescent="0.5">
      <c r="A51" s="84" t="s">
        <v>233</v>
      </c>
      <c r="B51" s="58" t="s">
        <v>78</v>
      </c>
      <c r="C51" s="153">
        <v>0</v>
      </c>
      <c r="D51" s="154">
        <v>0</v>
      </c>
      <c r="E51" s="154">
        <v>0</v>
      </c>
      <c r="F51" s="154">
        <v>0</v>
      </c>
      <c r="G51" s="154">
        <v>0</v>
      </c>
      <c r="H51" s="154">
        <v>0</v>
      </c>
      <c r="I51" s="154">
        <v>0</v>
      </c>
      <c r="J51" s="154">
        <v>0</v>
      </c>
      <c r="K51" s="154">
        <v>0</v>
      </c>
      <c r="L51" s="154">
        <v>1</v>
      </c>
      <c r="M51" s="154">
        <v>0</v>
      </c>
      <c r="N51" s="155">
        <v>0</v>
      </c>
      <c r="O51" s="154">
        <v>0</v>
      </c>
      <c r="P51" s="154">
        <v>0</v>
      </c>
      <c r="Q51" s="154">
        <v>1</v>
      </c>
      <c r="R51" s="154">
        <v>1</v>
      </c>
      <c r="S51" s="154">
        <v>0</v>
      </c>
      <c r="T51" s="154">
        <v>1</v>
      </c>
      <c r="U51" s="154">
        <v>0</v>
      </c>
      <c r="V51" s="154">
        <v>0</v>
      </c>
      <c r="W51" s="154">
        <v>0</v>
      </c>
      <c r="X51" s="156">
        <v>0</v>
      </c>
      <c r="Y51" s="156">
        <v>0</v>
      </c>
      <c r="Z51" s="157">
        <v>0</v>
      </c>
      <c r="AA51" s="158">
        <v>0</v>
      </c>
      <c r="AB51" s="156">
        <v>0</v>
      </c>
      <c r="AC51" s="156">
        <v>0</v>
      </c>
      <c r="AD51" s="156">
        <v>0</v>
      </c>
      <c r="AE51" s="156">
        <v>0</v>
      </c>
      <c r="AF51" s="157">
        <v>0</v>
      </c>
      <c r="AG51" s="158">
        <v>0</v>
      </c>
      <c r="AH51" s="156">
        <v>0</v>
      </c>
      <c r="AI51" s="156">
        <v>0</v>
      </c>
      <c r="AJ51" s="156">
        <v>0</v>
      </c>
      <c r="AK51" s="156">
        <v>0</v>
      </c>
      <c r="AL51" s="157">
        <v>0</v>
      </c>
      <c r="AM51" s="158">
        <v>1</v>
      </c>
      <c r="AN51" s="156">
        <v>0</v>
      </c>
      <c r="AO51" s="156">
        <v>0</v>
      </c>
      <c r="AP51" s="156">
        <v>0</v>
      </c>
      <c r="AQ51" s="156">
        <v>0</v>
      </c>
      <c r="AR51" s="157">
        <v>1</v>
      </c>
      <c r="AS51" s="158">
        <v>0</v>
      </c>
      <c r="AT51" s="156">
        <v>0</v>
      </c>
      <c r="AU51" s="156">
        <v>0</v>
      </c>
      <c r="AV51" s="156">
        <v>1</v>
      </c>
      <c r="AW51" s="156">
        <v>0</v>
      </c>
      <c r="AX51" s="157">
        <v>0</v>
      </c>
      <c r="AY51" s="154">
        <v>0</v>
      </c>
      <c r="AZ51" s="154">
        <v>0</v>
      </c>
      <c r="BA51" s="154">
        <v>0</v>
      </c>
      <c r="BB51" s="154">
        <v>0</v>
      </c>
      <c r="BC51" s="154">
        <v>0</v>
      </c>
      <c r="BD51" s="154">
        <v>1</v>
      </c>
      <c r="BE51" s="154">
        <v>0</v>
      </c>
      <c r="BF51" s="154">
        <v>0</v>
      </c>
      <c r="BG51" s="154">
        <v>0</v>
      </c>
      <c r="BH51" s="156">
        <v>0</v>
      </c>
      <c r="BI51" s="156">
        <v>1</v>
      </c>
      <c r="BJ51" s="157">
        <v>0</v>
      </c>
      <c r="BK51" s="154">
        <v>0</v>
      </c>
      <c r="BL51" s="154">
        <v>0</v>
      </c>
      <c r="BM51" s="154">
        <v>0</v>
      </c>
      <c r="BN51" s="154">
        <v>1</v>
      </c>
      <c r="BO51" s="154">
        <v>1</v>
      </c>
      <c r="BP51" s="154">
        <v>0</v>
      </c>
      <c r="BQ51" s="154">
        <v>0</v>
      </c>
      <c r="BR51" s="154">
        <v>0</v>
      </c>
      <c r="BS51" s="154">
        <v>0</v>
      </c>
      <c r="BT51" s="156">
        <v>0</v>
      </c>
      <c r="BU51" s="156">
        <v>1</v>
      </c>
      <c r="BV51" s="404">
        <v>3</v>
      </c>
    </row>
    <row r="52" spans="1:74" ht="17" thickBot="1" x14ac:dyDescent="0.5">
      <c r="A52" s="84" t="s">
        <v>232</v>
      </c>
      <c r="B52" s="58" t="s">
        <v>78</v>
      </c>
      <c r="C52" s="153">
        <v>2</v>
      </c>
      <c r="D52" s="154">
        <v>2</v>
      </c>
      <c r="E52" s="154">
        <v>1</v>
      </c>
      <c r="F52" s="154">
        <v>3</v>
      </c>
      <c r="G52" s="154">
        <v>1</v>
      </c>
      <c r="H52" s="154">
        <v>0</v>
      </c>
      <c r="I52" s="154">
        <v>0</v>
      </c>
      <c r="J52" s="154">
        <v>0</v>
      </c>
      <c r="K52" s="154">
        <v>2</v>
      </c>
      <c r="L52" s="154">
        <v>0</v>
      </c>
      <c r="M52" s="154">
        <v>1</v>
      </c>
      <c r="N52" s="155">
        <v>2</v>
      </c>
      <c r="O52" s="154">
        <v>1</v>
      </c>
      <c r="P52" s="154">
        <v>3</v>
      </c>
      <c r="Q52" s="154">
        <v>0</v>
      </c>
      <c r="R52" s="154">
        <v>0</v>
      </c>
      <c r="S52" s="154">
        <v>5</v>
      </c>
      <c r="T52" s="154">
        <v>1</v>
      </c>
      <c r="U52" s="154">
        <v>2</v>
      </c>
      <c r="V52" s="154">
        <v>1</v>
      </c>
      <c r="W52" s="154">
        <v>2</v>
      </c>
      <c r="X52" s="156">
        <v>4</v>
      </c>
      <c r="Y52" s="156">
        <v>1</v>
      </c>
      <c r="Z52" s="157">
        <v>1</v>
      </c>
      <c r="AA52" s="158">
        <v>1</v>
      </c>
      <c r="AB52" s="156">
        <v>2</v>
      </c>
      <c r="AC52" s="156">
        <v>1</v>
      </c>
      <c r="AD52" s="156">
        <v>1</v>
      </c>
      <c r="AE52" s="156">
        <v>1</v>
      </c>
      <c r="AF52" s="157">
        <v>0</v>
      </c>
      <c r="AG52" s="158">
        <v>2</v>
      </c>
      <c r="AH52" s="156">
        <v>1</v>
      </c>
      <c r="AI52" s="156">
        <v>0</v>
      </c>
      <c r="AJ52" s="156">
        <v>3</v>
      </c>
      <c r="AK52" s="156">
        <v>1</v>
      </c>
      <c r="AL52" s="157">
        <v>2</v>
      </c>
      <c r="AM52" s="158">
        <v>1</v>
      </c>
      <c r="AN52" s="156">
        <v>2</v>
      </c>
      <c r="AO52" s="156">
        <v>0</v>
      </c>
      <c r="AP52" s="156">
        <v>2</v>
      </c>
      <c r="AQ52" s="156">
        <v>0</v>
      </c>
      <c r="AR52" s="157">
        <v>2</v>
      </c>
      <c r="AS52" s="158">
        <v>2</v>
      </c>
      <c r="AT52" s="156">
        <v>1</v>
      </c>
      <c r="AU52" s="156">
        <v>2</v>
      </c>
      <c r="AV52" s="156">
        <v>0</v>
      </c>
      <c r="AW52" s="156">
        <v>2</v>
      </c>
      <c r="AX52" s="157">
        <v>1</v>
      </c>
      <c r="AY52" s="154">
        <v>1</v>
      </c>
      <c r="AZ52" s="154">
        <v>1</v>
      </c>
      <c r="BA52" s="154">
        <v>3</v>
      </c>
      <c r="BB52" s="154">
        <v>1</v>
      </c>
      <c r="BC52" s="154">
        <v>1</v>
      </c>
      <c r="BD52" s="154">
        <v>2</v>
      </c>
      <c r="BE52" s="154">
        <v>2</v>
      </c>
      <c r="BF52" s="154">
        <v>0</v>
      </c>
      <c r="BG52" s="154">
        <v>0</v>
      </c>
      <c r="BH52" s="156">
        <v>4</v>
      </c>
      <c r="BI52" s="156">
        <v>2</v>
      </c>
      <c r="BJ52" s="157">
        <v>0</v>
      </c>
      <c r="BK52" s="154">
        <v>1</v>
      </c>
      <c r="BL52" s="154">
        <v>4</v>
      </c>
      <c r="BM52" s="154">
        <v>4</v>
      </c>
      <c r="BN52" s="154">
        <v>4</v>
      </c>
      <c r="BO52" s="154">
        <v>1</v>
      </c>
      <c r="BP52" s="154">
        <v>2</v>
      </c>
      <c r="BQ52" s="154">
        <v>1</v>
      </c>
      <c r="BR52" s="154">
        <v>2</v>
      </c>
      <c r="BS52" s="154">
        <v>2</v>
      </c>
      <c r="BT52" s="156">
        <v>2</v>
      </c>
      <c r="BU52" s="156">
        <v>6</v>
      </c>
      <c r="BV52" s="404">
        <v>6</v>
      </c>
    </row>
    <row r="53" spans="1:74" ht="17" thickBot="1" x14ac:dyDescent="0.5">
      <c r="A53" s="84" t="s">
        <v>278</v>
      </c>
      <c r="B53" s="58" t="s">
        <v>78</v>
      </c>
      <c r="C53" s="153">
        <v>0</v>
      </c>
      <c r="D53" s="154">
        <v>0</v>
      </c>
      <c r="E53" s="154">
        <v>0</v>
      </c>
      <c r="F53" s="154">
        <v>0</v>
      </c>
      <c r="G53" s="154">
        <v>0</v>
      </c>
      <c r="H53" s="154">
        <v>0</v>
      </c>
      <c r="I53" s="154">
        <v>0</v>
      </c>
      <c r="J53" s="154">
        <v>0</v>
      </c>
      <c r="K53" s="154">
        <v>1</v>
      </c>
      <c r="L53" s="154">
        <v>0</v>
      </c>
      <c r="M53" s="154">
        <v>0</v>
      </c>
      <c r="N53" s="155">
        <v>0</v>
      </c>
      <c r="O53" s="154">
        <v>1</v>
      </c>
      <c r="P53" s="154">
        <v>0</v>
      </c>
      <c r="Q53" s="154">
        <v>0</v>
      </c>
      <c r="R53" s="154">
        <v>0</v>
      </c>
      <c r="S53" s="154">
        <v>1</v>
      </c>
      <c r="T53" s="154">
        <v>0</v>
      </c>
      <c r="U53" s="154">
        <v>1</v>
      </c>
      <c r="V53" s="154">
        <v>0</v>
      </c>
      <c r="W53" s="154">
        <v>0</v>
      </c>
      <c r="X53" s="156">
        <v>0</v>
      </c>
      <c r="Y53" s="156">
        <v>1</v>
      </c>
      <c r="Z53" s="157">
        <v>0</v>
      </c>
      <c r="AA53" s="158">
        <v>0</v>
      </c>
      <c r="AB53" s="156">
        <v>0</v>
      </c>
      <c r="AC53" s="156">
        <v>2</v>
      </c>
      <c r="AD53" s="156">
        <v>0</v>
      </c>
      <c r="AE53" s="156">
        <v>0</v>
      </c>
      <c r="AF53" s="157">
        <v>0</v>
      </c>
      <c r="AG53" s="158">
        <v>0</v>
      </c>
      <c r="AH53" s="156">
        <v>0</v>
      </c>
      <c r="AI53" s="156">
        <v>0</v>
      </c>
      <c r="AJ53" s="156">
        <v>0</v>
      </c>
      <c r="AK53" s="156">
        <v>0</v>
      </c>
      <c r="AL53" s="157">
        <v>0</v>
      </c>
      <c r="AM53" s="158">
        <v>0</v>
      </c>
      <c r="AN53" s="156">
        <v>0</v>
      </c>
      <c r="AO53" s="156">
        <v>0</v>
      </c>
      <c r="AP53" s="156">
        <v>0</v>
      </c>
      <c r="AQ53" s="156">
        <v>0</v>
      </c>
      <c r="AR53" s="157">
        <v>0</v>
      </c>
      <c r="AS53" s="158">
        <v>0</v>
      </c>
      <c r="AT53" s="156">
        <v>0</v>
      </c>
      <c r="AU53" s="156">
        <v>1</v>
      </c>
      <c r="AV53" s="156">
        <v>0</v>
      </c>
      <c r="AW53" s="156">
        <v>0</v>
      </c>
      <c r="AX53" s="157">
        <v>1</v>
      </c>
      <c r="AY53" s="154">
        <v>1</v>
      </c>
      <c r="AZ53" s="154">
        <v>0</v>
      </c>
      <c r="BA53" s="154">
        <v>0</v>
      </c>
      <c r="BB53" s="154">
        <v>0</v>
      </c>
      <c r="BC53" s="154">
        <v>0</v>
      </c>
      <c r="BD53" s="154">
        <v>1</v>
      </c>
      <c r="BE53" s="154">
        <v>0</v>
      </c>
      <c r="BF53" s="154">
        <v>0</v>
      </c>
      <c r="BG53" s="154">
        <v>1</v>
      </c>
      <c r="BH53" s="156">
        <v>0</v>
      </c>
      <c r="BI53" s="156">
        <v>0</v>
      </c>
      <c r="BJ53" s="157">
        <v>0</v>
      </c>
      <c r="BK53" s="154">
        <v>0</v>
      </c>
      <c r="BL53" s="154">
        <v>0</v>
      </c>
      <c r="BM53" s="154">
        <v>0</v>
      </c>
      <c r="BN53" s="154">
        <v>0</v>
      </c>
      <c r="BO53" s="154">
        <v>1</v>
      </c>
      <c r="BP53" s="154">
        <v>0</v>
      </c>
      <c r="BQ53" s="154">
        <v>0</v>
      </c>
      <c r="BR53" s="154">
        <v>0</v>
      </c>
      <c r="BS53" s="154">
        <v>1</v>
      </c>
      <c r="BT53" s="156">
        <v>1</v>
      </c>
      <c r="BU53" s="156">
        <v>0</v>
      </c>
      <c r="BV53" s="404">
        <v>0</v>
      </c>
    </row>
    <row r="54" spans="1:74" ht="17" thickBot="1" x14ac:dyDescent="0.5">
      <c r="A54" s="84" t="s">
        <v>305</v>
      </c>
      <c r="B54" s="58" t="s">
        <v>78</v>
      </c>
      <c r="C54" s="153">
        <v>0</v>
      </c>
      <c r="D54" s="154">
        <v>2</v>
      </c>
      <c r="E54" s="154">
        <v>1</v>
      </c>
      <c r="F54" s="154">
        <v>2</v>
      </c>
      <c r="G54" s="154">
        <v>0</v>
      </c>
      <c r="H54" s="154">
        <v>1</v>
      </c>
      <c r="I54" s="154">
        <v>1</v>
      </c>
      <c r="J54" s="154">
        <v>0</v>
      </c>
      <c r="K54" s="154">
        <v>1</v>
      </c>
      <c r="L54" s="154">
        <v>1</v>
      </c>
      <c r="M54" s="154">
        <v>2</v>
      </c>
      <c r="N54" s="155">
        <v>1</v>
      </c>
      <c r="O54" s="154">
        <v>0</v>
      </c>
      <c r="P54" s="154">
        <v>1</v>
      </c>
      <c r="Q54" s="154">
        <v>0</v>
      </c>
      <c r="R54" s="154">
        <v>1</v>
      </c>
      <c r="S54" s="154">
        <v>0</v>
      </c>
      <c r="T54" s="154">
        <v>1</v>
      </c>
      <c r="U54" s="154">
        <v>1</v>
      </c>
      <c r="V54" s="154">
        <v>0</v>
      </c>
      <c r="W54" s="154">
        <v>2</v>
      </c>
      <c r="X54" s="156">
        <v>2</v>
      </c>
      <c r="Y54" s="156">
        <v>2</v>
      </c>
      <c r="Z54" s="157">
        <v>4</v>
      </c>
      <c r="AA54" s="158">
        <v>2</v>
      </c>
      <c r="AB54" s="156">
        <v>0</v>
      </c>
      <c r="AC54" s="156">
        <v>3</v>
      </c>
      <c r="AD54" s="156">
        <v>1</v>
      </c>
      <c r="AE54" s="156">
        <v>1</v>
      </c>
      <c r="AF54" s="157">
        <v>2</v>
      </c>
      <c r="AG54" s="158">
        <v>0</v>
      </c>
      <c r="AH54" s="156">
        <v>1</v>
      </c>
      <c r="AI54" s="156">
        <v>0</v>
      </c>
      <c r="AJ54" s="156">
        <v>1</v>
      </c>
      <c r="AK54" s="156">
        <v>1</v>
      </c>
      <c r="AL54" s="157">
        <v>0</v>
      </c>
      <c r="AM54" s="158">
        <v>1</v>
      </c>
      <c r="AN54" s="156">
        <v>2</v>
      </c>
      <c r="AO54" s="156">
        <v>1</v>
      </c>
      <c r="AP54" s="156">
        <v>0</v>
      </c>
      <c r="AQ54" s="156">
        <v>0</v>
      </c>
      <c r="AR54" s="157">
        <v>0</v>
      </c>
      <c r="AS54" s="158">
        <v>2</v>
      </c>
      <c r="AT54" s="156">
        <v>0</v>
      </c>
      <c r="AU54" s="156">
        <v>1</v>
      </c>
      <c r="AV54" s="156">
        <v>1</v>
      </c>
      <c r="AW54" s="156">
        <v>0</v>
      </c>
      <c r="AX54" s="157">
        <v>0</v>
      </c>
      <c r="AY54" s="154">
        <v>0</v>
      </c>
      <c r="AZ54" s="154">
        <v>3</v>
      </c>
      <c r="BA54" s="154">
        <v>2</v>
      </c>
      <c r="BB54" s="154">
        <v>2</v>
      </c>
      <c r="BC54" s="154">
        <v>5</v>
      </c>
      <c r="BD54" s="154">
        <v>2</v>
      </c>
      <c r="BE54" s="154">
        <v>2</v>
      </c>
      <c r="BF54" s="154">
        <v>0</v>
      </c>
      <c r="BG54" s="154">
        <v>0</v>
      </c>
      <c r="BH54" s="156">
        <v>1</v>
      </c>
      <c r="BI54" s="156">
        <v>3</v>
      </c>
      <c r="BJ54" s="157">
        <v>1</v>
      </c>
      <c r="BK54" s="154">
        <v>3</v>
      </c>
      <c r="BL54" s="154">
        <v>2</v>
      </c>
      <c r="BM54" s="154">
        <v>2</v>
      </c>
      <c r="BN54" s="154">
        <v>0</v>
      </c>
      <c r="BO54" s="154">
        <v>0</v>
      </c>
      <c r="BP54" s="154">
        <v>1</v>
      </c>
      <c r="BQ54" s="154">
        <v>1</v>
      </c>
      <c r="BR54" s="154">
        <v>0</v>
      </c>
      <c r="BS54" s="154">
        <v>2</v>
      </c>
      <c r="BT54" s="156">
        <v>4</v>
      </c>
      <c r="BU54" s="156">
        <v>0</v>
      </c>
      <c r="BV54" s="404">
        <v>2</v>
      </c>
    </row>
    <row r="55" spans="1:74" ht="17" thickBot="1" x14ac:dyDescent="0.5">
      <c r="A55" s="84" t="s">
        <v>307</v>
      </c>
      <c r="B55" s="58" t="s">
        <v>78</v>
      </c>
      <c r="C55" s="153">
        <v>0</v>
      </c>
      <c r="D55" s="154">
        <v>0</v>
      </c>
      <c r="E55" s="154">
        <v>1</v>
      </c>
      <c r="F55" s="154">
        <v>0</v>
      </c>
      <c r="G55" s="154">
        <v>0</v>
      </c>
      <c r="H55" s="154">
        <v>0</v>
      </c>
      <c r="I55" s="154">
        <v>1</v>
      </c>
      <c r="J55" s="154">
        <v>1</v>
      </c>
      <c r="K55" s="154">
        <v>0</v>
      </c>
      <c r="L55" s="154">
        <v>1</v>
      </c>
      <c r="M55" s="154">
        <v>0</v>
      </c>
      <c r="N55" s="155">
        <v>1</v>
      </c>
      <c r="O55" s="154">
        <v>1</v>
      </c>
      <c r="P55" s="154">
        <v>0</v>
      </c>
      <c r="Q55" s="154">
        <v>0</v>
      </c>
      <c r="R55" s="154">
        <v>0</v>
      </c>
      <c r="S55" s="154">
        <v>1</v>
      </c>
      <c r="T55" s="154">
        <v>0</v>
      </c>
      <c r="U55" s="154">
        <v>0</v>
      </c>
      <c r="V55" s="154">
        <v>0</v>
      </c>
      <c r="W55" s="154">
        <v>1</v>
      </c>
      <c r="X55" s="156">
        <v>0</v>
      </c>
      <c r="Y55" s="156">
        <v>0</v>
      </c>
      <c r="Z55" s="157">
        <v>1</v>
      </c>
      <c r="AA55" s="158">
        <v>0</v>
      </c>
      <c r="AB55" s="156">
        <v>1</v>
      </c>
      <c r="AC55" s="156">
        <v>0</v>
      </c>
      <c r="AD55" s="156">
        <v>0</v>
      </c>
      <c r="AE55" s="156">
        <v>0</v>
      </c>
      <c r="AF55" s="157">
        <v>0</v>
      </c>
      <c r="AG55" s="158">
        <v>0</v>
      </c>
      <c r="AH55" s="156">
        <v>1</v>
      </c>
      <c r="AI55" s="156">
        <v>0</v>
      </c>
      <c r="AJ55" s="156">
        <v>0</v>
      </c>
      <c r="AK55" s="156">
        <v>0</v>
      </c>
      <c r="AL55" s="157">
        <v>1</v>
      </c>
      <c r="AM55" s="158">
        <v>2</v>
      </c>
      <c r="AN55" s="156">
        <v>0</v>
      </c>
      <c r="AO55" s="156">
        <v>1</v>
      </c>
      <c r="AP55" s="156">
        <v>1</v>
      </c>
      <c r="AQ55" s="156">
        <v>1</v>
      </c>
      <c r="AR55" s="157">
        <v>1</v>
      </c>
      <c r="AS55" s="158">
        <v>1</v>
      </c>
      <c r="AT55" s="156">
        <v>3</v>
      </c>
      <c r="AU55" s="156">
        <v>2</v>
      </c>
      <c r="AV55" s="156">
        <v>1</v>
      </c>
      <c r="AW55" s="156">
        <v>0</v>
      </c>
      <c r="AX55" s="157">
        <v>0</v>
      </c>
      <c r="AY55" s="154">
        <v>1</v>
      </c>
      <c r="AZ55" s="154">
        <v>0</v>
      </c>
      <c r="BA55" s="154">
        <v>0</v>
      </c>
      <c r="BB55" s="154">
        <v>0</v>
      </c>
      <c r="BC55" s="154">
        <v>0</v>
      </c>
      <c r="BD55" s="154">
        <v>0</v>
      </c>
      <c r="BE55" s="154">
        <v>1</v>
      </c>
      <c r="BF55" s="154">
        <v>1</v>
      </c>
      <c r="BG55" s="154">
        <v>1</v>
      </c>
      <c r="BH55" s="156">
        <v>1</v>
      </c>
      <c r="BI55" s="156">
        <v>0</v>
      </c>
      <c r="BJ55" s="157">
        <v>2</v>
      </c>
      <c r="BK55" s="154">
        <v>1</v>
      </c>
      <c r="BL55" s="154">
        <v>1</v>
      </c>
      <c r="BM55" s="154">
        <v>0</v>
      </c>
      <c r="BN55" s="154">
        <v>2</v>
      </c>
      <c r="BO55" s="154">
        <v>1</v>
      </c>
      <c r="BP55" s="154">
        <v>0</v>
      </c>
      <c r="BQ55" s="154">
        <v>0</v>
      </c>
      <c r="BR55" s="154">
        <v>0</v>
      </c>
      <c r="BS55" s="154">
        <v>0</v>
      </c>
      <c r="BT55" s="156">
        <v>2</v>
      </c>
      <c r="BU55" s="156">
        <v>0</v>
      </c>
      <c r="BV55" s="404">
        <v>0</v>
      </c>
    </row>
    <row r="56" spans="1:74" ht="17" thickBot="1" x14ac:dyDescent="0.5">
      <c r="A56" s="84" t="s">
        <v>206</v>
      </c>
      <c r="B56" s="58" t="s">
        <v>78</v>
      </c>
      <c r="C56" s="153">
        <v>0</v>
      </c>
      <c r="D56" s="154">
        <v>0</v>
      </c>
      <c r="E56" s="154">
        <v>1</v>
      </c>
      <c r="F56" s="154">
        <v>0</v>
      </c>
      <c r="G56" s="154">
        <v>0</v>
      </c>
      <c r="H56" s="154">
        <v>0</v>
      </c>
      <c r="I56" s="154">
        <v>2</v>
      </c>
      <c r="J56" s="154">
        <v>0</v>
      </c>
      <c r="K56" s="154">
        <v>1</v>
      </c>
      <c r="L56" s="154">
        <v>0</v>
      </c>
      <c r="M56" s="154">
        <v>0</v>
      </c>
      <c r="N56" s="155">
        <v>0</v>
      </c>
      <c r="O56" s="154">
        <v>0</v>
      </c>
      <c r="P56" s="154">
        <v>0</v>
      </c>
      <c r="Q56" s="154">
        <v>0</v>
      </c>
      <c r="R56" s="154">
        <v>1</v>
      </c>
      <c r="S56" s="154">
        <v>0</v>
      </c>
      <c r="T56" s="154">
        <v>0</v>
      </c>
      <c r="U56" s="154">
        <v>1</v>
      </c>
      <c r="V56" s="154">
        <v>0</v>
      </c>
      <c r="W56" s="154">
        <v>0</v>
      </c>
      <c r="X56" s="156">
        <v>0</v>
      </c>
      <c r="Y56" s="156">
        <v>2</v>
      </c>
      <c r="Z56" s="157">
        <v>1</v>
      </c>
      <c r="AA56" s="158">
        <v>0</v>
      </c>
      <c r="AB56" s="156">
        <v>0</v>
      </c>
      <c r="AC56" s="156">
        <v>0</v>
      </c>
      <c r="AD56" s="156">
        <v>1</v>
      </c>
      <c r="AE56" s="156">
        <v>1</v>
      </c>
      <c r="AF56" s="157">
        <v>0</v>
      </c>
      <c r="AG56" s="158">
        <v>0</v>
      </c>
      <c r="AH56" s="156">
        <v>0</v>
      </c>
      <c r="AI56" s="156">
        <v>0</v>
      </c>
      <c r="AJ56" s="156">
        <v>0</v>
      </c>
      <c r="AK56" s="156">
        <v>0</v>
      </c>
      <c r="AL56" s="157">
        <v>0</v>
      </c>
      <c r="AM56" s="158">
        <v>0</v>
      </c>
      <c r="AN56" s="156">
        <v>0</v>
      </c>
      <c r="AO56" s="156">
        <v>0</v>
      </c>
      <c r="AP56" s="156">
        <v>0</v>
      </c>
      <c r="AQ56" s="156">
        <v>0</v>
      </c>
      <c r="AR56" s="157">
        <v>0</v>
      </c>
      <c r="AS56" s="158">
        <v>0</v>
      </c>
      <c r="AT56" s="156">
        <v>1</v>
      </c>
      <c r="AU56" s="156">
        <v>0</v>
      </c>
      <c r="AV56" s="156">
        <v>0</v>
      </c>
      <c r="AW56" s="156">
        <v>0</v>
      </c>
      <c r="AX56" s="157">
        <v>0</v>
      </c>
      <c r="AY56" s="154">
        <v>0</v>
      </c>
      <c r="AZ56" s="154">
        <v>1</v>
      </c>
      <c r="BA56" s="154">
        <v>0</v>
      </c>
      <c r="BB56" s="154">
        <v>2</v>
      </c>
      <c r="BC56" s="154">
        <v>0</v>
      </c>
      <c r="BD56" s="154">
        <v>0</v>
      </c>
      <c r="BE56" s="154">
        <v>0</v>
      </c>
      <c r="BF56" s="154">
        <v>0</v>
      </c>
      <c r="BG56" s="154">
        <v>0</v>
      </c>
      <c r="BH56" s="156">
        <v>1</v>
      </c>
      <c r="BI56" s="156">
        <v>0</v>
      </c>
      <c r="BJ56" s="157">
        <v>0</v>
      </c>
      <c r="BK56" s="154">
        <v>1</v>
      </c>
      <c r="BL56" s="154">
        <v>0</v>
      </c>
      <c r="BM56" s="154">
        <v>0</v>
      </c>
      <c r="BN56" s="154">
        <v>0</v>
      </c>
      <c r="BO56" s="154">
        <v>0</v>
      </c>
      <c r="BP56" s="154">
        <v>0</v>
      </c>
      <c r="BQ56" s="154">
        <v>0</v>
      </c>
      <c r="BR56" s="154">
        <v>0</v>
      </c>
      <c r="BS56" s="154">
        <v>0</v>
      </c>
      <c r="BT56" s="156">
        <v>0</v>
      </c>
      <c r="BU56" s="156">
        <v>0</v>
      </c>
      <c r="BV56" s="404">
        <v>1</v>
      </c>
    </row>
    <row r="57" spans="1:74" ht="17" thickBot="1" x14ac:dyDescent="0.5">
      <c r="A57" s="84" t="s">
        <v>207</v>
      </c>
      <c r="B57" s="58" t="s">
        <v>78</v>
      </c>
      <c r="C57" s="153">
        <v>1</v>
      </c>
      <c r="D57" s="154">
        <v>1</v>
      </c>
      <c r="E57" s="154">
        <v>0</v>
      </c>
      <c r="F57" s="154">
        <v>2</v>
      </c>
      <c r="G57" s="154">
        <v>0</v>
      </c>
      <c r="H57" s="154">
        <v>1</v>
      </c>
      <c r="I57" s="154">
        <v>2</v>
      </c>
      <c r="J57" s="154">
        <v>2</v>
      </c>
      <c r="K57" s="154">
        <v>1</v>
      </c>
      <c r="L57" s="154">
        <v>0</v>
      </c>
      <c r="M57" s="154">
        <v>1</v>
      </c>
      <c r="N57" s="155">
        <v>0</v>
      </c>
      <c r="O57" s="154">
        <v>0</v>
      </c>
      <c r="P57" s="154">
        <v>1</v>
      </c>
      <c r="Q57" s="154">
        <v>0</v>
      </c>
      <c r="R57" s="154">
        <v>2</v>
      </c>
      <c r="S57" s="154">
        <v>1</v>
      </c>
      <c r="T57" s="154">
        <v>0</v>
      </c>
      <c r="U57" s="154">
        <v>1</v>
      </c>
      <c r="V57" s="154">
        <v>0</v>
      </c>
      <c r="W57" s="154">
        <v>0</v>
      </c>
      <c r="X57" s="156">
        <v>2</v>
      </c>
      <c r="Y57" s="156">
        <v>0</v>
      </c>
      <c r="Z57" s="157">
        <v>3</v>
      </c>
      <c r="AA57" s="158">
        <v>2</v>
      </c>
      <c r="AB57" s="156">
        <v>0</v>
      </c>
      <c r="AC57" s="156">
        <v>0</v>
      </c>
      <c r="AD57" s="156">
        <v>1</v>
      </c>
      <c r="AE57" s="156">
        <v>3</v>
      </c>
      <c r="AF57" s="157">
        <v>1</v>
      </c>
      <c r="AG57" s="158">
        <v>0</v>
      </c>
      <c r="AH57" s="156">
        <v>1</v>
      </c>
      <c r="AI57" s="156">
        <v>1</v>
      </c>
      <c r="AJ57" s="156">
        <v>0</v>
      </c>
      <c r="AK57" s="156">
        <v>2</v>
      </c>
      <c r="AL57" s="157">
        <v>1</v>
      </c>
      <c r="AM57" s="158">
        <v>0</v>
      </c>
      <c r="AN57" s="156">
        <v>1</v>
      </c>
      <c r="AO57" s="156">
        <v>1</v>
      </c>
      <c r="AP57" s="156">
        <v>1</v>
      </c>
      <c r="AQ57" s="156">
        <v>0</v>
      </c>
      <c r="AR57" s="157">
        <v>0</v>
      </c>
      <c r="AS57" s="158">
        <v>1</v>
      </c>
      <c r="AT57" s="156">
        <v>0</v>
      </c>
      <c r="AU57" s="156">
        <v>0</v>
      </c>
      <c r="AV57" s="156">
        <v>0</v>
      </c>
      <c r="AW57" s="156">
        <v>0</v>
      </c>
      <c r="AX57" s="157">
        <v>0</v>
      </c>
      <c r="AY57" s="154">
        <v>1</v>
      </c>
      <c r="AZ57" s="154">
        <v>0</v>
      </c>
      <c r="BA57" s="154">
        <v>0</v>
      </c>
      <c r="BB57" s="154">
        <v>0</v>
      </c>
      <c r="BC57" s="154">
        <v>0</v>
      </c>
      <c r="BD57" s="154">
        <v>0</v>
      </c>
      <c r="BE57" s="154">
        <v>0</v>
      </c>
      <c r="BF57" s="154">
        <v>3</v>
      </c>
      <c r="BG57" s="154">
        <v>0</v>
      </c>
      <c r="BH57" s="156">
        <v>0</v>
      </c>
      <c r="BI57" s="156">
        <v>1</v>
      </c>
      <c r="BJ57" s="157">
        <v>0</v>
      </c>
      <c r="BK57" s="154">
        <v>1</v>
      </c>
      <c r="BL57" s="154">
        <v>0</v>
      </c>
      <c r="BM57" s="154">
        <v>2</v>
      </c>
      <c r="BN57" s="154">
        <v>2</v>
      </c>
      <c r="BO57" s="154">
        <v>2</v>
      </c>
      <c r="BP57" s="154">
        <v>0</v>
      </c>
      <c r="BQ57" s="154">
        <v>1</v>
      </c>
      <c r="BR57" s="154">
        <v>0</v>
      </c>
      <c r="BS57" s="154">
        <v>2</v>
      </c>
      <c r="BT57" s="156">
        <v>0</v>
      </c>
      <c r="BU57" s="156">
        <v>4</v>
      </c>
      <c r="BV57" s="404">
        <v>0</v>
      </c>
    </row>
    <row r="58" spans="1:74" ht="17" thickBot="1" x14ac:dyDescent="0.5">
      <c r="A58" s="84" t="s">
        <v>210</v>
      </c>
      <c r="B58" s="58" t="s">
        <v>78</v>
      </c>
      <c r="C58" s="153">
        <v>1</v>
      </c>
      <c r="D58" s="154">
        <v>1</v>
      </c>
      <c r="E58" s="154">
        <v>0</v>
      </c>
      <c r="F58" s="154">
        <v>2</v>
      </c>
      <c r="G58" s="154">
        <v>0</v>
      </c>
      <c r="H58" s="154">
        <v>2</v>
      </c>
      <c r="I58" s="154">
        <v>0</v>
      </c>
      <c r="J58" s="154">
        <v>0</v>
      </c>
      <c r="K58" s="154">
        <v>1</v>
      </c>
      <c r="L58" s="154">
        <v>1</v>
      </c>
      <c r="M58" s="154">
        <v>0</v>
      </c>
      <c r="N58" s="155">
        <v>2</v>
      </c>
      <c r="O58" s="154">
        <v>0</v>
      </c>
      <c r="P58" s="154">
        <v>0</v>
      </c>
      <c r="Q58" s="154">
        <v>1</v>
      </c>
      <c r="R58" s="154">
        <v>0</v>
      </c>
      <c r="S58" s="154">
        <v>0</v>
      </c>
      <c r="T58" s="154">
        <v>1</v>
      </c>
      <c r="U58" s="154">
        <v>0</v>
      </c>
      <c r="V58" s="154">
        <v>2</v>
      </c>
      <c r="W58" s="154">
        <v>0</v>
      </c>
      <c r="X58" s="156">
        <v>1</v>
      </c>
      <c r="Y58" s="156">
        <v>0</v>
      </c>
      <c r="Z58" s="157">
        <v>2</v>
      </c>
      <c r="AA58" s="158">
        <v>1</v>
      </c>
      <c r="AB58" s="156">
        <v>1</v>
      </c>
      <c r="AC58" s="156">
        <v>0</v>
      </c>
      <c r="AD58" s="156">
        <v>1</v>
      </c>
      <c r="AE58" s="156">
        <v>1</v>
      </c>
      <c r="AF58" s="157">
        <v>1</v>
      </c>
      <c r="AG58" s="158">
        <v>0</v>
      </c>
      <c r="AH58" s="156">
        <v>0</v>
      </c>
      <c r="AI58" s="156">
        <v>0</v>
      </c>
      <c r="AJ58" s="156">
        <v>0</v>
      </c>
      <c r="AK58" s="156">
        <v>1</v>
      </c>
      <c r="AL58" s="157">
        <v>0</v>
      </c>
      <c r="AM58" s="158">
        <v>1</v>
      </c>
      <c r="AN58" s="156">
        <v>1</v>
      </c>
      <c r="AO58" s="156">
        <v>2</v>
      </c>
      <c r="AP58" s="156">
        <v>4</v>
      </c>
      <c r="AQ58" s="156">
        <v>1</v>
      </c>
      <c r="AR58" s="157">
        <v>2</v>
      </c>
      <c r="AS58" s="158">
        <v>1</v>
      </c>
      <c r="AT58" s="156">
        <v>0</v>
      </c>
      <c r="AU58" s="156">
        <v>1</v>
      </c>
      <c r="AV58" s="156">
        <v>2</v>
      </c>
      <c r="AW58" s="156">
        <v>0</v>
      </c>
      <c r="AX58" s="157">
        <v>4</v>
      </c>
      <c r="AY58" s="154">
        <v>1</v>
      </c>
      <c r="AZ58" s="154">
        <v>1</v>
      </c>
      <c r="BA58" s="154">
        <v>1</v>
      </c>
      <c r="BB58" s="154">
        <v>2</v>
      </c>
      <c r="BC58" s="154">
        <v>2</v>
      </c>
      <c r="BD58" s="154">
        <v>0</v>
      </c>
      <c r="BE58" s="154">
        <v>2</v>
      </c>
      <c r="BF58" s="154">
        <v>1</v>
      </c>
      <c r="BG58" s="154">
        <v>0</v>
      </c>
      <c r="BH58" s="156">
        <v>0</v>
      </c>
      <c r="BI58" s="156">
        <v>2</v>
      </c>
      <c r="BJ58" s="157">
        <v>2</v>
      </c>
      <c r="BK58" s="154">
        <v>1</v>
      </c>
      <c r="BL58" s="154">
        <v>0</v>
      </c>
      <c r="BM58" s="154">
        <v>0</v>
      </c>
      <c r="BN58" s="154">
        <v>3</v>
      </c>
      <c r="BO58" s="154">
        <v>0</v>
      </c>
      <c r="BP58" s="154">
        <v>1</v>
      </c>
      <c r="BQ58" s="154">
        <v>3</v>
      </c>
      <c r="BR58" s="154">
        <v>0</v>
      </c>
      <c r="BS58" s="154">
        <v>1</v>
      </c>
      <c r="BT58" s="156">
        <v>2</v>
      </c>
      <c r="BU58" s="156">
        <v>0</v>
      </c>
      <c r="BV58" s="404">
        <v>0</v>
      </c>
    </row>
    <row r="59" spans="1:74" ht="17" thickBot="1" x14ac:dyDescent="0.5">
      <c r="A59" s="84" t="s">
        <v>279</v>
      </c>
      <c r="B59" s="58" t="s">
        <v>78</v>
      </c>
      <c r="C59" s="405">
        <v>1</v>
      </c>
      <c r="D59" s="406">
        <v>0</v>
      </c>
      <c r="E59" s="406">
        <v>0</v>
      </c>
      <c r="F59" s="406">
        <v>2</v>
      </c>
      <c r="G59" s="406">
        <v>0</v>
      </c>
      <c r="H59" s="406">
        <v>0</v>
      </c>
      <c r="I59" s="406">
        <v>1</v>
      </c>
      <c r="J59" s="406">
        <v>0</v>
      </c>
      <c r="K59" s="406">
        <v>0</v>
      </c>
      <c r="L59" s="406">
        <v>0</v>
      </c>
      <c r="M59" s="406">
        <v>2</v>
      </c>
      <c r="N59" s="407">
        <v>0</v>
      </c>
      <c r="O59" s="406">
        <v>1</v>
      </c>
      <c r="P59" s="406">
        <v>0</v>
      </c>
      <c r="Q59" s="406">
        <v>0</v>
      </c>
      <c r="R59" s="406">
        <v>0</v>
      </c>
      <c r="S59" s="406">
        <v>0</v>
      </c>
      <c r="T59" s="406">
        <v>0</v>
      </c>
      <c r="U59" s="406">
        <v>0</v>
      </c>
      <c r="V59" s="406">
        <v>0</v>
      </c>
      <c r="W59" s="406">
        <v>0</v>
      </c>
      <c r="X59" s="408">
        <v>0</v>
      </c>
      <c r="Y59" s="408">
        <v>1</v>
      </c>
      <c r="Z59" s="409">
        <v>1</v>
      </c>
      <c r="AA59" s="410">
        <v>0</v>
      </c>
      <c r="AB59" s="408">
        <v>0</v>
      </c>
      <c r="AC59" s="408">
        <v>2</v>
      </c>
      <c r="AD59" s="408">
        <v>0</v>
      </c>
      <c r="AE59" s="408">
        <v>0</v>
      </c>
      <c r="AF59" s="409">
        <v>0</v>
      </c>
      <c r="AG59" s="410">
        <v>1</v>
      </c>
      <c r="AH59" s="408">
        <v>0</v>
      </c>
      <c r="AI59" s="408">
        <v>0</v>
      </c>
      <c r="AJ59" s="408">
        <v>0</v>
      </c>
      <c r="AK59" s="408">
        <v>0</v>
      </c>
      <c r="AL59" s="409">
        <v>0</v>
      </c>
      <c r="AM59" s="410">
        <v>0</v>
      </c>
      <c r="AN59" s="408">
        <v>0</v>
      </c>
      <c r="AO59" s="408">
        <v>0</v>
      </c>
      <c r="AP59" s="408">
        <v>1</v>
      </c>
      <c r="AQ59" s="408">
        <v>0</v>
      </c>
      <c r="AR59" s="409">
        <v>1</v>
      </c>
      <c r="AS59" s="410">
        <v>0</v>
      </c>
      <c r="AT59" s="408">
        <v>1</v>
      </c>
      <c r="AU59" s="408">
        <v>0</v>
      </c>
      <c r="AV59" s="408">
        <v>0</v>
      </c>
      <c r="AW59" s="408">
        <v>1</v>
      </c>
      <c r="AX59" s="409">
        <v>0</v>
      </c>
      <c r="AY59" s="406">
        <v>0</v>
      </c>
      <c r="AZ59" s="406">
        <v>0</v>
      </c>
      <c r="BA59" s="406">
        <v>0</v>
      </c>
      <c r="BB59" s="406">
        <v>0</v>
      </c>
      <c r="BC59" s="406">
        <v>0</v>
      </c>
      <c r="BD59" s="406">
        <v>0</v>
      </c>
      <c r="BE59" s="406">
        <v>0</v>
      </c>
      <c r="BF59" s="406">
        <v>1</v>
      </c>
      <c r="BG59" s="406">
        <v>0</v>
      </c>
      <c r="BH59" s="408">
        <v>0</v>
      </c>
      <c r="BI59" s="408">
        <v>1</v>
      </c>
      <c r="BJ59" s="409">
        <v>1</v>
      </c>
      <c r="BK59" s="406">
        <v>0</v>
      </c>
      <c r="BL59" s="406">
        <v>0</v>
      </c>
      <c r="BM59" s="406">
        <v>0</v>
      </c>
      <c r="BN59" s="406">
        <v>1</v>
      </c>
      <c r="BO59" s="406">
        <v>0</v>
      </c>
      <c r="BP59" s="406">
        <v>0</v>
      </c>
      <c r="BQ59" s="406">
        <v>1</v>
      </c>
      <c r="BR59" s="406">
        <v>0</v>
      </c>
      <c r="BS59" s="406">
        <v>1</v>
      </c>
      <c r="BT59" s="408">
        <v>0</v>
      </c>
      <c r="BU59" s="408">
        <v>3</v>
      </c>
      <c r="BV59" s="411">
        <v>0</v>
      </c>
    </row>
    <row r="60" spans="1:74" ht="16.5" x14ac:dyDescent="0.45">
      <c r="A60" s="84"/>
      <c r="B60" s="58"/>
      <c r="C60" s="153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5"/>
      <c r="O60" s="154"/>
      <c r="P60" s="154"/>
      <c r="Q60" s="154"/>
      <c r="R60" s="154"/>
      <c r="S60" s="154"/>
      <c r="T60" s="154"/>
      <c r="U60" s="154"/>
      <c r="V60" s="154"/>
      <c r="W60" s="154"/>
      <c r="X60" s="156"/>
      <c r="Y60" s="156"/>
      <c r="Z60" s="157"/>
      <c r="AA60" s="158"/>
      <c r="AB60" s="156"/>
      <c r="AC60" s="156"/>
      <c r="AD60" s="156"/>
      <c r="AE60" s="156"/>
      <c r="AF60" s="157"/>
      <c r="AG60" s="158"/>
      <c r="AH60" s="156"/>
      <c r="AI60" s="156"/>
      <c r="AJ60" s="156"/>
      <c r="AK60" s="156"/>
      <c r="AL60" s="157"/>
      <c r="AM60" s="158"/>
      <c r="AN60" s="156"/>
      <c r="AO60" s="156"/>
      <c r="AP60" s="156"/>
      <c r="AQ60" s="156"/>
      <c r="AR60" s="157"/>
      <c r="AS60" s="158"/>
      <c r="AT60" s="156"/>
      <c r="AU60" s="156"/>
      <c r="AV60" s="156"/>
      <c r="AW60" s="156"/>
      <c r="AX60" s="157"/>
      <c r="AY60" s="154"/>
      <c r="AZ60" s="154"/>
      <c r="BA60" s="154"/>
      <c r="BB60" s="154"/>
      <c r="BC60" s="154"/>
      <c r="BD60" s="154"/>
      <c r="BE60" s="154"/>
      <c r="BF60" s="154"/>
      <c r="BG60" s="154"/>
      <c r="BH60" s="156"/>
      <c r="BI60" s="156"/>
      <c r="BJ60" s="157"/>
      <c r="BK60" s="154"/>
      <c r="BL60" s="154"/>
      <c r="BM60" s="154"/>
      <c r="BN60" s="154"/>
      <c r="BO60" s="154"/>
      <c r="BP60" s="154"/>
      <c r="BQ60" s="154"/>
      <c r="BR60" s="154"/>
      <c r="BS60" s="154"/>
      <c r="BT60" s="156"/>
      <c r="BU60" s="156"/>
      <c r="BV60" s="157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76"/>
  <sheetViews>
    <sheetView topLeftCell="D1" zoomScale="82" zoomScaleNormal="70" workbookViewId="0">
      <selection activeCell="CE51" sqref="L51:CE51"/>
    </sheetView>
  </sheetViews>
  <sheetFormatPr defaultRowHeight="14.5" x14ac:dyDescent="0.3"/>
  <cols>
    <col min="2" max="2" width="10.19921875" bestFit="1" customWidth="1"/>
    <col min="4" max="4" width="36.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265"/>
      <c r="B2" s="266"/>
      <c r="C2" s="266"/>
      <c r="D2" s="266"/>
      <c r="E2" s="266"/>
      <c r="F2" s="266"/>
      <c r="G2" s="266"/>
      <c r="H2" s="266"/>
      <c r="I2" s="267"/>
      <c r="J2" s="271" t="s">
        <v>21</v>
      </c>
      <c r="K2" s="388" t="s">
        <v>323</v>
      </c>
      <c r="L2" s="273" t="s">
        <v>26</v>
      </c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  <c r="AB2" s="274"/>
      <c r="AC2" s="274"/>
      <c r="AD2" s="274"/>
      <c r="AE2" s="274"/>
      <c r="AF2" s="274"/>
      <c r="AG2" s="274"/>
      <c r="AH2" s="274"/>
      <c r="AI2" s="274"/>
      <c r="AJ2" s="274"/>
      <c r="AK2" s="274"/>
      <c r="AL2" s="274"/>
      <c r="AM2" s="274"/>
      <c r="AN2" s="274"/>
      <c r="AO2" s="274"/>
      <c r="AP2" s="274"/>
      <c r="AQ2" s="274"/>
      <c r="AR2" s="274"/>
      <c r="AS2" s="274"/>
      <c r="AT2" s="274"/>
      <c r="AU2" s="274"/>
      <c r="AV2" s="274"/>
      <c r="AW2" s="274"/>
      <c r="AX2" s="274"/>
      <c r="AY2" s="274"/>
      <c r="AZ2" s="274"/>
      <c r="BA2" s="274"/>
      <c r="BB2" s="274"/>
      <c r="BC2" s="274"/>
      <c r="BD2" s="274"/>
      <c r="BE2" s="274"/>
      <c r="BF2" s="274"/>
      <c r="BG2" s="274"/>
      <c r="BH2" s="274"/>
      <c r="BI2" s="274"/>
      <c r="BJ2" s="274"/>
      <c r="BK2" s="274"/>
      <c r="BL2" s="274"/>
      <c r="BM2" s="274"/>
      <c r="BN2" s="274"/>
      <c r="BO2" s="274"/>
      <c r="BP2" s="274"/>
      <c r="BQ2" s="274"/>
      <c r="BR2" s="274"/>
      <c r="BS2" s="274"/>
      <c r="BT2" s="274"/>
      <c r="BU2" s="274"/>
      <c r="BV2" s="274"/>
      <c r="BW2" s="274"/>
      <c r="BX2" s="274"/>
      <c r="BY2" s="274"/>
      <c r="BZ2" s="274"/>
      <c r="CA2" s="274"/>
      <c r="CB2" s="274"/>
      <c r="CC2" s="274"/>
      <c r="CD2" s="274"/>
      <c r="CE2" s="275"/>
    </row>
    <row r="3" spans="1:83" ht="17" thickBot="1" x14ac:dyDescent="0.5">
      <c r="A3" s="268"/>
      <c r="B3" s="269"/>
      <c r="C3" s="269"/>
      <c r="D3" s="269"/>
      <c r="E3" s="269"/>
      <c r="F3" s="269"/>
      <c r="G3" s="269"/>
      <c r="H3" s="269"/>
      <c r="I3" s="270"/>
      <c r="J3" s="272"/>
      <c r="K3" s="389"/>
      <c r="L3" s="276" t="s">
        <v>42</v>
      </c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276" t="s">
        <v>27</v>
      </c>
      <c r="Y3" s="277"/>
      <c r="Z3" s="277"/>
      <c r="AA3" s="277"/>
      <c r="AB3" s="277"/>
      <c r="AC3" s="277"/>
      <c r="AD3" s="277"/>
      <c r="AE3" s="277"/>
      <c r="AF3" s="277"/>
      <c r="AG3" s="277"/>
      <c r="AH3" s="277"/>
      <c r="AI3" s="278"/>
      <c r="AJ3" s="279" t="s">
        <v>28</v>
      </c>
      <c r="AK3" s="280"/>
      <c r="AL3" s="280"/>
      <c r="AM3" s="280"/>
      <c r="AN3" s="280"/>
      <c r="AO3" s="280"/>
      <c r="AP3" s="280"/>
      <c r="AQ3" s="280"/>
      <c r="AR3" s="280"/>
      <c r="AS3" s="280"/>
      <c r="AT3" s="280"/>
      <c r="AU3" s="281"/>
      <c r="AV3" s="279" t="s">
        <v>29</v>
      </c>
      <c r="AW3" s="280"/>
      <c r="AX3" s="280"/>
      <c r="AY3" s="280"/>
      <c r="AZ3" s="280"/>
      <c r="BA3" s="280"/>
      <c r="BB3" s="280"/>
      <c r="BC3" s="280"/>
      <c r="BD3" s="280"/>
      <c r="BE3" s="280"/>
      <c r="BF3" s="280"/>
      <c r="BG3" s="281"/>
      <c r="BH3" s="279" t="s">
        <v>30</v>
      </c>
      <c r="BI3" s="280"/>
      <c r="BJ3" s="280"/>
      <c r="BK3" s="280"/>
      <c r="BL3" s="280"/>
      <c r="BM3" s="280"/>
      <c r="BN3" s="280"/>
      <c r="BO3" s="280"/>
      <c r="BP3" s="280"/>
      <c r="BQ3" s="280"/>
      <c r="BR3" s="280"/>
      <c r="BS3" s="281"/>
      <c r="BT3" s="279" t="s">
        <v>34</v>
      </c>
      <c r="BU3" s="280"/>
      <c r="BV3" s="280"/>
      <c r="BW3" s="280"/>
      <c r="BX3" s="280"/>
      <c r="BY3" s="280"/>
      <c r="BZ3" s="280"/>
      <c r="CA3" s="280"/>
      <c r="CB3" s="280"/>
      <c r="CC3" s="280"/>
      <c r="CD3" s="280"/>
      <c r="CE3" s="282"/>
    </row>
    <row r="4" spans="1:83" ht="17" thickBot="1" x14ac:dyDescent="0.5">
      <c r="A4" s="212" t="s">
        <v>165</v>
      </c>
      <c r="B4" s="212" t="s">
        <v>319</v>
      </c>
      <c r="C4" s="212" t="s">
        <v>320</v>
      </c>
      <c r="D4" s="212" t="s">
        <v>0</v>
      </c>
      <c r="E4" s="212" t="s">
        <v>1</v>
      </c>
      <c r="F4" s="213" t="s">
        <v>2</v>
      </c>
      <c r="G4" s="213" t="s">
        <v>52</v>
      </c>
      <c r="H4" s="214" t="s">
        <v>57</v>
      </c>
      <c r="I4" s="215" t="s">
        <v>53</v>
      </c>
      <c r="J4" s="272"/>
      <c r="K4" s="390"/>
      <c r="L4" s="48" t="s">
        <v>12</v>
      </c>
      <c r="M4" s="49" t="s">
        <v>14</v>
      </c>
      <c r="N4" s="49" t="s">
        <v>15</v>
      </c>
      <c r="O4" s="49" t="s">
        <v>16</v>
      </c>
      <c r="P4" s="49" t="s">
        <v>17</v>
      </c>
      <c r="Q4" s="49" t="s">
        <v>18</v>
      </c>
      <c r="R4" s="49" t="s">
        <v>19</v>
      </c>
      <c r="S4" s="49" t="s">
        <v>20</v>
      </c>
      <c r="T4" s="49" t="s">
        <v>5</v>
      </c>
      <c r="U4" s="49" t="s">
        <v>7</v>
      </c>
      <c r="V4" s="49" t="s">
        <v>9</v>
      </c>
      <c r="W4" s="50" t="s">
        <v>11</v>
      </c>
      <c r="X4" s="48" t="s">
        <v>12</v>
      </c>
      <c r="Y4" s="49" t="s">
        <v>14</v>
      </c>
      <c r="Z4" s="49" t="s">
        <v>15</v>
      </c>
      <c r="AA4" s="49" t="s">
        <v>16</v>
      </c>
      <c r="AB4" s="49" t="s">
        <v>17</v>
      </c>
      <c r="AC4" s="49" t="s">
        <v>18</v>
      </c>
      <c r="AD4" s="49" t="s">
        <v>19</v>
      </c>
      <c r="AE4" s="49" t="s">
        <v>20</v>
      </c>
      <c r="AF4" s="49" t="s">
        <v>5</v>
      </c>
      <c r="AG4" s="49" t="s">
        <v>7</v>
      </c>
      <c r="AH4" s="49" t="s">
        <v>9</v>
      </c>
      <c r="AI4" s="50" t="s">
        <v>11</v>
      </c>
      <c r="AJ4" s="195" t="s">
        <v>13</v>
      </c>
      <c r="AK4" s="49" t="s">
        <v>14</v>
      </c>
      <c r="AL4" s="49" t="s">
        <v>15</v>
      </c>
      <c r="AM4" s="49" t="s">
        <v>16</v>
      </c>
      <c r="AN4" s="49" t="s">
        <v>17</v>
      </c>
      <c r="AO4" s="49" t="s">
        <v>18</v>
      </c>
      <c r="AP4" s="49" t="s">
        <v>19</v>
      </c>
      <c r="AQ4" s="49" t="s">
        <v>20</v>
      </c>
      <c r="AR4" s="49" t="s">
        <v>5</v>
      </c>
      <c r="AS4" s="49" t="s">
        <v>6</v>
      </c>
      <c r="AT4" s="49" t="s">
        <v>8</v>
      </c>
      <c r="AU4" s="50" t="s">
        <v>10</v>
      </c>
      <c r="AV4" s="48" t="s">
        <v>13</v>
      </c>
      <c r="AW4" s="49" t="s">
        <v>14</v>
      </c>
      <c r="AX4" s="49" t="s">
        <v>15</v>
      </c>
      <c r="AY4" s="49" t="s">
        <v>16</v>
      </c>
      <c r="AZ4" s="49" t="s">
        <v>17</v>
      </c>
      <c r="BA4" s="49" t="s">
        <v>18</v>
      </c>
      <c r="BB4" s="49" t="s">
        <v>19</v>
      </c>
      <c r="BC4" s="49" t="s">
        <v>20</v>
      </c>
      <c r="BD4" s="49" t="s">
        <v>5</v>
      </c>
      <c r="BE4" s="49" t="s">
        <v>6</v>
      </c>
      <c r="BF4" s="49" t="s">
        <v>8</v>
      </c>
      <c r="BG4" s="50" t="s">
        <v>10</v>
      </c>
      <c r="BH4" s="48" t="s">
        <v>13</v>
      </c>
      <c r="BI4" s="49" t="s">
        <v>14</v>
      </c>
      <c r="BJ4" s="49" t="s">
        <v>15</v>
      </c>
      <c r="BK4" s="49" t="s">
        <v>16</v>
      </c>
      <c r="BL4" s="49" t="s">
        <v>17</v>
      </c>
      <c r="BM4" s="49" t="s">
        <v>18</v>
      </c>
      <c r="BN4" s="49" t="s">
        <v>19</v>
      </c>
      <c r="BO4" s="49" t="s">
        <v>20</v>
      </c>
      <c r="BP4" s="49" t="s">
        <v>5</v>
      </c>
      <c r="BQ4" s="49" t="s">
        <v>6</v>
      </c>
      <c r="BR4" s="49" t="s">
        <v>8</v>
      </c>
      <c r="BS4" s="50" t="s">
        <v>10</v>
      </c>
      <c r="BT4" s="48" t="s">
        <v>13</v>
      </c>
      <c r="BU4" s="49" t="s">
        <v>14</v>
      </c>
      <c r="BV4" s="49" t="s">
        <v>15</v>
      </c>
      <c r="BW4" s="49" t="s">
        <v>16</v>
      </c>
      <c r="BX4" s="49" t="s">
        <v>17</v>
      </c>
      <c r="BY4" s="49" t="s">
        <v>18</v>
      </c>
      <c r="BZ4" s="49" t="s">
        <v>19</v>
      </c>
      <c r="CA4" s="49" t="s">
        <v>20</v>
      </c>
      <c r="CB4" s="49" t="s">
        <v>5</v>
      </c>
      <c r="CC4" s="49" t="s">
        <v>6</v>
      </c>
      <c r="CD4" s="49" t="s">
        <v>8</v>
      </c>
      <c r="CE4" s="196" t="s">
        <v>10</v>
      </c>
    </row>
    <row r="5" spans="1:83" ht="17" thickTop="1" x14ac:dyDescent="0.45">
      <c r="A5" s="223" t="s">
        <v>166</v>
      </c>
      <c r="B5" s="223" t="s">
        <v>318</v>
      </c>
      <c r="C5" s="197"/>
      <c r="D5" s="261" t="s">
        <v>167</v>
      </c>
      <c r="E5" s="198"/>
      <c r="F5" s="263" t="s">
        <v>24</v>
      </c>
      <c r="G5" s="223" t="s">
        <v>63</v>
      </c>
      <c r="H5" s="223" t="s">
        <v>58</v>
      </c>
      <c r="I5" s="264" t="s">
        <v>64</v>
      </c>
      <c r="J5" s="199" t="s">
        <v>22</v>
      </c>
      <c r="K5" s="391">
        <f>AVERAGE(L5:AX5,BC5:CE5)</f>
        <v>2.2647058823529411</v>
      </c>
      <c r="L5" s="200">
        <v>5</v>
      </c>
      <c r="M5" s="201">
        <v>1</v>
      </c>
      <c r="N5" s="201">
        <v>4</v>
      </c>
      <c r="O5" s="201">
        <v>2</v>
      </c>
      <c r="P5" s="201">
        <v>2</v>
      </c>
      <c r="Q5" s="201">
        <v>0</v>
      </c>
      <c r="R5" s="201">
        <v>1</v>
      </c>
      <c r="S5" s="201">
        <v>2</v>
      </c>
      <c r="T5" s="201">
        <v>3</v>
      </c>
      <c r="U5" s="201">
        <v>1</v>
      </c>
      <c r="V5" s="201">
        <v>3</v>
      </c>
      <c r="W5" s="201">
        <v>2</v>
      </c>
      <c r="X5" s="202">
        <v>7</v>
      </c>
      <c r="Y5" s="203">
        <v>1</v>
      </c>
      <c r="Z5" s="203">
        <v>1</v>
      </c>
      <c r="AA5" s="203">
        <v>3</v>
      </c>
      <c r="AB5" s="203">
        <v>1</v>
      </c>
      <c r="AC5" s="203">
        <v>2</v>
      </c>
      <c r="AD5" s="203">
        <v>4</v>
      </c>
      <c r="AE5" s="203">
        <v>1</v>
      </c>
      <c r="AF5" s="203">
        <v>3</v>
      </c>
      <c r="AG5" s="203">
        <v>1</v>
      </c>
      <c r="AH5" s="203">
        <v>1</v>
      </c>
      <c r="AI5" s="204">
        <v>3</v>
      </c>
      <c r="AJ5" s="203">
        <v>2</v>
      </c>
      <c r="AK5" s="203">
        <v>2</v>
      </c>
      <c r="AL5" s="203">
        <v>4</v>
      </c>
      <c r="AM5" s="203">
        <v>3</v>
      </c>
      <c r="AN5" s="203">
        <v>2</v>
      </c>
      <c r="AO5" s="203">
        <v>3</v>
      </c>
      <c r="AP5" s="203">
        <v>2</v>
      </c>
      <c r="AQ5" s="203">
        <v>1</v>
      </c>
      <c r="AR5" s="203">
        <v>3</v>
      </c>
      <c r="AS5" s="203">
        <v>3</v>
      </c>
      <c r="AT5" s="203">
        <v>2</v>
      </c>
      <c r="AU5" s="203">
        <v>4</v>
      </c>
      <c r="AV5" s="205">
        <v>5</v>
      </c>
      <c r="AW5" s="206">
        <v>4</v>
      </c>
      <c r="AX5" s="207">
        <v>4</v>
      </c>
      <c r="AY5" s="288" t="s">
        <v>66</v>
      </c>
      <c r="AZ5" s="289"/>
      <c r="BA5" s="284" t="s">
        <v>31</v>
      </c>
      <c r="BB5" s="285"/>
      <c r="BC5" s="208">
        <v>3</v>
      </c>
      <c r="BD5" s="206">
        <v>4</v>
      </c>
      <c r="BE5" s="206">
        <v>1</v>
      </c>
      <c r="BF5" s="206">
        <v>0</v>
      </c>
      <c r="BG5" s="209">
        <v>3</v>
      </c>
      <c r="BH5" s="203">
        <v>3</v>
      </c>
      <c r="BI5" s="203">
        <v>0</v>
      </c>
      <c r="BJ5" s="203">
        <v>4</v>
      </c>
      <c r="BK5" s="203">
        <v>1</v>
      </c>
      <c r="BL5" s="203">
        <v>0</v>
      </c>
      <c r="BM5" s="203">
        <v>4</v>
      </c>
      <c r="BN5" s="203">
        <v>1</v>
      </c>
      <c r="BO5" s="203">
        <v>1</v>
      </c>
      <c r="BP5" s="203">
        <v>3</v>
      </c>
      <c r="BQ5" s="203">
        <v>1</v>
      </c>
      <c r="BR5" s="203">
        <v>2</v>
      </c>
      <c r="BS5" s="203">
        <v>1</v>
      </c>
      <c r="BT5" s="202">
        <v>3</v>
      </c>
      <c r="BU5" s="203">
        <v>3</v>
      </c>
      <c r="BV5" s="203">
        <v>1</v>
      </c>
      <c r="BW5" s="203">
        <v>3</v>
      </c>
      <c r="BX5" s="203">
        <v>2</v>
      </c>
      <c r="BY5" s="203">
        <v>5</v>
      </c>
      <c r="BZ5" s="203">
        <v>0</v>
      </c>
      <c r="CA5" s="203">
        <v>1</v>
      </c>
      <c r="CB5" s="203">
        <v>3</v>
      </c>
      <c r="CC5" s="210">
        <v>2</v>
      </c>
      <c r="CD5" s="210">
        <v>0</v>
      </c>
      <c r="CE5" s="211">
        <v>1</v>
      </c>
    </row>
    <row r="6" spans="1:83" ht="17" thickBot="1" x14ac:dyDescent="0.5">
      <c r="A6" s="221"/>
      <c r="B6" s="221"/>
      <c r="C6" s="187"/>
      <c r="D6" s="262"/>
      <c r="E6" s="1"/>
      <c r="F6" s="228"/>
      <c r="G6" s="222"/>
      <c r="H6" s="222"/>
      <c r="I6" s="239"/>
      <c r="J6" s="55" t="s">
        <v>175</v>
      </c>
      <c r="K6" s="392"/>
      <c r="L6" s="240">
        <v>14</v>
      </c>
      <c r="M6" s="241"/>
      <c r="N6" s="241"/>
      <c r="O6" s="241"/>
      <c r="P6" s="241"/>
      <c r="Q6" s="241"/>
      <c r="R6" s="241">
        <v>12</v>
      </c>
      <c r="S6" s="241"/>
      <c r="T6" s="241"/>
      <c r="U6" s="241"/>
      <c r="V6" s="241"/>
      <c r="W6" s="241"/>
      <c r="X6" s="229">
        <v>15</v>
      </c>
      <c r="Y6" s="230"/>
      <c r="Z6" s="230"/>
      <c r="AA6" s="230"/>
      <c r="AB6" s="230"/>
      <c r="AC6" s="230"/>
      <c r="AD6" s="230">
        <v>13</v>
      </c>
      <c r="AE6" s="230"/>
      <c r="AF6" s="230"/>
      <c r="AG6" s="230"/>
      <c r="AH6" s="230"/>
      <c r="AI6" s="242"/>
      <c r="AJ6" s="230">
        <v>16</v>
      </c>
      <c r="AK6" s="230"/>
      <c r="AL6" s="230"/>
      <c r="AM6" s="230"/>
      <c r="AN6" s="230"/>
      <c r="AO6" s="230"/>
      <c r="AP6" s="230">
        <v>15</v>
      </c>
      <c r="AQ6" s="230"/>
      <c r="AR6" s="230"/>
      <c r="AS6" s="230"/>
      <c r="AT6" s="230"/>
      <c r="AU6" s="230"/>
      <c r="AV6" s="129"/>
      <c r="AW6" s="122"/>
      <c r="AX6" s="121"/>
      <c r="AY6" s="290"/>
      <c r="AZ6" s="291"/>
      <c r="BA6" s="286"/>
      <c r="BB6" s="287"/>
      <c r="BC6" s="120"/>
      <c r="BD6" s="122"/>
      <c r="BE6" s="122"/>
      <c r="BF6" s="122"/>
      <c r="BG6" s="130"/>
      <c r="BH6" s="230">
        <v>12</v>
      </c>
      <c r="BI6" s="230"/>
      <c r="BJ6" s="230"/>
      <c r="BK6" s="230"/>
      <c r="BL6" s="230"/>
      <c r="BM6" s="230"/>
      <c r="BN6" s="230">
        <v>9</v>
      </c>
      <c r="BO6" s="230"/>
      <c r="BP6" s="230"/>
      <c r="BQ6" s="230"/>
      <c r="BR6" s="230"/>
      <c r="BS6" s="230"/>
      <c r="BT6" s="229">
        <v>17</v>
      </c>
      <c r="BU6" s="230"/>
      <c r="BV6" s="230"/>
      <c r="BW6" s="230"/>
      <c r="BX6" s="230"/>
      <c r="BY6" s="230"/>
      <c r="BZ6" s="230">
        <v>7</v>
      </c>
      <c r="CA6" s="230"/>
      <c r="CB6" s="230"/>
      <c r="CC6" s="230"/>
      <c r="CD6" s="230"/>
      <c r="CE6" s="237"/>
    </row>
    <row r="7" spans="1:83" ht="16.5" customHeight="1" x14ac:dyDescent="0.45">
      <c r="A7" s="221"/>
      <c r="B7" s="221"/>
      <c r="C7" s="187"/>
      <c r="D7" s="283" t="s">
        <v>168</v>
      </c>
      <c r="E7" s="56"/>
      <c r="F7" s="227" t="s">
        <v>38</v>
      </c>
      <c r="G7" s="220" t="s">
        <v>54</v>
      </c>
      <c r="H7" s="220" t="s">
        <v>55</v>
      </c>
      <c r="I7" s="238" t="s">
        <v>60</v>
      </c>
      <c r="J7" s="47" t="s">
        <v>22</v>
      </c>
      <c r="K7" s="393">
        <f>AVERAGE(L7:AS7, AX7:CE7)</f>
        <v>2.3970588235294117</v>
      </c>
      <c r="L7" s="51">
        <v>1</v>
      </c>
      <c r="M7" s="52">
        <v>1</v>
      </c>
      <c r="N7" s="52">
        <v>1</v>
      </c>
      <c r="O7" s="52">
        <v>1</v>
      </c>
      <c r="P7" s="52">
        <v>0</v>
      </c>
      <c r="Q7" s="52">
        <v>3</v>
      </c>
      <c r="R7" s="52">
        <v>2</v>
      </c>
      <c r="S7" s="52">
        <v>3</v>
      </c>
      <c r="T7" s="52">
        <v>1</v>
      </c>
      <c r="U7" s="52">
        <v>2</v>
      </c>
      <c r="V7" s="52">
        <v>1</v>
      </c>
      <c r="W7" s="52">
        <v>4</v>
      </c>
      <c r="X7" s="140">
        <v>3</v>
      </c>
      <c r="Y7" s="53">
        <v>2</v>
      </c>
      <c r="Z7" s="53">
        <v>4</v>
      </c>
      <c r="AA7" s="53">
        <v>4</v>
      </c>
      <c r="AB7" s="53">
        <v>3</v>
      </c>
      <c r="AC7" s="53">
        <v>4</v>
      </c>
      <c r="AD7" s="53">
        <v>2</v>
      </c>
      <c r="AE7" s="53">
        <v>1</v>
      </c>
      <c r="AF7" s="53">
        <v>5</v>
      </c>
      <c r="AG7" s="5">
        <v>2</v>
      </c>
      <c r="AH7" s="5">
        <v>2</v>
      </c>
      <c r="AI7" s="131">
        <v>1</v>
      </c>
      <c r="AJ7" s="80">
        <v>7</v>
      </c>
      <c r="AK7" s="80">
        <v>3</v>
      </c>
      <c r="AL7" s="80">
        <v>4</v>
      </c>
      <c r="AM7" s="80">
        <v>5</v>
      </c>
      <c r="AN7" s="80">
        <v>1</v>
      </c>
      <c r="AO7" s="80">
        <v>4</v>
      </c>
      <c r="AP7" s="127">
        <v>3</v>
      </c>
      <c r="AQ7" s="127">
        <v>3</v>
      </c>
      <c r="AR7" s="127">
        <v>2</v>
      </c>
      <c r="AS7" s="128">
        <v>1</v>
      </c>
      <c r="AT7" s="292" t="s">
        <v>66</v>
      </c>
      <c r="AU7" s="293"/>
      <c r="AV7" s="295" t="s">
        <v>31</v>
      </c>
      <c r="AW7" s="250"/>
      <c r="AX7" s="146">
        <v>1</v>
      </c>
      <c r="AY7" s="147">
        <v>1</v>
      </c>
      <c r="AZ7" s="147">
        <v>2</v>
      </c>
      <c r="BA7" s="147">
        <v>1</v>
      </c>
      <c r="BB7" s="80">
        <v>2</v>
      </c>
      <c r="BC7" s="80">
        <v>2</v>
      </c>
      <c r="BD7" s="80">
        <v>0</v>
      </c>
      <c r="BE7" s="80">
        <v>2</v>
      </c>
      <c r="BF7" s="80">
        <v>3</v>
      </c>
      <c r="BG7" s="137">
        <v>2</v>
      </c>
      <c r="BH7" s="136">
        <v>2</v>
      </c>
      <c r="BI7" s="80">
        <v>2</v>
      </c>
      <c r="BJ7" s="80">
        <v>3</v>
      </c>
      <c r="BK7" s="80">
        <v>1</v>
      </c>
      <c r="BL7" s="80">
        <v>1</v>
      </c>
      <c r="BM7" s="80">
        <v>1</v>
      </c>
      <c r="BN7" s="80">
        <v>0</v>
      </c>
      <c r="BO7" s="80">
        <v>3</v>
      </c>
      <c r="BP7" s="80">
        <v>1</v>
      </c>
      <c r="BQ7" s="80">
        <v>1</v>
      </c>
      <c r="BR7" s="80">
        <v>2</v>
      </c>
      <c r="BS7" s="80">
        <v>3</v>
      </c>
      <c r="BT7" s="136">
        <v>4</v>
      </c>
      <c r="BU7" s="80">
        <v>2</v>
      </c>
      <c r="BV7" s="80">
        <v>0</v>
      </c>
      <c r="BW7" s="80">
        <v>4</v>
      </c>
      <c r="BX7" s="80">
        <v>4</v>
      </c>
      <c r="BY7" s="80">
        <v>4</v>
      </c>
      <c r="BZ7" s="80">
        <v>3</v>
      </c>
      <c r="CA7" s="80">
        <v>5</v>
      </c>
      <c r="CB7" s="80">
        <v>5</v>
      </c>
      <c r="CC7" s="80">
        <v>3</v>
      </c>
      <c r="CD7" s="80">
        <v>4</v>
      </c>
      <c r="CE7" s="81">
        <v>3</v>
      </c>
    </row>
    <row r="8" spans="1:83" ht="16.5" customHeight="1" thickBot="1" x14ac:dyDescent="0.5">
      <c r="A8" s="221"/>
      <c r="B8" s="221"/>
      <c r="C8" s="187"/>
      <c r="D8" s="262"/>
      <c r="E8" s="3"/>
      <c r="F8" s="228"/>
      <c r="G8" s="222"/>
      <c r="H8" s="222"/>
      <c r="I8" s="239"/>
      <c r="J8" s="55" t="s">
        <v>175</v>
      </c>
      <c r="K8" s="392"/>
      <c r="L8" s="229">
        <v>7</v>
      </c>
      <c r="M8" s="230"/>
      <c r="N8" s="230"/>
      <c r="O8" s="230"/>
      <c r="P8" s="230"/>
      <c r="Q8" s="230"/>
      <c r="R8" s="230">
        <v>13</v>
      </c>
      <c r="S8" s="230"/>
      <c r="T8" s="230"/>
      <c r="U8" s="230"/>
      <c r="V8" s="230"/>
      <c r="W8" s="230"/>
      <c r="X8" s="231">
        <v>20</v>
      </c>
      <c r="Y8" s="232"/>
      <c r="Z8" s="232"/>
      <c r="AA8" s="232"/>
      <c r="AB8" s="232"/>
      <c r="AC8" s="232"/>
      <c r="AD8" s="232">
        <v>13</v>
      </c>
      <c r="AE8" s="232"/>
      <c r="AF8" s="232"/>
      <c r="AG8" s="232"/>
      <c r="AH8" s="232"/>
      <c r="AI8" s="233"/>
      <c r="AJ8" s="232">
        <v>24</v>
      </c>
      <c r="AK8" s="232"/>
      <c r="AL8" s="232"/>
      <c r="AM8" s="232"/>
      <c r="AN8" s="232"/>
      <c r="AO8" s="232"/>
      <c r="AP8" s="122"/>
      <c r="AQ8" s="122"/>
      <c r="AR8" s="122"/>
      <c r="AS8" s="121"/>
      <c r="AT8" s="290"/>
      <c r="AU8" s="294"/>
      <c r="AV8" s="296"/>
      <c r="AW8" s="287"/>
      <c r="AX8" s="123"/>
      <c r="AY8" s="124"/>
      <c r="AZ8" s="124"/>
      <c r="BA8" s="124"/>
      <c r="BB8" s="232">
        <v>11</v>
      </c>
      <c r="BC8" s="232"/>
      <c r="BD8" s="232"/>
      <c r="BE8" s="232"/>
      <c r="BF8" s="232"/>
      <c r="BG8" s="233"/>
      <c r="BH8" s="232">
        <v>10</v>
      </c>
      <c r="BI8" s="232"/>
      <c r="BJ8" s="232"/>
      <c r="BK8" s="232"/>
      <c r="BL8" s="232"/>
      <c r="BM8" s="232"/>
      <c r="BN8" s="232">
        <v>10</v>
      </c>
      <c r="BO8" s="232"/>
      <c r="BP8" s="232"/>
      <c r="BQ8" s="232"/>
      <c r="BR8" s="232"/>
      <c r="BS8" s="232"/>
      <c r="BT8" s="231">
        <v>18</v>
      </c>
      <c r="BU8" s="232"/>
      <c r="BV8" s="232"/>
      <c r="BW8" s="232"/>
      <c r="BX8" s="232"/>
      <c r="BY8" s="232"/>
      <c r="BZ8" s="232">
        <v>23</v>
      </c>
      <c r="CA8" s="232"/>
      <c r="CB8" s="232"/>
      <c r="CC8" s="232"/>
      <c r="CD8" s="232"/>
      <c r="CE8" s="234"/>
    </row>
    <row r="9" spans="1:83" ht="16.5" customHeight="1" x14ac:dyDescent="0.45">
      <c r="A9" s="221"/>
      <c r="B9" s="221"/>
      <c r="C9" s="187"/>
      <c r="D9" s="283" t="s">
        <v>169</v>
      </c>
      <c r="E9" s="56"/>
      <c r="F9" s="227" t="s">
        <v>39</v>
      </c>
      <c r="G9" s="220" t="s">
        <v>61</v>
      </c>
      <c r="H9" s="220" t="s">
        <v>55</v>
      </c>
      <c r="I9" s="238" t="s">
        <v>62</v>
      </c>
      <c r="J9" s="47" t="s">
        <v>22</v>
      </c>
      <c r="K9" s="393">
        <f>AVERAGE(L9:BS9,BW9:CE9)</f>
        <v>1.3478260869565217</v>
      </c>
      <c r="L9" s="51">
        <v>0</v>
      </c>
      <c r="M9" s="52">
        <v>1</v>
      </c>
      <c r="N9" s="52">
        <v>1</v>
      </c>
      <c r="O9" s="52">
        <v>0</v>
      </c>
      <c r="P9" s="52">
        <v>1</v>
      </c>
      <c r="Q9" s="52">
        <v>0</v>
      </c>
      <c r="R9" s="52">
        <v>2</v>
      </c>
      <c r="S9" s="52">
        <v>1</v>
      </c>
      <c r="T9" s="52">
        <v>0</v>
      </c>
      <c r="U9" s="52">
        <v>3</v>
      </c>
      <c r="V9" s="52">
        <v>4</v>
      </c>
      <c r="W9" s="52">
        <v>1</v>
      </c>
      <c r="X9" s="132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31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32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31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299" t="s">
        <v>66</v>
      </c>
      <c r="BU9" s="249" t="s">
        <v>31</v>
      </c>
      <c r="BV9" s="250"/>
      <c r="BW9" s="126">
        <v>0</v>
      </c>
      <c r="BX9" s="127">
        <v>0</v>
      </c>
      <c r="BY9" s="127">
        <v>0</v>
      </c>
      <c r="BZ9" s="80">
        <v>0</v>
      </c>
      <c r="CA9" s="80">
        <v>3</v>
      </c>
      <c r="CB9" s="80">
        <v>1</v>
      </c>
      <c r="CC9" s="80">
        <v>0</v>
      </c>
      <c r="CD9" s="80">
        <v>1</v>
      </c>
      <c r="CE9" s="81">
        <v>0</v>
      </c>
    </row>
    <row r="10" spans="1:83" ht="16.5" customHeight="1" thickBot="1" x14ac:dyDescent="0.5">
      <c r="A10" s="221"/>
      <c r="B10" s="221"/>
      <c r="C10" s="187"/>
      <c r="D10" s="262"/>
      <c r="E10" s="3"/>
      <c r="F10" s="228"/>
      <c r="G10" s="222"/>
      <c r="H10" s="222"/>
      <c r="I10" s="239"/>
      <c r="J10" s="55" t="s">
        <v>175</v>
      </c>
      <c r="K10" s="394"/>
      <c r="L10" s="301">
        <v>3</v>
      </c>
      <c r="M10" s="302"/>
      <c r="N10" s="302"/>
      <c r="O10" s="302"/>
      <c r="P10" s="302"/>
      <c r="Q10" s="302"/>
      <c r="R10" s="302">
        <v>11</v>
      </c>
      <c r="S10" s="302"/>
      <c r="T10" s="302"/>
      <c r="U10" s="302"/>
      <c r="V10" s="302"/>
      <c r="W10" s="302"/>
      <c r="X10" s="303">
        <v>10</v>
      </c>
      <c r="Y10" s="297"/>
      <c r="Z10" s="297"/>
      <c r="AA10" s="297"/>
      <c r="AB10" s="297"/>
      <c r="AC10" s="297"/>
      <c r="AD10" s="297">
        <v>13</v>
      </c>
      <c r="AE10" s="297"/>
      <c r="AF10" s="297"/>
      <c r="AG10" s="297"/>
      <c r="AH10" s="297"/>
      <c r="AI10" s="298"/>
      <c r="AJ10" s="297">
        <v>6</v>
      </c>
      <c r="AK10" s="297"/>
      <c r="AL10" s="297"/>
      <c r="AM10" s="297"/>
      <c r="AN10" s="297"/>
      <c r="AO10" s="297"/>
      <c r="AP10" s="297">
        <v>9</v>
      </c>
      <c r="AQ10" s="297"/>
      <c r="AR10" s="297"/>
      <c r="AS10" s="297"/>
      <c r="AT10" s="297"/>
      <c r="AU10" s="297"/>
      <c r="AV10" s="303">
        <v>11</v>
      </c>
      <c r="AW10" s="297"/>
      <c r="AX10" s="297"/>
      <c r="AY10" s="297"/>
      <c r="AZ10" s="297"/>
      <c r="BA10" s="297"/>
      <c r="BB10" s="297">
        <v>13</v>
      </c>
      <c r="BC10" s="297"/>
      <c r="BD10" s="297"/>
      <c r="BE10" s="297"/>
      <c r="BF10" s="297"/>
      <c r="BG10" s="298"/>
      <c r="BH10" s="232">
        <v>7</v>
      </c>
      <c r="BI10" s="232"/>
      <c r="BJ10" s="232"/>
      <c r="BK10" s="232"/>
      <c r="BL10" s="232"/>
      <c r="BM10" s="232"/>
      <c r="BN10" s="232">
        <v>5</v>
      </c>
      <c r="BO10" s="232"/>
      <c r="BP10" s="232"/>
      <c r="BQ10" s="232"/>
      <c r="BR10" s="232"/>
      <c r="BS10" s="232"/>
      <c r="BT10" s="300"/>
      <c r="BU10" s="286"/>
      <c r="BV10" s="287"/>
      <c r="BW10" s="120"/>
      <c r="BX10" s="122"/>
      <c r="BY10" s="122"/>
      <c r="BZ10" s="232">
        <v>5</v>
      </c>
      <c r="CA10" s="232"/>
      <c r="CB10" s="232"/>
      <c r="CC10" s="232"/>
      <c r="CD10" s="232"/>
      <c r="CE10" s="234"/>
    </row>
    <row r="11" spans="1:83" ht="16.5" customHeight="1" x14ac:dyDescent="0.45">
      <c r="A11" s="221"/>
      <c r="B11" s="221"/>
      <c r="C11" s="187"/>
      <c r="D11" s="283" t="s">
        <v>170</v>
      </c>
      <c r="E11" s="56"/>
      <c r="F11" s="220" t="s">
        <v>40</v>
      </c>
      <c r="G11" s="220" t="s">
        <v>65</v>
      </c>
      <c r="H11" s="220" t="s">
        <v>58</v>
      </c>
      <c r="I11" s="238" t="s">
        <v>61</v>
      </c>
      <c r="J11" s="47" t="s">
        <v>22</v>
      </c>
      <c r="K11" s="393">
        <f>AVERAGE(L11:BH11,BL11:CE11)</f>
        <v>0.21739130434782608</v>
      </c>
      <c r="L11" s="76">
        <v>1</v>
      </c>
      <c r="M11" s="77">
        <v>0</v>
      </c>
      <c r="N11" s="77">
        <v>0</v>
      </c>
      <c r="O11" s="77">
        <v>0</v>
      </c>
      <c r="P11" s="77">
        <v>2</v>
      </c>
      <c r="Q11" s="77">
        <v>0</v>
      </c>
      <c r="R11" s="52">
        <v>0</v>
      </c>
      <c r="S11" s="52">
        <v>1</v>
      </c>
      <c r="T11" s="52">
        <v>0</v>
      </c>
      <c r="U11" s="52">
        <v>1</v>
      </c>
      <c r="V11" s="52">
        <v>0</v>
      </c>
      <c r="W11" s="52">
        <v>0</v>
      </c>
      <c r="X11" s="132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31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32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31">
        <v>0</v>
      </c>
      <c r="BH11" s="148">
        <v>0</v>
      </c>
      <c r="BI11" s="247" t="s">
        <v>176</v>
      </c>
      <c r="BJ11" s="249" t="s">
        <v>31</v>
      </c>
      <c r="BK11" s="250"/>
      <c r="BL11" s="126">
        <v>0</v>
      </c>
      <c r="BM11" s="127">
        <v>0</v>
      </c>
      <c r="BN11" s="80">
        <v>0</v>
      </c>
      <c r="BO11" s="80">
        <v>0</v>
      </c>
      <c r="BP11" s="80">
        <v>0</v>
      </c>
      <c r="BQ11" s="80">
        <v>0</v>
      </c>
      <c r="BR11" s="80">
        <v>1</v>
      </c>
      <c r="BS11" s="80">
        <v>0</v>
      </c>
      <c r="BT11" s="136">
        <v>0</v>
      </c>
      <c r="BU11" s="80">
        <v>0</v>
      </c>
      <c r="BV11" s="80">
        <v>0</v>
      </c>
      <c r="BW11" s="80">
        <v>0</v>
      </c>
      <c r="BX11" s="80">
        <v>0</v>
      </c>
      <c r="BY11" s="80">
        <v>1</v>
      </c>
      <c r="BZ11" s="80">
        <v>0</v>
      </c>
      <c r="CA11" s="80">
        <v>0</v>
      </c>
      <c r="CB11" s="80">
        <v>1</v>
      </c>
      <c r="CC11" s="80">
        <v>0</v>
      </c>
      <c r="CD11" s="80">
        <v>0</v>
      </c>
      <c r="CE11" s="81">
        <v>1</v>
      </c>
    </row>
    <row r="12" spans="1:83" ht="16.5" customHeight="1" thickBot="1" x14ac:dyDescent="0.5">
      <c r="A12" s="221"/>
      <c r="B12" s="221"/>
      <c r="C12" s="187"/>
      <c r="D12" s="262"/>
      <c r="E12" s="3"/>
      <c r="F12" s="222"/>
      <c r="G12" s="222"/>
      <c r="H12" s="222"/>
      <c r="I12" s="239"/>
      <c r="J12" s="55" t="s">
        <v>175</v>
      </c>
      <c r="K12" s="392"/>
      <c r="L12" s="229">
        <v>3</v>
      </c>
      <c r="M12" s="230"/>
      <c r="N12" s="230"/>
      <c r="O12" s="230"/>
      <c r="P12" s="230"/>
      <c r="Q12" s="230"/>
      <c r="R12" s="302">
        <v>2</v>
      </c>
      <c r="S12" s="302"/>
      <c r="T12" s="302"/>
      <c r="U12" s="302"/>
      <c r="V12" s="302"/>
      <c r="W12" s="302"/>
      <c r="X12" s="303">
        <v>1</v>
      </c>
      <c r="Y12" s="297"/>
      <c r="Z12" s="297"/>
      <c r="AA12" s="297"/>
      <c r="AB12" s="297"/>
      <c r="AC12" s="297"/>
      <c r="AD12" s="297">
        <v>2</v>
      </c>
      <c r="AE12" s="297"/>
      <c r="AF12" s="297"/>
      <c r="AG12" s="297"/>
      <c r="AH12" s="297"/>
      <c r="AI12" s="298"/>
      <c r="AJ12" s="297">
        <v>1</v>
      </c>
      <c r="AK12" s="297"/>
      <c r="AL12" s="297"/>
      <c r="AM12" s="297"/>
      <c r="AN12" s="297"/>
      <c r="AO12" s="297"/>
      <c r="AP12" s="297">
        <v>1</v>
      </c>
      <c r="AQ12" s="297"/>
      <c r="AR12" s="297"/>
      <c r="AS12" s="297"/>
      <c r="AT12" s="297"/>
      <c r="AU12" s="297"/>
      <c r="AV12" s="303">
        <v>1</v>
      </c>
      <c r="AW12" s="297"/>
      <c r="AX12" s="297"/>
      <c r="AY12" s="297"/>
      <c r="AZ12" s="297"/>
      <c r="BA12" s="297"/>
      <c r="BB12" s="297">
        <v>0</v>
      </c>
      <c r="BC12" s="297"/>
      <c r="BD12" s="297"/>
      <c r="BE12" s="297"/>
      <c r="BF12" s="297"/>
      <c r="BG12" s="298"/>
      <c r="BH12" s="124"/>
      <c r="BI12" s="304"/>
      <c r="BJ12" s="286"/>
      <c r="BK12" s="287"/>
      <c r="BL12" s="120"/>
      <c r="BM12" s="122"/>
      <c r="BN12" s="232">
        <v>1</v>
      </c>
      <c r="BO12" s="232"/>
      <c r="BP12" s="232"/>
      <c r="BQ12" s="232"/>
      <c r="BR12" s="232"/>
      <c r="BS12" s="232"/>
      <c r="BT12" s="231">
        <v>1</v>
      </c>
      <c r="BU12" s="232"/>
      <c r="BV12" s="232"/>
      <c r="BW12" s="232"/>
      <c r="BX12" s="232"/>
      <c r="BY12" s="232"/>
      <c r="BZ12" s="232">
        <v>2</v>
      </c>
      <c r="CA12" s="232"/>
      <c r="CB12" s="232"/>
      <c r="CC12" s="232"/>
      <c r="CD12" s="232"/>
      <c r="CE12" s="234"/>
    </row>
    <row r="13" spans="1:83" ht="16.5" customHeight="1" x14ac:dyDescent="0.45">
      <c r="A13" s="221"/>
      <c r="B13" s="221"/>
      <c r="C13" s="187"/>
      <c r="D13" s="283" t="s">
        <v>171</v>
      </c>
      <c r="E13" s="56"/>
      <c r="F13" s="227" t="s">
        <v>33</v>
      </c>
      <c r="G13" s="220" t="s">
        <v>69</v>
      </c>
      <c r="H13" s="220" t="s">
        <v>58</v>
      </c>
      <c r="I13" s="238" t="s">
        <v>70</v>
      </c>
      <c r="J13" s="47" t="s">
        <v>22</v>
      </c>
      <c r="K13" s="393">
        <f>AVERAGE(L13:BP13,BU13:CE13)</f>
        <v>0.35294117647058826</v>
      </c>
      <c r="L13" s="51">
        <v>2</v>
      </c>
      <c r="M13" s="52">
        <v>0</v>
      </c>
      <c r="N13" s="52">
        <v>0</v>
      </c>
      <c r="O13" s="52">
        <v>0</v>
      </c>
      <c r="P13" s="52">
        <v>0</v>
      </c>
      <c r="Q13" s="52">
        <v>1</v>
      </c>
      <c r="R13" s="52">
        <v>0</v>
      </c>
      <c r="S13" s="52">
        <v>1</v>
      </c>
      <c r="T13" s="52">
        <v>0</v>
      </c>
      <c r="U13" s="52">
        <v>1</v>
      </c>
      <c r="V13" s="52">
        <v>0</v>
      </c>
      <c r="W13" s="52">
        <v>0</v>
      </c>
      <c r="X13" s="132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31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32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31">
        <v>1</v>
      </c>
      <c r="BH13" s="132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27">
        <v>0</v>
      </c>
      <c r="BO13" s="127">
        <v>0</v>
      </c>
      <c r="BP13" s="128">
        <v>0</v>
      </c>
      <c r="BQ13" s="247" t="s">
        <v>66</v>
      </c>
      <c r="BR13" s="292"/>
      <c r="BS13" s="249" t="s">
        <v>31</v>
      </c>
      <c r="BT13" s="250"/>
      <c r="BU13" s="126">
        <v>0</v>
      </c>
      <c r="BV13" s="127">
        <v>0</v>
      </c>
      <c r="BW13" s="127">
        <v>0</v>
      </c>
      <c r="BX13" s="127">
        <v>1</v>
      </c>
      <c r="BY13" s="127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4">
        <v>0</v>
      </c>
    </row>
    <row r="14" spans="1:83" ht="16.5" customHeight="1" thickBot="1" x14ac:dyDescent="0.5">
      <c r="A14" s="221"/>
      <c r="B14" s="221"/>
      <c r="C14" s="187"/>
      <c r="D14" s="262"/>
      <c r="E14" s="3"/>
      <c r="F14" s="228"/>
      <c r="G14" s="222"/>
      <c r="H14" s="222"/>
      <c r="I14" s="239"/>
      <c r="J14" s="55" t="s">
        <v>175</v>
      </c>
      <c r="K14" s="394"/>
      <c r="L14" s="301">
        <v>3</v>
      </c>
      <c r="M14" s="302"/>
      <c r="N14" s="302"/>
      <c r="O14" s="302"/>
      <c r="P14" s="302"/>
      <c r="Q14" s="302"/>
      <c r="R14" s="302">
        <v>2</v>
      </c>
      <c r="S14" s="302"/>
      <c r="T14" s="302"/>
      <c r="U14" s="302"/>
      <c r="V14" s="302"/>
      <c r="W14" s="302"/>
      <c r="X14" s="303">
        <v>1</v>
      </c>
      <c r="Y14" s="297"/>
      <c r="Z14" s="297"/>
      <c r="AA14" s="297"/>
      <c r="AB14" s="297"/>
      <c r="AC14" s="297"/>
      <c r="AD14" s="297">
        <v>3</v>
      </c>
      <c r="AE14" s="297"/>
      <c r="AF14" s="297"/>
      <c r="AG14" s="297"/>
      <c r="AH14" s="297"/>
      <c r="AI14" s="298"/>
      <c r="AJ14" s="297">
        <v>0</v>
      </c>
      <c r="AK14" s="297"/>
      <c r="AL14" s="297"/>
      <c r="AM14" s="297"/>
      <c r="AN14" s="297"/>
      <c r="AO14" s="297"/>
      <c r="AP14" s="297">
        <v>2</v>
      </c>
      <c r="AQ14" s="297"/>
      <c r="AR14" s="297"/>
      <c r="AS14" s="297"/>
      <c r="AT14" s="297"/>
      <c r="AU14" s="297"/>
      <c r="AV14" s="303">
        <v>4</v>
      </c>
      <c r="AW14" s="297"/>
      <c r="AX14" s="297"/>
      <c r="AY14" s="297"/>
      <c r="AZ14" s="297"/>
      <c r="BA14" s="297"/>
      <c r="BB14" s="297">
        <v>4</v>
      </c>
      <c r="BC14" s="297"/>
      <c r="BD14" s="297"/>
      <c r="BE14" s="297"/>
      <c r="BF14" s="297"/>
      <c r="BG14" s="298"/>
      <c r="BH14" s="303">
        <v>2</v>
      </c>
      <c r="BI14" s="297"/>
      <c r="BJ14" s="297"/>
      <c r="BK14" s="297"/>
      <c r="BL14" s="297"/>
      <c r="BM14" s="297"/>
      <c r="BN14" s="149"/>
      <c r="BO14" s="149"/>
      <c r="BP14" s="150"/>
      <c r="BQ14" s="304"/>
      <c r="BR14" s="290"/>
      <c r="BS14" s="286"/>
      <c r="BT14" s="287"/>
      <c r="BU14" s="120"/>
      <c r="BV14" s="122"/>
      <c r="BW14" s="122"/>
      <c r="BX14" s="122"/>
      <c r="BY14" s="122"/>
      <c r="BZ14" s="297">
        <v>2</v>
      </c>
      <c r="CA14" s="297"/>
      <c r="CB14" s="297"/>
      <c r="CC14" s="297"/>
      <c r="CD14" s="297"/>
      <c r="CE14" s="305"/>
    </row>
    <row r="15" spans="1:83" ht="16.5" customHeight="1" x14ac:dyDescent="0.45">
      <c r="A15" s="221"/>
      <c r="B15" s="221"/>
      <c r="C15" s="187"/>
      <c r="D15" s="283" t="s">
        <v>172</v>
      </c>
      <c r="E15" s="56">
        <v>120.33595</v>
      </c>
      <c r="F15" s="227" t="s">
        <v>177</v>
      </c>
      <c r="G15" s="220" t="s">
        <v>68</v>
      </c>
      <c r="H15" s="220" t="s">
        <v>58</v>
      </c>
      <c r="I15" s="238" t="s">
        <v>63</v>
      </c>
      <c r="J15" s="47" t="s">
        <v>22</v>
      </c>
      <c r="K15" s="393">
        <f>AVERAGE(L15:BQ15,BV15:CE15)</f>
        <v>0.33823529411764708</v>
      </c>
      <c r="L15" s="74">
        <v>0</v>
      </c>
      <c r="M15" s="75">
        <v>0</v>
      </c>
      <c r="N15" s="75">
        <v>0</v>
      </c>
      <c r="O15" s="75">
        <v>0</v>
      </c>
      <c r="P15" s="75">
        <v>2</v>
      </c>
      <c r="Q15" s="75">
        <v>0</v>
      </c>
      <c r="R15" s="75">
        <v>0</v>
      </c>
      <c r="S15" s="75">
        <v>0</v>
      </c>
      <c r="T15" s="75">
        <v>0</v>
      </c>
      <c r="U15" s="75">
        <v>0</v>
      </c>
      <c r="V15" s="75">
        <v>0</v>
      </c>
      <c r="W15" s="75">
        <v>1</v>
      </c>
      <c r="X15" s="133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34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33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34">
        <v>1</v>
      </c>
      <c r="BH15" s="140">
        <v>0</v>
      </c>
      <c r="BI15" s="53">
        <v>1</v>
      </c>
      <c r="BJ15" s="53">
        <v>0</v>
      </c>
      <c r="BK15" s="53">
        <v>0</v>
      </c>
      <c r="BL15" s="53">
        <v>0</v>
      </c>
      <c r="BM15" s="53">
        <v>0</v>
      </c>
      <c r="BN15" s="127">
        <v>0</v>
      </c>
      <c r="BO15" s="127">
        <v>0</v>
      </c>
      <c r="BP15" s="127">
        <v>1</v>
      </c>
      <c r="BQ15" s="128">
        <v>0</v>
      </c>
      <c r="BR15" s="247" t="s">
        <v>66</v>
      </c>
      <c r="BS15" s="292"/>
      <c r="BT15" s="295" t="s">
        <v>31</v>
      </c>
      <c r="BU15" s="250"/>
      <c r="BV15" s="126">
        <v>1</v>
      </c>
      <c r="BW15" s="127">
        <v>0</v>
      </c>
      <c r="BX15" s="127">
        <v>1</v>
      </c>
      <c r="BY15" s="127">
        <v>0</v>
      </c>
      <c r="BZ15" s="53">
        <v>0</v>
      </c>
      <c r="CA15" s="53">
        <v>0</v>
      </c>
      <c r="CB15" s="53">
        <v>0</v>
      </c>
      <c r="CC15" s="53">
        <v>0</v>
      </c>
      <c r="CD15" s="53">
        <v>0</v>
      </c>
      <c r="CE15" s="105">
        <v>0</v>
      </c>
    </row>
    <row r="16" spans="1:83" ht="16.5" customHeight="1" thickBot="1" x14ac:dyDescent="0.5">
      <c r="A16" s="221"/>
      <c r="B16" s="221"/>
      <c r="C16" s="187"/>
      <c r="D16" s="262"/>
      <c r="E16" s="3">
        <v>22.605309999999999</v>
      </c>
      <c r="F16" s="228"/>
      <c r="G16" s="222"/>
      <c r="H16" s="222"/>
      <c r="I16" s="239"/>
      <c r="J16" s="55" t="s">
        <v>175</v>
      </c>
      <c r="K16" s="394"/>
      <c r="L16" s="301">
        <v>2</v>
      </c>
      <c r="M16" s="302"/>
      <c r="N16" s="302"/>
      <c r="O16" s="302"/>
      <c r="P16" s="302"/>
      <c r="Q16" s="302"/>
      <c r="R16" s="302">
        <v>1</v>
      </c>
      <c r="S16" s="302"/>
      <c r="T16" s="302"/>
      <c r="U16" s="302"/>
      <c r="V16" s="302"/>
      <c r="W16" s="302"/>
      <c r="X16" s="303">
        <v>1</v>
      </c>
      <c r="Y16" s="297"/>
      <c r="Z16" s="297"/>
      <c r="AA16" s="297"/>
      <c r="AB16" s="297"/>
      <c r="AC16" s="297"/>
      <c r="AD16" s="297">
        <v>4</v>
      </c>
      <c r="AE16" s="297"/>
      <c r="AF16" s="297"/>
      <c r="AG16" s="297"/>
      <c r="AH16" s="297"/>
      <c r="AI16" s="298"/>
      <c r="AJ16" s="297">
        <v>5</v>
      </c>
      <c r="AK16" s="297"/>
      <c r="AL16" s="297"/>
      <c r="AM16" s="297"/>
      <c r="AN16" s="297"/>
      <c r="AO16" s="297"/>
      <c r="AP16" s="297">
        <v>1</v>
      </c>
      <c r="AQ16" s="297"/>
      <c r="AR16" s="297"/>
      <c r="AS16" s="297"/>
      <c r="AT16" s="297"/>
      <c r="AU16" s="297"/>
      <c r="AV16" s="303">
        <v>3</v>
      </c>
      <c r="AW16" s="297"/>
      <c r="AX16" s="297"/>
      <c r="AY16" s="297"/>
      <c r="AZ16" s="297"/>
      <c r="BA16" s="297"/>
      <c r="BB16" s="297">
        <v>2</v>
      </c>
      <c r="BC16" s="297"/>
      <c r="BD16" s="297"/>
      <c r="BE16" s="297"/>
      <c r="BF16" s="297"/>
      <c r="BG16" s="298"/>
      <c r="BH16" s="303">
        <v>1</v>
      </c>
      <c r="BI16" s="297"/>
      <c r="BJ16" s="297"/>
      <c r="BK16" s="297"/>
      <c r="BL16" s="297"/>
      <c r="BM16" s="297"/>
      <c r="BN16" s="122"/>
      <c r="BO16" s="122"/>
      <c r="BP16" s="122"/>
      <c r="BQ16" s="121"/>
      <c r="BR16" s="304"/>
      <c r="BS16" s="290"/>
      <c r="BT16" s="296"/>
      <c r="BU16" s="287"/>
      <c r="BV16" s="120"/>
      <c r="BW16" s="122"/>
      <c r="BX16" s="122"/>
      <c r="BY16" s="122"/>
      <c r="BZ16" s="297">
        <v>0</v>
      </c>
      <c r="CA16" s="297"/>
      <c r="CB16" s="297"/>
      <c r="CC16" s="297"/>
      <c r="CD16" s="297"/>
      <c r="CE16" s="305"/>
    </row>
    <row r="17" spans="1:83" ht="16.5" customHeight="1" x14ac:dyDescent="0.45">
      <c r="A17" s="221"/>
      <c r="B17" s="221"/>
      <c r="C17" s="182"/>
      <c r="D17" s="243" t="s">
        <v>173</v>
      </c>
      <c r="E17" s="56"/>
      <c r="F17" s="227" t="s">
        <v>73</v>
      </c>
      <c r="G17" s="220" t="s">
        <v>74</v>
      </c>
      <c r="H17" s="220" t="s">
        <v>58</v>
      </c>
      <c r="I17" s="238" t="s">
        <v>75</v>
      </c>
      <c r="J17" s="188" t="s">
        <v>22</v>
      </c>
      <c r="K17" s="395">
        <f>AVERAGE(L17:BT17,BX17:CE17)</f>
        <v>0.15942028985507245</v>
      </c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2">
        <v>0</v>
      </c>
      <c r="R17" s="52">
        <v>1</v>
      </c>
      <c r="S17" s="52">
        <v>0</v>
      </c>
      <c r="T17" s="52">
        <v>0</v>
      </c>
      <c r="U17" s="52">
        <v>0</v>
      </c>
      <c r="V17" s="52">
        <v>1</v>
      </c>
      <c r="W17" s="52">
        <v>0</v>
      </c>
      <c r="X17" s="140">
        <v>2</v>
      </c>
      <c r="Y17" s="53">
        <v>0</v>
      </c>
      <c r="Z17" s="53">
        <v>1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141">
        <v>0</v>
      </c>
      <c r="AJ17" s="53">
        <v>1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1</v>
      </c>
      <c r="AR17" s="53">
        <v>0</v>
      </c>
      <c r="AS17" s="53">
        <v>0</v>
      </c>
      <c r="AT17" s="53">
        <v>0</v>
      </c>
      <c r="AU17" s="53">
        <v>1</v>
      </c>
      <c r="AV17" s="140">
        <v>0</v>
      </c>
      <c r="AW17" s="53">
        <v>0</v>
      </c>
      <c r="AX17" s="53">
        <v>0</v>
      </c>
      <c r="AY17" s="53">
        <v>0</v>
      </c>
      <c r="AZ17" s="53">
        <v>0</v>
      </c>
      <c r="BA17" s="53">
        <v>0</v>
      </c>
      <c r="BB17" s="53">
        <v>0</v>
      </c>
      <c r="BC17" s="53">
        <v>0</v>
      </c>
      <c r="BD17" s="53">
        <v>1</v>
      </c>
      <c r="BE17" s="53">
        <v>0</v>
      </c>
      <c r="BF17" s="53">
        <v>0</v>
      </c>
      <c r="BG17" s="141">
        <v>0</v>
      </c>
      <c r="BH17" s="53">
        <v>0</v>
      </c>
      <c r="BI17" s="53">
        <v>0</v>
      </c>
      <c r="BJ17" s="53">
        <v>0</v>
      </c>
      <c r="BK17" s="53">
        <v>0</v>
      </c>
      <c r="BL17" s="53">
        <v>0</v>
      </c>
      <c r="BM17" s="53">
        <v>0</v>
      </c>
      <c r="BN17" s="53">
        <v>0</v>
      </c>
      <c r="BO17" s="53">
        <v>0</v>
      </c>
      <c r="BP17" s="53">
        <v>0</v>
      </c>
      <c r="BQ17" s="53">
        <v>0</v>
      </c>
      <c r="BR17" s="53">
        <v>0</v>
      </c>
      <c r="BS17" s="53">
        <v>0</v>
      </c>
      <c r="BT17" s="151">
        <v>0</v>
      </c>
      <c r="BU17" s="247" t="s">
        <v>66</v>
      </c>
      <c r="BV17" s="249" t="s">
        <v>31</v>
      </c>
      <c r="BW17" s="250"/>
      <c r="BX17" s="146">
        <v>1</v>
      </c>
      <c r="BY17" s="147">
        <v>0</v>
      </c>
      <c r="BZ17" s="78">
        <v>0</v>
      </c>
      <c r="CA17" s="78">
        <v>0</v>
      </c>
      <c r="CB17" s="78">
        <v>1</v>
      </c>
      <c r="CC17" s="79">
        <v>0</v>
      </c>
      <c r="CD17" s="79">
        <v>0</v>
      </c>
      <c r="CE17" s="82">
        <v>0</v>
      </c>
    </row>
    <row r="18" spans="1:83" ht="16.5" customHeight="1" thickBot="1" x14ac:dyDescent="0.5">
      <c r="A18" s="224"/>
      <c r="B18" s="224"/>
      <c r="C18" s="183"/>
      <c r="D18" s="244"/>
      <c r="E18" s="46"/>
      <c r="F18" s="245"/>
      <c r="G18" s="224"/>
      <c r="H18" s="224"/>
      <c r="I18" s="246"/>
      <c r="J18" s="83" t="s">
        <v>175</v>
      </c>
      <c r="K18" s="396"/>
      <c r="L18" s="253">
        <v>0</v>
      </c>
      <c r="M18" s="254"/>
      <c r="N18" s="254"/>
      <c r="O18" s="254"/>
      <c r="P18" s="254"/>
      <c r="Q18" s="254"/>
      <c r="R18" s="254">
        <v>2</v>
      </c>
      <c r="S18" s="254"/>
      <c r="T18" s="254"/>
      <c r="U18" s="254"/>
      <c r="V18" s="254"/>
      <c r="W18" s="254"/>
      <c r="X18" s="255">
        <v>3</v>
      </c>
      <c r="Y18" s="256"/>
      <c r="Z18" s="256"/>
      <c r="AA18" s="256"/>
      <c r="AB18" s="256"/>
      <c r="AC18" s="256"/>
      <c r="AD18" s="256">
        <v>0</v>
      </c>
      <c r="AE18" s="256"/>
      <c r="AF18" s="256"/>
      <c r="AG18" s="256"/>
      <c r="AH18" s="256"/>
      <c r="AI18" s="257"/>
      <c r="AJ18" s="256">
        <v>1</v>
      </c>
      <c r="AK18" s="256"/>
      <c r="AL18" s="256"/>
      <c r="AM18" s="256"/>
      <c r="AN18" s="256"/>
      <c r="AO18" s="256"/>
      <c r="AP18" s="256">
        <v>2</v>
      </c>
      <c r="AQ18" s="256"/>
      <c r="AR18" s="256"/>
      <c r="AS18" s="256"/>
      <c r="AT18" s="256"/>
      <c r="AU18" s="256"/>
      <c r="AV18" s="255">
        <v>0</v>
      </c>
      <c r="AW18" s="256"/>
      <c r="AX18" s="256"/>
      <c r="AY18" s="256"/>
      <c r="AZ18" s="256"/>
      <c r="BA18" s="256"/>
      <c r="BB18" s="256">
        <v>1</v>
      </c>
      <c r="BC18" s="256"/>
      <c r="BD18" s="256"/>
      <c r="BE18" s="256"/>
      <c r="BF18" s="256"/>
      <c r="BG18" s="257"/>
      <c r="BH18" s="256">
        <v>0</v>
      </c>
      <c r="BI18" s="256"/>
      <c r="BJ18" s="256"/>
      <c r="BK18" s="256"/>
      <c r="BL18" s="256"/>
      <c r="BM18" s="256"/>
      <c r="BN18" s="258">
        <v>0</v>
      </c>
      <c r="BO18" s="256"/>
      <c r="BP18" s="256"/>
      <c r="BQ18" s="256"/>
      <c r="BR18" s="256"/>
      <c r="BS18" s="256"/>
      <c r="BT18" s="194"/>
      <c r="BU18" s="248"/>
      <c r="BV18" s="251"/>
      <c r="BW18" s="252"/>
      <c r="BX18" s="125"/>
      <c r="BY18" s="152"/>
      <c r="BZ18" s="259">
        <v>1</v>
      </c>
      <c r="CA18" s="259"/>
      <c r="CB18" s="259"/>
      <c r="CC18" s="259"/>
      <c r="CD18" s="259"/>
      <c r="CE18" s="260"/>
    </row>
    <row r="19" spans="1:83" ht="16.5" hidden="1" customHeight="1" thickBot="1" x14ac:dyDescent="0.5">
      <c r="D19" s="306" t="s">
        <v>77</v>
      </c>
      <c r="E19" s="3"/>
      <c r="F19" s="228" t="s">
        <v>41</v>
      </c>
      <c r="G19" s="221" t="s">
        <v>56</v>
      </c>
      <c r="H19" s="221" t="s">
        <v>58</v>
      </c>
      <c r="I19" s="308" t="s">
        <v>59</v>
      </c>
      <c r="J19" s="47" t="s">
        <v>22</v>
      </c>
      <c r="K19" s="393"/>
      <c r="L19" s="74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9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35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9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35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92"/>
      <c r="BU19" s="2"/>
      <c r="BV19" s="2"/>
      <c r="BW19" s="2"/>
      <c r="BX19" s="2"/>
      <c r="BY19" s="2"/>
      <c r="BZ19" s="309" t="s">
        <v>66</v>
      </c>
      <c r="CA19" s="310"/>
      <c r="CB19" s="311" t="s">
        <v>31</v>
      </c>
      <c r="CC19" s="312"/>
      <c r="CD19" s="313" t="s">
        <v>67</v>
      </c>
      <c r="CE19" s="314"/>
    </row>
    <row r="20" spans="1:83" ht="16.5" hidden="1" customHeight="1" x14ac:dyDescent="0.45">
      <c r="D20" s="307"/>
      <c r="E20" s="46"/>
      <c r="F20" s="245"/>
      <c r="G20" s="224"/>
      <c r="H20" s="224"/>
      <c r="I20" s="246"/>
      <c r="J20" s="87" t="s">
        <v>23</v>
      </c>
      <c r="K20" s="393"/>
      <c r="L20" s="228"/>
      <c r="M20" s="318"/>
      <c r="N20" s="318"/>
      <c r="O20" s="318"/>
      <c r="P20" s="318"/>
      <c r="Q20" s="318"/>
      <c r="R20" s="318"/>
      <c r="S20" s="318"/>
      <c r="T20" s="318"/>
      <c r="U20" s="318"/>
      <c r="V20" s="318"/>
      <c r="W20" s="318"/>
      <c r="X20" s="315"/>
      <c r="Y20" s="316"/>
      <c r="Z20" s="316"/>
      <c r="AA20" s="316"/>
      <c r="AB20" s="316"/>
      <c r="AC20" s="316"/>
      <c r="AD20" s="316"/>
      <c r="AE20" s="316"/>
      <c r="AF20" s="316"/>
      <c r="AG20" s="316"/>
      <c r="AH20" s="316"/>
      <c r="AI20" s="317"/>
      <c r="AJ20" s="316"/>
      <c r="AK20" s="316"/>
      <c r="AL20" s="316"/>
      <c r="AM20" s="316"/>
      <c r="AN20" s="316"/>
      <c r="AO20" s="316"/>
      <c r="AP20" s="316"/>
      <c r="AQ20" s="316"/>
      <c r="AR20" s="316"/>
      <c r="AS20" s="316"/>
      <c r="AT20" s="316"/>
      <c r="AU20" s="316"/>
      <c r="AV20" s="315"/>
      <c r="AW20" s="316"/>
      <c r="AX20" s="316"/>
      <c r="AY20" s="316"/>
      <c r="AZ20" s="316"/>
      <c r="BA20" s="316"/>
      <c r="BB20" s="316"/>
      <c r="BC20" s="316"/>
      <c r="BD20" s="316"/>
      <c r="BE20" s="316"/>
      <c r="BF20" s="316"/>
      <c r="BG20" s="317"/>
      <c r="BH20" s="316"/>
      <c r="BI20" s="316"/>
      <c r="BJ20" s="316"/>
      <c r="BK20" s="316"/>
      <c r="BL20" s="316"/>
      <c r="BM20" s="316"/>
      <c r="BN20" s="316"/>
      <c r="BO20" s="316"/>
      <c r="BP20" s="316"/>
      <c r="BQ20" s="316"/>
      <c r="BR20" s="316"/>
      <c r="BS20" s="316"/>
      <c r="BT20" s="315"/>
      <c r="BU20" s="316"/>
      <c r="BV20" s="316"/>
      <c r="BW20" s="316"/>
      <c r="BX20" s="316"/>
      <c r="BY20" s="316"/>
      <c r="BZ20" s="309"/>
      <c r="CA20" s="310"/>
      <c r="CB20" s="311"/>
      <c r="CC20" s="312"/>
      <c r="CD20" s="313"/>
      <c r="CE20" s="314"/>
    </row>
    <row r="21" spans="1:83" ht="17" thickTop="1" x14ac:dyDescent="0.45">
      <c r="A21" s="220" t="s">
        <v>71</v>
      </c>
      <c r="B21" s="220" t="s">
        <v>318</v>
      </c>
      <c r="C21" s="220" t="s">
        <v>281</v>
      </c>
      <c r="D21" s="235" t="s">
        <v>273</v>
      </c>
      <c r="E21" s="56"/>
      <c r="F21" s="228" t="s">
        <v>192</v>
      </c>
      <c r="G21" s="220" t="s">
        <v>190</v>
      </c>
      <c r="H21" s="220" t="s">
        <v>55</v>
      </c>
      <c r="I21" s="227" t="s">
        <v>191</v>
      </c>
      <c r="J21" s="88" t="s">
        <v>22</v>
      </c>
      <c r="K21" s="397">
        <f>AVERAGE(L21:BS21)</f>
        <v>2.1833333333333331</v>
      </c>
      <c r="L21" s="76">
        <v>2</v>
      </c>
      <c r="M21" s="77">
        <v>3</v>
      </c>
      <c r="N21" s="77">
        <v>1</v>
      </c>
      <c r="O21" s="77">
        <v>3</v>
      </c>
      <c r="P21" s="77">
        <v>1</v>
      </c>
      <c r="Q21" s="77">
        <v>4</v>
      </c>
      <c r="R21" s="77">
        <v>1</v>
      </c>
      <c r="S21" s="77">
        <v>1</v>
      </c>
      <c r="T21" s="77">
        <v>3</v>
      </c>
      <c r="U21" s="77">
        <v>1</v>
      </c>
      <c r="V21" s="77">
        <v>2</v>
      </c>
      <c r="W21" s="77">
        <v>3</v>
      </c>
      <c r="X21" s="142">
        <v>3</v>
      </c>
      <c r="Y21" s="78">
        <v>1</v>
      </c>
      <c r="Z21" s="78">
        <v>2</v>
      </c>
      <c r="AA21" s="78">
        <v>3</v>
      </c>
      <c r="AB21" s="78">
        <v>3</v>
      </c>
      <c r="AC21" s="78">
        <v>1</v>
      </c>
      <c r="AD21" s="78">
        <v>0</v>
      </c>
      <c r="AE21" s="78">
        <v>3</v>
      </c>
      <c r="AF21" s="78">
        <v>5</v>
      </c>
      <c r="AG21" s="78">
        <v>1</v>
      </c>
      <c r="AH21" s="78">
        <v>2</v>
      </c>
      <c r="AI21" s="143">
        <v>4</v>
      </c>
      <c r="AJ21" s="78">
        <v>3</v>
      </c>
      <c r="AK21" s="78">
        <v>3</v>
      </c>
      <c r="AL21" s="78">
        <v>1</v>
      </c>
      <c r="AM21" s="78">
        <v>0</v>
      </c>
      <c r="AN21" s="78">
        <v>6</v>
      </c>
      <c r="AO21" s="78">
        <v>0</v>
      </c>
      <c r="AP21" s="78">
        <v>0</v>
      </c>
      <c r="AQ21" s="78">
        <v>5</v>
      </c>
      <c r="AR21" s="78">
        <v>0</v>
      </c>
      <c r="AS21" s="78">
        <v>2</v>
      </c>
      <c r="AT21" s="78">
        <v>1</v>
      </c>
      <c r="AU21" s="78">
        <v>1</v>
      </c>
      <c r="AV21" s="136">
        <v>3</v>
      </c>
      <c r="AW21" s="80">
        <v>3</v>
      </c>
      <c r="AX21" s="80">
        <v>2</v>
      </c>
      <c r="AY21" s="80">
        <v>3</v>
      </c>
      <c r="AZ21" s="80">
        <v>5</v>
      </c>
      <c r="BA21" s="80">
        <v>6</v>
      </c>
      <c r="BB21" s="80">
        <v>3</v>
      </c>
      <c r="BC21" s="80">
        <v>2</v>
      </c>
      <c r="BD21" s="80">
        <v>1</v>
      </c>
      <c r="BE21" s="80">
        <v>3</v>
      </c>
      <c r="BF21" s="80">
        <v>2</v>
      </c>
      <c r="BG21" s="137">
        <v>5</v>
      </c>
      <c r="BH21" s="78">
        <v>0</v>
      </c>
      <c r="BI21" s="78">
        <v>3</v>
      </c>
      <c r="BJ21" s="78">
        <v>2</v>
      </c>
      <c r="BK21" s="78">
        <v>1</v>
      </c>
      <c r="BL21" s="78">
        <v>2</v>
      </c>
      <c r="BM21" s="78">
        <v>1</v>
      </c>
      <c r="BN21" s="78">
        <v>0</v>
      </c>
      <c r="BO21" s="78">
        <v>1</v>
      </c>
      <c r="BP21" s="78">
        <v>3</v>
      </c>
      <c r="BQ21" s="78">
        <v>0</v>
      </c>
      <c r="BR21" s="78">
        <v>2</v>
      </c>
      <c r="BS21" s="78">
        <v>3</v>
      </c>
      <c r="BT21" s="319" t="s">
        <v>67</v>
      </c>
      <c r="BU21" s="320"/>
      <c r="BV21" s="321"/>
      <c r="BW21" s="247" t="s">
        <v>66</v>
      </c>
      <c r="BX21" s="292"/>
      <c r="BY21" s="249" t="s">
        <v>31</v>
      </c>
      <c r="BZ21" s="250"/>
      <c r="CA21" s="323" t="s">
        <v>67</v>
      </c>
      <c r="CB21" s="320"/>
      <c r="CC21" s="320"/>
      <c r="CD21" s="320"/>
      <c r="CE21" s="324"/>
    </row>
    <row r="22" spans="1:83" ht="17" thickBot="1" x14ac:dyDescent="0.5">
      <c r="A22" s="221"/>
      <c r="B22" s="221"/>
      <c r="C22" s="221"/>
      <c r="D22" s="236"/>
      <c r="E22" s="92"/>
      <c r="F22" s="228"/>
      <c r="G22" s="222"/>
      <c r="H22" s="222"/>
      <c r="I22" s="229"/>
      <c r="J22" s="55" t="s">
        <v>175</v>
      </c>
      <c r="K22" s="393"/>
      <c r="L22" s="240">
        <v>14</v>
      </c>
      <c r="M22" s="241"/>
      <c r="N22" s="241"/>
      <c r="O22" s="241"/>
      <c r="P22" s="241"/>
      <c r="Q22" s="241"/>
      <c r="R22" s="241">
        <v>11</v>
      </c>
      <c r="S22" s="241"/>
      <c r="T22" s="241"/>
      <c r="U22" s="241"/>
      <c r="V22" s="241"/>
      <c r="W22" s="241"/>
      <c r="X22" s="229">
        <v>13</v>
      </c>
      <c r="Y22" s="230"/>
      <c r="Z22" s="230"/>
      <c r="AA22" s="230"/>
      <c r="AB22" s="230"/>
      <c r="AC22" s="230"/>
      <c r="AD22" s="230">
        <v>15</v>
      </c>
      <c r="AE22" s="230"/>
      <c r="AF22" s="230"/>
      <c r="AG22" s="230"/>
      <c r="AH22" s="230"/>
      <c r="AI22" s="242"/>
      <c r="AJ22" s="230">
        <v>13</v>
      </c>
      <c r="AK22" s="230"/>
      <c r="AL22" s="230"/>
      <c r="AM22" s="230"/>
      <c r="AN22" s="230"/>
      <c r="AO22" s="230"/>
      <c r="AP22" s="230">
        <v>9</v>
      </c>
      <c r="AQ22" s="230"/>
      <c r="AR22" s="230"/>
      <c r="AS22" s="230"/>
      <c r="AT22" s="230"/>
      <c r="AU22" s="230"/>
      <c r="AV22" s="231">
        <v>22</v>
      </c>
      <c r="AW22" s="232"/>
      <c r="AX22" s="232"/>
      <c r="AY22" s="232"/>
      <c r="AZ22" s="232"/>
      <c r="BA22" s="232"/>
      <c r="BB22" s="232">
        <v>16</v>
      </c>
      <c r="BC22" s="232"/>
      <c r="BD22" s="232"/>
      <c r="BE22" s="232"/>
      <c r="BF22" s="232"/>
      <c r="BG22" s="233"/>
      <c r="BH22" s="230">
        <v>9</v>
      </c>
      <c r="BI22" s="230"/>
      <c r="BJ22" s="230"/>
      <c r="BK22" s="230"/>
      <c r="BL22" s="230"/>
      <c r="BM22" s="230"/>
      <c r="BN22" s="230">
        <v>9</v>
      </c>
      <c r="BO22" s="230"/>
      <c r="BP22" s="230"/>
      <c r="BQ22" s="230"/>
      <c r="BR22" s="230"/>
      <c r="BS22" s="230"/>
      <c r="BT22" s="240"/>
      <c r="BU22" s="241"/>
      <c r="BV22" s="322"/>
      <c r="BW22" s="304"/>
      <c r="BX22" s="290"/>
      <c r="BY22" s="286"/>
      <c r="BZ22" s="287"/>
      <c r="CA22" s="325"/>
      <c r="CB22" s="241"/>
      <c r="CC22" s="241"/>
      <c r="CD22" s="241"/>
      <c r="CE22" s="326"/>
    </row>
    <row r="23" spans="1:83" ht="16.5" x14ac:dyDescent="0.45">
      <c r="A23" s="221"/>
      <c r="B23" s="221"/>
      <c r="C23" s="221"/>
      <c r="D23" s="235" t="s">
        <v>195</v>
      </c>
      <c r="E23" s="56"/>
      <c r="F23" s="227" t="s">
        <v>205</v>
      </c>
      <c r="G23" s="220" t="s">
        <v>193</v>
      </c>
      <c r="H23" s="220" t="s">
        <v>55</v>
      </c>
      <c r="I23" s="238" t="s">
        <v>194</v>
      </c>
      <c r="J23" s="90" t="s">
        <v>22</v>
      </c>
      <c r="K23" s="398">
        <f>AVERAGE(L23:CE23)</f>
        <v>1.0694444444444444</v>
      </c>
      <c r="L23" s="94">
        <v>0</v>
      </c>
      <c r="M23" s="95">
        <v>0</v>
      </c>
      <c r="N23" s="95">
        <v>1</v>
      </c>
      <c r="O23" s="95">
        <v>0</v>
      </c>
      <c r="P23" s="95">
        <v>2</v>
      </c>
      <c r="Q23" s="95">
        <v>0</v>
      </c>
      <c r="R23" s="95">
        <v>1</v>
      </c>
      <c r="S23" s="95">
        <v>2</v>
      </c>
      <c r="T23" s="95">
        <v>1</v>
      </c>
      <c r="U23" s="95">
        <v>1</v>
      </c>
      <c r="V23" s="95">
        <v>0</v>
      </c>
      <c r="W23" s="95">
        <v>0</v>
      </c>
      <c r="X23" s="74">
        <v>3</v>
      </c>
      <c r="Y23" s="75">
        <v>1</v>
      </c>
      <c r="Z23" s="75">
        <v>3</v>
      </c>
      <c r="AA23" s="75">
        <v>0</v>
      </c>
      <c r="AB23" s="75">
        <v>1</v>
      </c>
      <c r="AC23" s="75">
        <v>0</v>
      </c>
      <c r="AD23" s="75">
        <v>1</v>
      </c>
      <c r="AE23" s="75">
        <v>1</v>
      </c>
      <c r="AF23" s="75">
        <v>2</v>
      </c>
      <c r="AG23" s="75">
        <v>2</v>
      </c>
      <c r="AH23" s="75">
        <v>1</v>
      </c>
      <c r="AI23" s="144">
        <v>2</v>
      </c>
      <c r="AJ23" s="75">
        <v>3</v>
      </c>
      <c r="AK23" s="75">
        <v>0</v>
      </c>
      <c r="AL23" s="75">
        <v>1</v>
      </c>
      <c r="AM23" s="75">
        <v>3</v>
      </c>
      <c r="AN23" s="75">
        <v>1</v>
      </c>
      <c r="AO23" s="75">
        <v>1</v>
      </c>
      <c r="AP23" s="75">
        <v>0</v>
      </c>
      <c r="AQ23" s="75">
        <v>0</v>
      </c>
      <c r="AR23" s="75">
        <v>0</v>
      </c>
      <c r="AS23" s="75">
        <v>0</v>
      </c>
      <c r="AT23" s="75">
        <v>0</v>
      </c>
      <c r="AU23" s="75">
        <v>0</v>
      </c>
      <c r="AV23" s="133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34">
        <v>2</v>
      </c>
      <c r="BH23" s="75">
        <v>0</v>
      </c>
      <c r="BI23" s="75">
        <v>2</v>
      </c>
      <c r="BJ23" s="75">
        <v>2</v>
      </c>
      <c r="BK23" s="75">
        <v>2</v>
      </c>
      <c r="BL23" s="75">
        <v>1</v>
      </c>
      <c r="BM23" s="75">
        <v>1</v>
      </c>
      <c r="BN23" s="75">
        <v>0</v>
      </c>
      <c r="BO23" s="75">
        <v>0</v>
      </c>
      <c r="BP23" s="75">
        <v>1</v>
      </c>
      <c r="BQ23" s="75">
        <v>2</v>
      </c>
      <c r="BR23" s="75">
        <v>1</v>
      </c>
      <c r="BS23" s="75">
        <v>0</v>
      </c>
      <c r="BT23" s="74">
        <v>1</v>
      </c>
      <c r="BU23" s="75">
        <v>1</v>
      </c>
      <c r="BV23" s="75">
        <v>3</v>
      </c>
      <c r="BW23" s="75">
        <v>2</v>
      </c>
      <c r="BX23" s="75">
        <v>1</v>
      </c>
      <c r="BY23" s="75">
        <v>1</v>
      </c>
      <c r="BZ23" s="52">
        <v>1</v>
      </c>
      <c r="CA23" s="52">
        <v>0</v>
      </c>
      <c r="CB23" s="52">
        <v>0</v>
      </c>
      <c r="CC23" s="52">
        <v>2</v>
      </c>
      <c r="CD23" s="52">
        <v>1</v>
      </c>
      <c r="CE23" s="96">
        <v>2</v>
      </c>
    </row>
    <row r="24" spans="1:83" ht="17" thickBot="1" x14ac:dyDescent="0.5">
      <c r="A24" s="221"/>
      <c r="B24" s="221"/>
      <c r="C24" s="221"/>
      <c r="D24" s="236"/>
      <c r="E24" s="93"/>
      <c r="F24" s="228"/>
      <c r="G24" s="222"/>
      <c r="H24" s="222"/>
      <c r="I24" s="239"/>
      <c r="J24" s="55" t="s">
        <v>175</v>
      </c>
      <c r="K24" s="399"/>
      <c r="L24" s="240">
        <v>3</v>
      </c>
      <c r="M24" s="241"/>
      <c r="N24" s="241"/>
      <c r="O24" s="241"/>
      <c r="P24" s="241"/>
      <c r="Q24" s="241"/>
      <c r="R24" s="241">
        <v>5</v>
      </c>
      <c r="S24" s="241"/>
      <c r="T24" s="241"/>
      <c r="U24" s="241"/>
      <c r="V24" s="241"/>
      <c r="W24" s="241"/>
      <c r="X24" s="229">
        <v>8</v>
      </c>
      <c r="Y24" s="230"/>
      <c r="Z24" s="230"/>
      <c r="AA24" s="230"/>
      <c r="AB24" s="230"/>
      <c r="AC24" s="230"/>
      <c r="AD24" s="230">
        <v>9</v>
      </c>
      <c r="AE24" s="230"/>
      <c r="AF24" s="230"/>
      <c r="AG24" s="230"/>
      <c r="AH24" s="230"/>
      <c r="AI24" s="242"/>
      <c r="AJ24" s="230">
        <v>9</v>
      </c>
      <c r="AK24" s="230"/>
      <c r="AL24" s="230"/>
      <c r="AM24" s="230"/>
      <c r="AN24" s="230"/>
      <c r="AO24" s="230"/>
      <c r="AP24" s="230">
        <v>0</v>
      </c>
      <c r="AQ24" s="230"/>
      <c r="AR24" s="230"/>
      <c r="AS24" s="230"/>
      <c r="AT24" s="230"/>
      <c r="AU24" s="230"/>
      <c r="AV24" s="231">
        <v>10</v>
      </c>
      <c r="AW24" s="232"/>
      <c r="AX24" s="232"/>
      <c r="AY24" s="232"/>
      <c r="AZ24" s="232"/>
      <c r="BA24" s="232"/>
      <c r="BB24" s="232">
        <v>6</v>
      </c>
      <c r="BC24" s="232"/>
      <c r="BD24" s="232"/>
      <c r="BE24" s="232"/>
      <c r="BF24" s="232"/>
      <c r="BG24" s="233"/>
      <c r="BH24" s="230">
        <v>8</v>
      </c>
      <c r="BI24" s="230"/>
      <c r="BJ24" s="230"/>
      <c r="BK24" s="230"/>
      <c r="BL24" s="230"/>
      <c r="BM24" s="230"/>
      <c r="BN24" s="230">
        <v>4</v>
      </c>
      <c r="BO24" s="230"/>
      <c r="BP24" s="230"/>
      <c r="BQ24" s="230"/>
      <c r="BR24" s="230"/>
      <c r="BS24" s="230"/>
      <c r="BT24" s="229">
        <v>9</v>
      </c>
      <c r="BU24" s="230"/>
      <c r="BV24" s="230"/>
      <c r="BW24" s="230"/>
      <c r="BX24" s="230"/>
      <c r="BY24" s="230"/>
      <c r="BZ24" s="230">
        <v>6</v>
      </c>
      <c r="CA24" s="230"/>
      <c r="CB24" s="230"/>
      <c r="CC24" s="230"/>
      <c r="CD24" s="230"/>
      <c r="CE24" s="237"/>
    </row>
    <row r="25" spans="1:83" ht="16.5" x14ac:dyDescent="0.45">
      <c r="A25" s="221"/>
      <c r="B25" s="221"/>
      <c r="C25" s="221"/>
      <c r="D25" s="225" t="s">
        <v>274</v>
      </c>
      <c r="E25" s="56"/>
      <c r="F25" s="227" t="s">
        <v>205</v>
      </c>
      <c r="G25" s="220" t="s">
        <v>234</v>
      </c>
      <c r="H25" s="220" t="s">
        <v>55</v>
      </c>
      <c r="I25" s="238" t="s">
        <v>235</v>
      </c>
      <c r="J25" s="90" t="s">
        <v>22</v>
      </c>
      <c r="K25" s="398">
        <f t="shared" ref="K25:K73" si="0">AVERAGE(L25:CE25)</f>
        <v>1.8055555555555556</v>
      </c>
      <c r="L25" s="94">
        <v>2</v>
      </c>
      <c r="M25" s="95">
        <v>1</v>
      </c>
      <c r="N25" s="95">
        <v>2</v>
      </c>
      <c r="O25" s="95">
        <v>0</v>
      </c>
      <c r="P25" s="95">
        <v>0</v>
      </c>
      <c r="Q25" s="95">
        <v>1</v>
      </c>
      <c r="R25" s="95">
        <v>1</v>
      </c>
      <c r="S25" s="95">
        <v>2</v>
      </c>
      <c r="T25" s="95">
        <v>2</v>
      </c>
      <c r="U25" s="95">
        <v>0</v>
      </c>
      <c r="V25" s="95">
        <v>1</v>
      </c>
      <c r="W25" s="95">
        <v>1</v>
      </c>
      <c r="X25" s="74">
        <v>2</v>
      </c>
      <c r="Y25" s="75">
        <v>0</v>
      </c>
      <c r="Z25" s="75">
        <v>2</v>
      </c>
      <c r="AA25" s="75">
        <v>1</v>
      </c>
      <c r="AB25" s="75">
        <v>1</v>
      </c>
      <c r="AC25" s="75">
        <v>0</v>
      </c>
      <c r="AD25" s="75">
        <v>0</v>
      </c>
      <c r="AE25" s="75">
        <v>0</v>
      </c>
      <c r="AF25" s="75">
        <v>0</v>
      </c>
      <c r="AG25" s="75">
        <v>3</v>
      </c>
      <c r="AH25" s="75">
        <v>1</v>
      </c>
      <c r="AI25" s="144">
        <v>0</v>
      </c>
      <c r="AJ25" s="75">
        <v>1</v>
      </c>
      <c r="AK25" s="75">
        <v>0</v>
      </c>
      <c r="AL25" s="75">
        <v>1</v>
      </c>
      <c r="AM25" s="75">
        <v>4</v>
      </c>
      <c r="AN25" s="75">
        <v>0</v>
      </c>
      <c r="AO25" s="75">
        <v>3</v>
      </c>
      <c r="AP25" s="75">
        <v>0</v>
      </c>
      <c r="AQ25" s="75">
        <v>3</v>
      </c>
      <c r="AR25" s="75">
        <v>2</v>
      </c>
      <c r="AS25" s="75">
        <v>0</v>
      </c>
      <c r="AT25" s="75">
        <v>1</v>
      </c>
      <c r="AU25" s="75">
        <v>2</v>
      </c>
      <c r="AV25" s="133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34">
        <v>3</v>
      </c>
      <c r="BH25" s="75">
        <v>2</v>
      </c>
      <c r="BI25" s="75">
        <v>3</v>
      </c>
      <c r="BJ25" s="75">
        <v>2</v>
      </c>
      <c r="BK25" s="75">
        <v>2</v>
      </c>
      <c r="BL25" s="75">
        <v>5</v>
      </c>
      <c r="BM25" s="75">
        <v>2</v>
      </c>
      <c r="BN25" s="75">
        <v>3</v>
      </c>
      <c r="BO25" s="75">
        <v>2</v>
      </c>
      <c r="BP25" s="75">
        <v>1</v>
      </c>
      <c r="BQ25" s="75">
        <v>0</v>
      </c>
      <c r="BR25" s="75">
        <v>3</v>
      </c>
      <c r="BS25" s="75">
        <v>3</v>
      </c>
      <c r="BT25" s="74">
        <v>1</v>
      </c>
      <c r="BU25" s="75">
        <v>0</v>
      </c>
      <c r="BV25" s="75">
        <v>1</v>
      </c>
      <c r="BW25" s="75">
        <v>2</v>
      </c>
      <c r="BX25" s="75">
        <v>3</v>
      </c>
      <c r="BY25" s="75">
        <v>4</v>
      </c>
      <c r="BZ25" s="52">
        <v>1</v>
      </c>
      <c r="CA25" s="52">
        <v>2</v>
      </c>
      <c r="CB25" s="52">
        <v>0</v>
      </c>
      <c r="CC25" s="52">
        <v>5</v>
      </c>
      <c r="CD25" s="52">
        <v>1</v>
      </c>
      <c r="CE25" s="96">
        <v>1</v>
      </c>
    </row>
    <row r="26" spans="1:83" ht="17" thickBot="1" x14ac:dyDescent="0.5">
      <c r="A26" s="221"/>
      <c r="B26" s="221"/>
      <c r="C26" s="222"/>
      <c r="D26" s="226"/>
      <c r="E26" s="93"/>
      <c r="F26" s="228"/>
      <c r="G26" s="222"/>
      <c r="H26" s="222"/>
      <c r="I26" s="239"/>
      <c r="J26" s="55" t="s">
        <v>175</v>
      </c>
      <c r="K26" s="399"/>
      <c r="L26" s="240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29"/>
      <c r="Y26" s="230"/>
      <c r="Z26" s="230"/>
      <c r="AA26" s="230"/>
      <c r="AB26" s="230"/>
      <c r="AC26" s="230"/>
      <c r="AD26" s="230"/>
      <c r="AE26" s="230"/>
      <c r="AF26" s="230"/>
      <c r="AG26" s="230"/>
      <c r="AH26" s="230"/>
      <c r="AI26" s="242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0"/>
      <c r="AU26" s="230"/>
      <c r="AV26" s="231"/>
      <c r="AW26" s="232"/>
      <c r="AX26" s="232"/>
      <c r="AY26" s="232"/>
      <c r="AZ26" s="232"/>
      <c r="BA26" s="232"/>
      <c r="BB26" s="232"/>
      <c r="BC26" s="232"/>
      <c r="BD26" s="232"/>
      <c r="BE26" s="232"/>
      <c r="BF26" s="232"/>
      <c r="BG26" s="233"/>
      <c r="BH26" s="230"/>
      <c r="BI26" s="230"/>
      <c r="BJ26" s="230"/>
      <c r="BK26" s="230"/>
      <c r="BL26" s="230"/>
      <c r="BM26" s="230"/>
      <c r="BN26" s="230"/>
      <c r="BO26" s="230"/>
      <c r="BP26" s="230"/>
      <c r="BQ26" s="230"/>
      <c r="BR26" s="230"/>
      <c r="BS26" s="230"/>
      <c r="BT26" s="229"/>
      <c r="BU26" s="230"/>
      <c r="BV26" s="230"/>
      <c r="BW26" s="230"/>
      <c r="BX26" s="230"/>
      <c r="BY26" s="230"/>
      <c r="BZ26" s="230"/>
      <c r="CA26" s="230"/>
      <c r="CB26" s="230"/>
      <c r="CC26" s="230"/>
      <c r="CD26" s="230"/>
      <c r="CE26" s="237"/>
    </row>
    <row r="27" spans="1:83" ht="16.5" x14ac:dyDescent="0.45">
      <c r="A27" s="221"/>
      <c r="B27" s="221"/>
      <c r="C27" s="220" t="s">
        <v>282</v>
      </c>
      <c r="D27" s="225" t="s">
        <v>276</v>
      </c>
      <c r="E27" s="56"/>
      <c r="F27" s="227" t="s">
        <v>205</v>
      </c>
      <c r="G27" s="220" t="s">
        <v>211</v>
      </c>
      <c r="H27" s="220" t="s">
        <v>55</v>
      </c>
      <c r="I27" s="238" t="s">
        <v>212</v>
      </c>
      <c r="J27" s="90" t="s">
        <v>22</v>
      </c>
      <c r="K27" s="398">
        <f t="shared" si="0"/>
        <v>1.5277777777777777</v>
      </c>
      <c r="L27" s="94">
        <v>1</v>
      </c>
      <c r="M27" s="95">
        <v>3</v>
      </c>
      <c r="N27" s="95">
        <v>2</v>
      </c>
      <c r="O27" s="95">
        <v>1</v>
      </c>
      <c r="P27" s="95">
        <v>0</v>
      </c>
      <c r="Q27" s="95">
        <v>1</v>
      </c>
      <c r="R27" s="95">
        <v>3</v>
      </c>
      <c r="S27" s="95">
        <v>0</v>
      </c>
      <c r="T27" s="95">
        <v>1</v>
      </c>
      <c r="U27" s="95">
        <v>0</v>
      </c>
      <c r="V27" s="95">
        <v>0</v>
      </c>
      <c r="W27" s="386">
        <v>3</v>
      </c>
      <c r="X27" s="95">
        <v>4</v>
      </c>
      <c r="Y27" s="95">
        <v>1</v>
      </c>
      <c r="Z27" s="95">
        <v>0</v>
      </c>
      <c r="AA27" s="95">
        <v>3</v>
      </c>
      <c r="AB27" s="95">
        <v>4</v>
      </c>
      <c r="AC27" s="95">
        <v>2</v>
      </c>
      <c r="AD27" s="95">
        <v>1</v>
      </c>
      <c r="AE27" s="95">
        <v>1</v>
      </c>
      <c r="AF27" s="95">
        <v>1</v>
      </c>
      <c r="AG27" s="95">
        <v>1</v>
      </c>
      <c r="AH27" s="95">
        <v>0</v>
      </c>
      <c r="AI27" s="386">
        <v>1</v>
      </c>
      <c r="AJ27" s="75">
        <v>2</v>
      </c>
      <c r="AK27" s="75">
        <v>1</v>
      </c>
      <c r="AL27" s="75">
        <v>1</v>
      </c>
      <c r="AM27" s="75">
        <v>0</v>
      </c>
      <c r="AN27" s="75">
        <v>2</v>
      </c>
      <c r="AO27" s="75">
        <v>3</v>
      </c>
      <c r="AP27" s="75">
        <v>2</v>
      </c>
      <c r="AQ27" s="75">
        <v>0</v>
      </c>
      <c r="AR27" s="75">
        <v>2</v>
      </c>
      <c r="AS27" s="75">
        <v>0</v>
      </c>
      <c r="AT27" s="75">
        <v>0</v>
      </c>
      <c r="AU27" s="75">
        <v>1</v>
      </c>
      <c r="AV27" s="133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34">
        <v>3</v>
      </c>
      <c r="BH27" s="75">
        <v>2</v>
      </c>
      <c r="BI27" s="75">
        <v>1</v>
      </c>
      <c r="BJ27" s="75">
        <v>2</v>
      </c>
      <c r="BK27" s="75">
        <v>1</v>
      </c>
      <c r="BL27" s="75">
        <v>4</v>
      </c>
      <c r="BM27" s="75">
        <v>0</v>
      </c>
      <c r="BN27" s="75">
        <v>1</v>
      </c>
      <c r="BO27" s="75">
        <v>0</v>
      </c>
      <c r="BP27" s="75">
        <v>2</v>
      </c>
      <c r="BQ27" s="75">
        <v>0</v>
      </c>
      <c r="BR27" s="75">
        <v>2</v>
      </c>
      <c r="BS27" s="75">
        <v>0</v>
      </c>
      <c r="BT27" s="74">
        <v>0</v>
      </c>
      <c r="BU27" s="75">
        <v>5</v>
      </c>
      <c r="BV27" s="75">
        <v>3</v>
      </c>
      <c r="BW27" s="75">
        <v>1</v>
      </c>
      <c r="BX27" s="75">
        <v>2</v>
      </c>
      <c r="BY27" s="75">
        <v>1</v>
      </c>
      <c r="BZ27" s="75">
        <v>2</v>
      </c>
      <c r="CA27" s="75">
        <v>4</v>
      </c>
      <c r="CB27" s="75">
        <v>4</v>
      </c>
      <c r="CC27" s="75">
        <v>2</v>
      </c>
      <c r="CD27" s="75">
        <v>1</v>
      </c>
      <c r="CE27" s="144">
        <v>2</v>
      </c>
    </row>
    <row r="28" spans="1:83" ht="17" thickBot="1" x14ac:dyDescent="0.5">
      <c r="A28" s="221"/>
      <c r="B28" s="221"/>
      <c r="C28" s="222"/>
      <c r="D28" s="226"/>
      <c r="E28" s="93"/>
      <c r="F28" s="228"/>
      <c r="G28" s="222"/>
      <c r="H28" s="222"/>
      <c r="I28" s="239"/>
      <c r="J28" s="55" t="s">
        <v>175</v>
      </c>
      <c r="K28" s="399"/>
      <c r="L28" s="240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29"/>
      <c r="Y28" s="230"/>
      <c r="Z28" s="230"/>
      <c r="AA28" s="230"/>
      <c r="AB28" s="230"/>
      <c r="AC28" s="230"/>
      <c r="AD28" s="230"/>
      <c r="AE28" s="230"/>
      <c r="AF28" s="230"/>
      <c r="AG28" s="230"/>
      <c r="AH28" s="230"/>
      <c r="AI28" s="242"/>
      <c r="AJ28" s="230"/>
      <c r="AK28" s="230"/>
      <c r="AL28" s="230"/>
      <c r="AM28" s="230"/>
      <c r="AN28" s="230"/>
      <c r="AO28" s="230"/>
      <c r="AP28" s="230"/>
      <c r="AQ28" s="230"/>
      <c r="AR28" s="230"/>
      <c r="AS28" s="230"/>
      <c r="AT28" s="230"/>
      <c r="AU28" s="230"/>
      <c r="AV28" s="231"/>
      <c r="AW28" s="232"/>
      <c r="AX28" s="232"/>
      <c r="AY28" s="232"/>
      <c r="AZ28" s="232"/>
      <c r="BA28" s="232"/>
      <c r="BB28" s="232"/>
      <c r="BC28" s="232"/>
      <c r="BD28" s="232"/>
      <c r="BE28" s="232"/>
      <c r="BF28" s="232"/>
      <c r="BG28" s="233"/>
      <c r="BH28" s="230"/>
      <c r="BI28" s="230"/>
      <c r="BJ28" s="230"/>
      <c r="BK28" s="230"/>
      <c r="BL28" s="230"/>
      <c r="BM28" s="230"/>
      <c r="BN28" s="230"/>
      <c r="BO28" s="230"/>
      <c r="BP28" s="230"/>
      <c r="BQ28" s="230"/>
      <c r="BR28" s="230"/>
      <c r="BS28" s="230"/>
      <c r="BT28" s="229"/>
      <c r="BU28" s="230"/>
      <c r="BV28" s="230"/>
      <c r="BW28" s="230"/>
      <c r="BX28" s="230"/>
      <c r="BY28" s="230"/>
      <c r="BZ28" s="230"/>
      <c r="CA28" s="230"/>
      <c r="CB28" s="230"/>
      <c r="CC28" s="230"/>
      <c r="CD28" s="230"/>
      <c r="CE28" s="237"/>
    </row>
    <row r="29" spans="1:83" ht="16.5" x14ac:dyDescent="0.45">
      <c r="A29" s="221"/>
      <c r="B29" s="221"/>
      <c r="C29" s="220" t="s">
        <v>283</v>
      </c>
      <c r="D29" s="235" t="s">
        <v>270</v>
      </c>
      <c r="E29" s="56"/>
      <c r="F29" s="227" t="s">
        <v>321</v>
      </c>
      <c r="G29" s="220" t="s">
        <v>197</v>
      </c>
      <c r="H29" s="220" t="s">
        <v>55</v>
      </c>
      <c r="I29" s="227" t="s">
        <v>198</v>
      </c>
      <c r="J29" s="90" t="s">
        <v>22</v>
      </c>
      <c r="K29" s="398">
        <f>AVERAGE(L29:BY29)</f>
        <v>1.3333333333333333</v>
      </c>
      <c r="L29" s="76">
        <v>1</v>
      </c>
      <c r="M29" s="77">
        <v>1</v>
      </c>
      <c r="N29" s="77">
        <v>0</v>
      </c>
      <c r="O29" s="77">
        <v>0</v>
      </c>
      <c r="P29" s="77">
        <v>0</v>
      </c>
      <c r="Q29" s="77">
        <v>0</v>
      </c>
      <c r="R29" s="77">
        <v>1</v>
      </c>
      <c r="S29" s="77">
        <v>0</v>
      </c>
      <c r="T29" s="77">
        <v>2</v>
      </c>
      <c r="U29" s="77">
        <v>1</v>
      </c>
      <c r="V29" s="77">
        <v>3</v>
      </c>
      <c r="W29" s="77">
        <v>0</v>
      </c>
      <c r="X29" s="145">
        <v>0</v>
      </c>
      <c r="Y29" s="89">
        <v>0</v>
      </c>
      <c r="Z29" s="89">
        <v>0</v>
      </c>
      <c r="AA29" s="89">
        <v>1</v>
      </c>
      <c r="AB29" s="89">
        <v>2</v>
      </c>
      <c r="AC29" s="89">
        <v>0</v>
      </c>
      <c r="AD29" s="89">
        <v>0</v>
      </c>
      <c r="AE29" s="89">
        <v>1</v>
      </c>
      <c r="AF29" s="89">
        <v>3</v>
      </c>
      <c r="AG29" s="80">
        <v>4</v>
      </c>
      <c r="AH29" s="80">
        <v>5</v>
      </c>
      <c r="AI29" s="137">
        <v>1</v>
      </c>
      <c r="AJ29" s="80">
        <v>2</v>
      </c>
      <c r="AK29" s="80">
        <v>1</v>
      </c>
      <c r="AL29" s="80">
        <v>0</v>
      </c>
      <c r="AM29" s="80">
        <v>0</v>
      </c>
      <c r="AN29" s="80">
        <v>3</v>
      </c>
      <c r="AO29" s="80">
        <v>0</v>
      </c>
      <c r="AP29" s="80">
        <v>0</v>
      </c>
      <c r="AQ29" s="80">
        <v>0</v>
      </c>
      <c r="AR29" s="80">
        <v>0</v>
      </c>
      <c r="AS29" s="80">
        <v>2</v>
      </c>
      <c r="AT29" s="80">
        <v>1</v>
      </c>
      <c r="AU29" s="80">
        <v>3</v>
      </c>
      <c r="AV29" s="136">
        <v>3</v>
      </c>
      <c r="AW29" s="80">
        <v>1</v>
      </c>
      <c r="AX29" s="80">
        <v>2</v>
      </c>
      <c r="AY29" s="80">
        <v>1</v>
      </c>
      <c r="AZ29" s="80">
        <v>2</v>
      </c>
      <c r="BA29" s="80">
        <v>0</v>
      </c>
      <c r="BB29" s="80">
        <v>1</v>
      </c>
      <c r="BC29" s="80">
        <v>1</v>
      </c>
      <c r="BD29" s="80">
        <v>5</v>
      </c>
      <c r="BE29" s="80">
        <v>1</v>
      </c>
      <c r="BF29" s="80">
        <v>0</v>
      </c>
      <c r="BG29" s="137">
        <v>0</v>
      </c>
      <c r="BH29" s="80">
        <v>4</v>
      </c>
      <c r="BI29" s="80">
        <v>0</v>
      </c>
      <c r="BJ29" s="80">
        <v>2</v>
      </c>
      <c r="BK29" s="80">
        <v>1</v>
      </c>
      <c r="BL29" s="80">
        <v>1</v>
      </c>
      <c r="BM29" s="80">
        <v>0</v>
      </c>
      <c r="BN29" s="80">
        <v>1</v>
      </c>
      <c r="BO29" s="80">
        <v>1</v>
      </c>
      <c r="BP29" s="80">
        <v>2</v>
      </c>
      <c r="BQ29" s="80">
        <v>1</v>
      </c>
      <c r="BR29" s="80">
        <v>4</v>
      </c>
      <c r="BS29" s="80">
        <v>2</v>
      </c>
      <c r="BT29" s="136">
        <v>2</v>
      </c>
      <c r="BU29" s="80">
        <v>1</v>
      </c>
      <c r="BV29" s="80">
        <v>4</v>
      </c>
      <c r="BW29" s="80">
        <v>0</v>
      </c>
      <c r="BX29" s="80">
        <v>4</v>
      </c>
      <c r="BY29" s="80">
        <v>3</v>
      </c>
      <c r="BZ29" s="329" t="s">
        <v>67</v>
      </c>
      <c r="CA29" s="330"/>
      <c r="CB29" s="330"/>
      <c r="CC29" s="331"/>
      <c r="CD29" s="247" t="s">
        <v>66</v>
      </c>
      <c r="CE29" s="327"/>
    </row>
    <row r="30" spans="1:83" ht="17" thickBot="1" x14ac:dyDescent="0.5">
      <c r="A30" s="221"/>
      <c r="B30" s="221"/>
      <c r="C30" s="221"/>
      <c r="D30" s="236"/>
      <c r="E30" s="3"/>
      <c r="F30" s="228"/>
      <c r="G30" s="222"/>
      <c r="H30" s="222"/>
      <c r="I30" s="229"/>
      <c r="J30" s="55" t="s">
        <v>175</v>
      </c>
      <c r="K30" s="399"/>
      <c r="L30" s="229">
        <v>2</v>
      </c>
      <c r="M30" s="230"/>
      <c r="N30" s="230"/>
      <c r="O30" s="230"/>
      <c r="P30" s="230"/>
      <c r="Q30" s="230"/>
      <c r="R30" s="230">
        <v>7</v>
      </c>
      <c r="S30" s="230"/>
      <c r="T30" s="230"/>
      <c r="U30" s="230"/>
      <c r="V30" s="230"/>
      <c r="W30" s="230"/>
      <c r="X30" s="231">
        <v>3</v>
      </c>
      <c r="Y30" s="232"/>
      <c r="Z30" s="232"/>
      <c r="AA30" s="232"/>
      <c r="AB30" s="232"/>
      <c r="AC30" s="232"/>
      <c r="AD30" s="232">
        <v>14</v>
      </c>
      <c r="AE30" s="232"/>
      <c r="AF30" s="232"/>
      <c r="AG30" s="232"/>
      <c r="AH30" s="232"/>
      <c r="AI30" s="233"/>
      <c r="AJ30" s="232">
        <v>6</v>
      </c>
      <c r="AK30" s="232"/>
      <c r="AL30" s="232"/>
      <c r="AM30" s="232"/>
      <c r="AN30" s="232"/>
      <c r="AO30" s="232"/>
      <c r="AP30" s="232">
        <v>6</v>
      </c>
      <c r="AQ30" s="232"/>
      <c r="AR30" s="232"/>
      <c r="AS30" s="232"/>
      <c r="AT30" s="232"/>
      <c r="AU30" s="232"/>
      <c r="AV30" s="231">
        <v>9</v>
      </c>
      <c r="AW30" s="232"/>
      <c r="AX30" s="232"/>
      <c r="AY30" s="232"/>
      <c r="AZ30" s="232"/>
      <c r="BA30" s="232"/>
      <c r="BB30" s="232">
        <v>8</v>
      </c>
      <c r="BC30" s="232"/>
      <c r="BD30" s="232"/>
      <c r="BE30" s="232"/>
      <c r="BF30" s="232"/>
      <c r="BG30" s="233"/>
      <c r="BH30" s="232">
        <v>8</v>
      </c>
      <c r="BI30" s="232"/>
      <c r="BJ30" s="232"/>
      <c r="BK30" s="232"/>
      <c r="BL30" s="232"/>
      <c r="BM30" s="232"/>
      <c r="BN30" s="232">
        <v>11</v>
      </c>
      <c r="BO30" s="232"/>
      <c r="BP30" s="232"/>
      <c r="BQ30" s="232"/>
      <c r="BR30" s="232"/>
      <c r="BS30" s="232"/>
      <c r="BT30" s="231">
        <v>14</v>
      </c>
      <c r="BU30" s="232"/>
      <c r="BV30" s="232"/>
      <c r="BW30" s="232"/>
      <c r="BX30" s="232"/>
      <c r="BY30" s="232"/>
      <c r="BZ30" s="332"/>
      <c r="CA30" s="230"/>
      <c r="CB30" s="230"/>
      <c r="CC30" s="333"/>
      <c r="CD30" s="304"/>
      <c r="CE30" s="328"/>
    </row>
    <row r="31" spans="1:83" ht="16.5" x14ac:dyDescent="0.45">
      <c r="A31" s="221"/>
      <c r="B31" s="221"/>
      <c r="C31" s="221"/>
      <c r="D31" s="235" t="s">
        <v>215</v>
      </c>
      <c r="E31" s="3"/>
      <c r="F31" s="227" t="s">
        <v>205</v>
      </c>
      <c r="G31" s="220" t="s">
        <v>216</v>
      </c>
      <c r="H31" s="220" t="s">
        <v>203</v>
      </c>
      <c r="I31" s="227" t="s">
        <v>217</v>
      </c>
      <c r="J31" s="90" t="s">
        <v>22</v>
      </c>
      <c r="K31" s="398">
        <f t="shared" si="0"/>
        <v>6.4722222222222223</v>
      </c>
      <c r="L31" s="51">
        <v>7</v>
      </c>
      <c r="M31" s="52">
        <v>3</v>
      </c>
      <c r="N31" s="52">
        <v>7</v>
      </c>
      <c r="O31" s="52">
        <v>2</v>
      </c>
      <c r="P31" s="52">
        <v>5</v>
      </c>
      <c r="Q31" s="52">
        <v>4</v>
      </c>
      <c r="R31" s="52">
        <v>4</v>
      </c>
      <c r="S31" s="52">
        <v>8</v>
      </c>
      <c r="T31" s="52">
        <v>8</v>
      </c>
      <c r="U31" s="52">
        <v>5</v>
      </c>
      <c r="V31" s="52">
        <v>6</v>
      </c>
      <c r="W31" s="52">
        <v>6</v>
      </c>
      <c r="X31" s="140">
        <v>7</v>
      </c>
      <c r="Y31" s="53">
        <v>4</v>
      </c>
      <c r="Z31" s="53">
        <v>0</v>
      </c>
      <c r="AA31" s="53">
        <v>1</v>
      </c>
      <c r="AB31" s="53">
        <v>9</v>
      </c>
      <c r="AC31" s="53">
        <v>5</v>
      </c>
      <c r="AD31" s="53">
        <v>5</v>
      </c>
      <c r="AE31" s="53">
        <v>5</v>
      </c>
      <c r="AF31" s="53">
        <v>6</v>
      </c>
      <c r="AG31" s="53">
        <v>6</v>
      </c>
      <c r="AH31" s="53">
        <v>10</v>
      </c>
      <c r="AI31" s="141">
        <v>15</v>
      </c>
      <c r="AJ31" s="53">
        <v>12</v>
      </c>
      <c r="AK31" s="53">
        <v>4</v>
      </c>
      <c r="AL31" s="53">
        <v>6</v>
      </c>
      <c r="AM31" s="53">
        <v>9</v>
      </c>
      <c r="AN31" s="53">
        <v>5</v>
      </c>
      <c r="AO31" s="53">
        <v>10</v>
      </c>
      <c r="AP31" s="53">
        <v>7</v>
      </c>
      <c r="AQ31" s="53">
        <v>9</v>
      </c>
      <c r="AR31" s="53">
        <v>8</v>
      </c>
      <c r="AS31" s="53">
        <v>15</v>
      </c>
      <c r="AT31" s="53">
        <v>7</v>
      </c>
      <c r="AU31" s="53">
        <v>8</v>
      </c>
      <c r="AV31" s="140">
        <v>6</v>
      </c>
      <c r="AW31" s="53">
        <v>4</v>
      </c>
      <c r="AX31" s="53">
        <v>10</v>
      </c>
      <c r="AY31" s="53">
        <v>12</v>
      </c>
      <c r="AZ31" s="53">
        <v>4</v>
      </c>
      <c r="BA31" s="53">
        <v>8</v>
      </c>
      <c r="BB31" s="53">
        <v>12</v>
      </c>
      <c r="BC31" s="53">
        <v>6</v>
      </c>
      <c r="BD31" s="53">
        <v>7</v>
      </c>
      <c r="BE31" s="53">
        <v>13</v>
      </c>
      <c r="BF31" s="53">
        <v>8</v>
      </c>
      <c r="BG31" s="141">
        <v>9</v>
      </c>
      <c r="BH31" s="53">
        <v>9</v>
      </c>
      <c r="BI31" s="53">
        <v>4</v>
      </c>
      <c r="BJ31" s="53">
        <v>4</v>
      </c>
      <c r="BK31" s="53">
        <v>6</v>
      </c>
      <c r="BL31" s="53">
        <v>3</v>
      </c>
      <c r="BM31" s="53">
        <v>7</v>
      </c>
      <c r="BN31" s="53">
        <v>4</v>
      </c>
      <c r="BO31" s="53">
        <v>3</v>
      </c>
      <c r="BP31" s="53">
        <v>7</v>
      </c>
      <c r="BQ31" s="53">
        <v>5</v>
      </c>
      <c r="BR31" s="53">
        <v>7</v>
      </c>
      <c r="BS31" s="53">
        <v>6</v>
      </c>
      <c r="BT31" s="140">
        <v>6</v>
      </c>
      <c r="BU31" s="53">
        <v>2</v>
      </c>
      <c r="BV31" s="53">
        <v>6</v>
      </c>
      <c r="BW31" s="53">
        <v>6</v>
      </c>
      <c r="BX31" s="53">
        <v>9</v>
      </c>
      <c r="BY31" s="53">
        <v>9</v>
      </c>
      <c r="BZ31" s="53">
        <v>9</v>
      </c>
      <c r="CA31" s="53">
        <v>2</v>
      </c>
      <c r="CB31" s="53">
        <v>1</v>
      </c>
      <c r="CC31" s="53">
        <v>8</v>
      </c>
      <c r="CD31" s="53">
        <v>2</v>
      </c>
      <c r="CE31" s="105">
        <v>4</v>
      </c>
    </row>
    <row r="32" spans="1:83" ht="17" thickBot="1" x14ac:dyDescent="0.5">
      <c r="A32" s="221"/>
      <c r="B32" s="221"/>
      <c r="C32" s="222"/>
      <c r="D32" s="236"/>
      <c r="E32" s="3"/>
      <c r="F32" s="228"/>
      <c r="G32" s="222"/>
      <c r="H32" s="222"/>
      <c r="I32" s="229"/>
      <c r="J32" s="55" t="s">
        <v>175</v>
      </c>
      <c r="K32" s="399"/>
      <c r="L32" s="101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38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39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38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39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38"/>
      <c r="BU32" s="103"/>
      <c r="BV32" s="103"/>
      <c r="BW32" s="103"/>
      <c r="BX32" s="103"/>
      <c r="BY32" s="103"/>
      <c r="BZ32" s="103"/>
      <c r="CA32" s="103"/>
      <c r="CB32" s="103"/>
      <c r="CC32" s="103"/>
      <c r="CD32" s="103"/>
      <c r="CE32" s="104"/>
    </row>
    <row r="33" spans="1:83" ht="16.5" x14ac:dyDescent="0.45">
      <c r="A33" s="221"/>
      <c r="B33" s="221"/>
      <c r="C33" s="220" t="s">
        <v>284</v>
      </c>
      <c r="D33" s="225" t="s">
        <v>304</v>
      </c>
      <c r="E33" s="3"/>
      <c r="F33" s="220" t="s">
        <v>205</v>
      </c>
      <c r="G33" s="220" t="s">
        <v>314</v>
      </c>
      <c r="H33" s="220" t="s">
        <v>55</v>
      </c>
      <c r="I33" s="238" t="s">
        <v>315</v>
      </c>
      <c r="J33" s="90" t="s">
        <v>22</v>
      </c>
      <c r="K33" s="398">
        <f t="shared" ref="K33" si="1">AVERAGE(L33:CE33)</f>
        <v>0.5</v>
      </c>
      <c r="L33" s="76">
        <v>0</v>
      </c>
      <c r="M33" s="77">
        <v>0</v>
      </c>
      <c r="N33" s="77">
        <v>1</v>
      </c>
      <c r="O33" s="77">
        <v>0</v>
      </c>
      <c r="P33" s="77">
        <v>1</v>
      </c>
      <c r="Q33" s="77">
        <v>0</v>
      </c>
      <c r="R33" s="77">
        <v>0</v>
      </c>
      <c r="S33" s="77">
        <v>0</v>
      </c>
      <c r="T33" s="77">
        <v>0</v>
      </c>
      <c r="U33" s="77">
        <v>0</v>
      </c>
      <c r="V33" s="77">
        <v>0</v>
      </c>
      <c r="W33" s="77">
        <v>0</v>
      </c>
      <c r="X33" s="136">
        <v>2</v>
      </c>
      <c r="Y33" s="80">
        <v>0</v>
      </c>
      <c r="Z33" s="80">
        <v>0</v>
      </c>
      <c r="AA33" s="80">
        <v>0</v>
      </c>
      <c r="AB33" s="80">
        <v>1</v>
      </c>
      <c r="AC33" s="80">
        <v>1</v>
      </c>
      <c r="AD33" s="80">
        <v>1</v>
      </c>
      <c r="AE33" s="80">
        <v>0</v>
      </c>
      <c r="AF33" s="80">
        <v>0</v>
      </c>
      <c r="AG33" s="80">
        <v>0</v>
      </c>
      <c r="AH33" s="80">
        <v>0</v>
      </c>
      <c r="AI33" s="137">
        <v>0</v>
      </c>
      <c r="AJ33" s="80">
        <v>0</v>
      </c>
      <c r="AK33" s="80">
        <v>0</v>
      </c>
      <c r="AL33" s="80">
        <v>0</v>
      </c>
      <c r="AM33" s="80">
        <v>2</v>
      </c>
      <c r="AN33" s="80">
        <v>0</v>
      </c>
      <c r="AO33" s="80">
        <v>1</v>
      </c>
      <c r="AP33" s="80">
        <v>1</v>
      </c>
      <c r="AQ33" s="80">
        <v>2</v>
      </c>
      <c r="AR33" s="80">
        <v>0</v>
      </c>
      <c r="AS33" s="80">
        <v>0</v>
      </c>
      <c r="AT33" s="80">
        <v>0</v>
      </c>
      <c r="AU33" s="80">
        <v>0</v>
      </c>
      <c r="AV33" s="136">
        <v>1</v>
      </c>
      <c r="AW33" s="80">
        <v>1</v>
      </c>
      <c r="AX33" s="80">
        <v>0</v>
      </c>
      <c r="AY33" s="80">
        <v>0</v>
      </c>
      <c r="AZ33" s="80">
        <v>0</v>
      </c>
      <c r="BA33" s="80">
        <v>11</v>
      </c>
      <c r="BB33" s="80">
        <v>0</v>
      </c>
      <c r="BC33" s="80">
        <v>0</v>
      </c>
      <c r="BD33" s="80">
        <v>0</v>
      </c>
      <c r="BE33" s="80">
        <v>2</v>
      </c>
      <c r="BF33" s="80">
        <v>1</v>
      </c>
      <c r="BG33" s="137">
        <v>1</v>
      </c>
      <c r="BH33" s="80">
        <v>2</v>
      </c>
      <c r="BI33" s="80">
        <v>1</v>
      </c>
      <c r="BJ33" s="80">
        <v>0</v>
      </c>
      <c r="BK33" s="80">
        <v>0</v>
      </c>
      <c r="BL33" s="80">
        <v>0</v>
      </c>
      <c r="BM33" s="80">
        <v>0</v>
      </c>
      <c r="BN33" s="80">
        <v>0</v>
      </c>
      <c r="BO33" s="80">
        <v>0</v>
      </c>
      <c r="BP33" s="80">
        <v>0</v>
      </c>
      <c r="BQ33" s="80">
        <v>0</v>
      </c>
      <c r="BR33" s="80">
        <v>0</v>
      </c>
      <c r="BS33" s="80">
        <v>0</v>
      </c>
      <c r="BT33" s="136">
        <v>0</v>
      </c>
      <c r="BU33" s="80">
        <v>0</v>
      </c>
      <c r="BV33" s="80">
        <v>0</v>
      </c>
      <c r="BW33" s="80">
        <v>0</v>
      </c>
      <c r="BX33" s="80">
        <v>0</v>
      </c>
      <c r="BY33" s="80">
        <v>1</v>
      </c>
      <c r="BZ33" s="80">
        <v>0</v>
      </c>
      <c r="CA33" s="80">
        <v>0</v>
      </c>
      <c r="CB33" s="80">
        <v>1</v>
      </c>
      <c r="CC33" s="80">
        <v>0</v>
      </c>
      <c r="CD33" s="80">
        <v>0</v>
      </c>
      <c r="CE33" s="81">
        <v>1</v>
      </c>
    </row>
    <row r="34" spans="1:83" ht="17" thickBot="1" x14ac:dyDescent="0.5">
      <c r="A34" s="221"/>
      <c r="B34" s="221"/>
      <c r="C34" s="221"/>
      <c r="D34" s="226"/>
      <c r="E34" s="3"/>
      <c r="F34" s="222"/>
      <c r="G34" s="222"/>
      <c r="H34" s="222"/>
      <c r="I34" s="239"/>
      <c r="J34" s="55" t="s">
        <v>322</v>
      </c>
      <c r="K34" s="399"/>
      <c r="L34" s="301">
        <v>2</v>
      </c>
      <c r="M34" s="302"/>
      <c r="N34" s="302"/>
      <c r="O34" s="302"/>
      <c r="P34" s="302"/>
      <c r="Q34" s="302"/>
      <c r="R34" s="302"/>
      <c r="S34" s="302"/>
      <c r="T34" s="302"/>
      <c r="U34" s="302"/>
      <c r="V34" s="302"/>
      <c r="W34" s="387"/>
      <c r="X34" s="303">
        <v>5</v>
      </c>
      <c r="Y34" s="297"/>
      <c r="Z34" s="297"/>
      <c r="AA34" s="297"/>
      <c r="AB34" s="297"/>
      <c r="AC34" s="297"/>
      <c r="AD34" s="297"/>
      <c r="AE34" s="297"/>
      <c r="AF34" s="297"/>
      <c r="AG34" s="297"/>
      <c r="AH34" s="297"/>
      <c r="AI34" s="298"/>
      <c r="AJ34" s="303">
        <v>6</v>
      </c>
      <c r="AK34" s="297"/>
      <c r="AL34" s="297"/>
      <c r="AM34" s="297"/>
      <c r="AN34" s="297"/>
      <c r="AO34" s="297"/>
      <c r="AP34" s="297"/>
      <c r="AQ34" s="297"/>
      <c r="AR34" s="297"/>
      <c r="AS34" s="297"/>
      <c r="AT34" s="297"/>
      <c r="AU34" s="298"/>
      <c r="AV34" s="303">
        <v>7</v>
      </c>
      <c r="AW34" s="297"/>
      <c r="AX34" s="297"/>
      <c r="AY34" s="297"/>
      <c r="AZ34" s="297"/>
      <c r="BA34" s="297"/>
      <c r="BB34" s="297"/>
      <c r="BC34" s="297"/>
      <c r="BD34" s="297"/>
      <c r="BE34" s="297"/>
      <c r="BF34" s="297"/>
      <c r="BG34" s="298"/>
      <c r="BH34" s="303">
        <v>3</v>
      </c>
      <c r="BI34" s="297"/>
      <c r="BJ34" s="297"/>
      <c r="BK34" s="297"/>
      <c r="BL34" s="297"/>
      <c r="BM34" s="297"/>
      <c r="BN34" s="297"/>
      <c r="BO34" s="297"/>
      <c r="BP34" s="297"/>
      <c r="BQ34" s="297"/>
      <c r="BR34" s="297"/>
      <c r="BS34" s="298"/>
      <c r="BT34" s="303">
        <v>3</v>
      </c>
      <c r="BU34" s="297"/>
      <c r="BV34" s="297"/>
      <c r="BW34" s="297"/>
      <c r="BX34" s="297"/>
      <c r="BY34" s="297"/>
      <c r="BZ34" s="297"/>
      <c r="CA34" s="297"/>
      <c r="CB34" s="297"/>
      <c r="CC34" s="297"/>
      <c r="CD34" s="297"/>
      <c r="CE34" s="305"/>
    </row>
    <row r="35" spans="1:83" ht="16.5" x14ac:dyDescent="0.45">
      <c r="A35" s="221"/>
      <c r="B35" s="221"/>
      <c r="C35" s="221"/>
      <c r="D35" s="235" t="s">
        <v>233</v>
      </c>
      <c r="E35" s="3"/>
      <c r="F35" s="227" t="s">
        <v>205</v>
      </c>
      <c r="G35" s="220" t="s">
        <v>236</v>
      </c>
      <c r="H35" s="220" t="s">
        <v>55</v>
      </c>
      <c r="I35" s="227" t="s">
        <v>237</v>
      </c>
      <c r="J35" s="90" t="s">
        <v>22</v>
      </c>
      <c r="K35" s="398">
        <f t="shared" ref="K35" si="2">AVERAGE(L35:CE35)</f>
        <v>0.20833333333333334</v>
      </c>
      <c r="L35" s="51">
        <v>0</v>
      </c>
      <c r="M35" s="52">
        <v>0</v>
      </c>
      <c r="N35" s="52">
        <v>0</v>
      </c>
      <c r="O35" s="52">
        <v>0</v>
      </c>
      <c r="P35" s="52">
        <v>0</v>
      </c>
      <c r="Q35" s="52">
        <v>0</v>
      </c>
      <c r="R35" s="52">
        <v>0</v>
      </c>
      <c r="S35" s="52">
        <v>0</v>
      </c>
      <c r="T35" s="52">
        <v>0</v>
      </c>
      <c r="U35" s="52">
        <v>1</v>
      </c>
      <c r="V35" s="52">
        <v>0</v>
      </c>
      <c r="W35" s="52">
        <v>0</v>
      </c>
      <c r="X35" s="140">
        <v>0</v>
      </c>
      <c r="Y35" s="53">
        <v>0</v>
      </c>
      <c r="Z35" s="53">
        <v>1</v>
      </c>
      <c r="AA35" s="53">
        <v>1</v>
      </c>
      <c r="AB35" s="53">
        <v>0</v>
      </c>
      <c r="AC35" s="53">
        <v>1</v>
      </c>
      <c r="AD35" s="53">
        <v>0</v>
      </c>
      <c r="AE35" s="53">
        <v>0</v>
      </c>
      <c r="AF35" s="53">
        <v>0</v>
      </c>
      <c r="AG35" s="53">
        <v>0</v>
      </c>
      <c r="AH35" s="53">
        <v>0</v>
      </c>
      <c r="AI35" s="141">
        <v>0</v>
      </c>
      <c r="AJ35" s="53">
        <v>0</v>
      </c>
      <c r="AK35" s="53">
        <v>0</v>
      </c>
      <c r="AL35" s="53">
        <v>0</v>
      </c>
      <c r="AM35" s="53">
        <v>0</v>
      </c>
      <c r="AN35" s="53">
        <v>0</v>
      </c>
      <c r="AO35" s="53">
        <v>0</v>
      </c>
      <c r="AP35" s="53">
        <v>0</v>
      </c>
      <c r="AQ35" s="53">
        <v>0</v>
      </c>
      <c r="AR35" s="53">
        <v>0</v>
      </c>
      <c r="AS35" s="53">
        <v>0</v>
      </c>
      <c r="AT35" s="53">
        <v>0</v>
      </c>
      <c r="AU35" s="53">
        <v>0</v>
      </c>
      <c r="AV35" s="140">
        <v>1</v>
      </c>
      <c r="AW35" s="53">
        <v>0</v>
      </c>
      <c r="AX35" s="53">
        <v>0</v>
      </c>
      <c r="AY35" s="53">
        <v>0</v>
      </c>
      <c r="AZ35" s="53">
        <v>0</v>
      </c>
      <c r="BA35" s="53">
        <v>1</v>
      </c>
      <c r="BB35" s="53">
        <v>0</v>
      </c>
      <c r="BC35" s="53">
        <v>0</v>
      </c>
      <c r="BD35" s="53">
        <v>0</v>
      </c>
      <c r="BE35" s="53">
        <v>1</v>
      </c>
      <c r="BF35" s="53">
        <v>0</v>
      </c>
      <c r="BG35" s="141">
        <v>0</v>
      </c>
      <c r="BH35" s="53">
        <v>0</v>
      </c>
      <c r="BI35" s="53">
        <v>0</v>
      </c>
      <c r="BJ35" s="53">
        <v>0</v>
      </c>
      <c r="BK35" s="53">
        <v>0</v>
      </c>
      <c r="BL35" s="53">
        <v>0</v>
      </c>
      <c r="BM35" s="53">
        <v>1</v>
      </c>
      <c r="BN35" s="53">
        <v>0</v>
      </c>
      <c r="BO35" s="53">
        <v>0</v>
      </c>
      <c r="BP35" s="53">
        <v>0</v>
      </c>
      <c r="BQ35" s="53">
        <v>0</v>
      </c>
      <c r="BR35" s="53">
        <v>1</v>
      </c>
      <c r="BS35" s="53">
        <v>0</v>
      </c>
      <c r="BT35" s="140">
        <v>0</v>
      </c>
      <c r="BU35" s="53">
        <v>0</v>
      </c>
      <c r="BV35" s="53">
        <v>0</v>
      </c>
      <c r="BW35" s="53">
        <v>1</v>
      </c>
      <c r="BX35" s="53">
        <v>1</v>
      </c>
      <c r="BY35" s="53">
        <v>0</v>
      </c>
      <c r="BZ35" s="53">
        <v>0</v>
      </c>
      <c r="CA35" s="53">
        <v>0</v>
      </c>
      <c r="CB35" s="53">
        <v>0</v>
      </c>
      <c r="CC35" s="53">
        <v>0</v>
      </c>
      <c r="CD35" s="53">
        <v>1</v>
      </c>
      <c r="CE35" s="105">
        <v>3</v>
      </c>
    </row>
    <row r="36" spans="1:83" ht="17" thickBot="1" x14ac:dyDescent="0.5">
      <c r="A36" s="221"/>
      <c r="B36" s="221"/>
      <c r="C36" s="221"/>
      <c r="D36" s="236"/>
      <c r="E36" s="3"/>
      <c r="F36" s="228"/>
      <c r="G36" s="222"/>
      <c r="H36" s="222"/>
      <c r="I36" s="229"/>
      <c r="J36" s="55" t="s">
        <v>175</v>
      </c>
      <c r="K36" s="399"/>
      <c r="L36" s="101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38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39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38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39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38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4"/>
    </row>
    <row r="37" spans="1:83" ht="16.5" x14ac:dyDescent="0.45">
      <c r="A37" s="221"/>
      <c r="B37" s="221"/>
      <c r="C37" s="221"/>
      <c r="D37" s="235" t="s">
        <v>232</v>
      </c>
      <c r="E37" s="3"/>
      <c r="F37" s="227" t="s">
        <v>205</v>
      </c>
      <c r="G37" s="220" t="s">
        <v>234</v>
      </c>
      <c r="H37" s="220" t="s">
        <v>55</v>
      </c>
      <c r="I37" s="227" t="s">
        <v>235</v>
      </c>
      <c r="J37" s="90" t="s">
        <v>22</v>
      </c>
      <c r="K37" s="398">
        <f t="shared" ref="K37" si="3">AVERAGE(L37:CE37)</f>
        <v>1.625</v>
      </c>
      <c r="L37" s="51">
        <v>2</v>
      </c>
      <c r="M37" s="52">
        <v>2</v>
      </c>
      <c r="N37" s="52">
        <v>1</v>
      </c>
      <c r="O37" s="52">
        <v>3</v>
      </c>
      <c r="P37" s="52">
        <v>1</v>
      </c>
      <c r="Q37" s="52">
        <v>0</v>
      </c>
      <c r="R37" s="52">
        <v>0</v>
      </c>
      <c r="S37" s="52">
        <v>0</v>
      </c>
      <c r="T37" s="52">
        <v>2</v>
      </c>
      <c r="U37" s="52">
        <v>0</v>
      </c>
      <c r="V37" s="52">
        <v>1</v>
      </c>
      <c r="W37" s="52">
        <v>2</v>
      </c>
      <c r="X37" s="140">
        <v>1</v>
      </c>
      <c r="Y37" s="53">
        <v>3</v>
      </c>
      <c r="Z37" s="53">
        <v>0</v>
      </c>
      <c r="AA37" s="53">
        <v>0</v>
      </c>
      <c r="AB37" s="53">
        <v>5</v>
      </c>
      <c r="AC37" s="53">
        <v>1</v>
      </c>
      <c r="AD37" s="53">
        <v>2</v>
      </c>
      <c r="AE37" s="53">
        <v>1</v>
      </c>
      <c r="AF37" s="53">
        <v>2</v>
      </c>
      <c r="AG37" s="53">
        <v>4</v>
      </c>
      <c r="AH37" s="53">
        <v>1</v>
      </c>
      <c r="AI37" s="141">
        <v>1</v>
      </c>
      <c r="AJ37" s="53">
        <v>1</v>
      </c>
      <c r="AK37" s="53">
        <v>2</v>
      </c>
      <c r="AL37" s="53">
        <v>1</v>
      </c>
      <c r="AM37" s="53">
        <v>1</v>
      </c>
      <c r="AN37" s="53">
        <v>1</v>
      </c>
      <c r="AO37" s="53">
        <v>0</v>
      </c>
      <c r="AP37" s="53">
        <v>2</v>
      </c>
      <c r="AQ37" s="53">
        <v>1</v>
      </c>
      <c r="AR37" s="53">
        <v>0</v>
      </c>
      <c r="AS37" s="53">
        <v>3</v>
      </c>
      <c r="AT37" s="53">
        <v>1</v>
      </c>
      <c r="AU37" s="53">
        <v>2</v>
      </c>
      <c r="AV37" s="140">
        <v>1</v>
      </c>
      <c r="AW37" s="53">
        <v>2</v>
      </c>
      <c r="AX37" s="53">
        <v>0</v>
      </c>
      <c r="AY37" s="53">
        <v>2</v>
      </c>
      <c r="AZ37" s="53">
        <v>0</v>
      </c>
      <c r="BA37" s="53">
        <v>2</v>
      </c>
      <c r="BB37" s="53">
        <v>2</v>
      </c>
      <c r="BC37" s="53">
        <v>1</v>
      </c>
      <c r="BD37" s="53">
        <v>2</v>
      </c>
      <c r="BE37" s="53">
        <v>0</v>
      </c>
      <c r="BF37" s="53">
        <v>2</v>
      </c>
      <c r="BG37" s="141">
        <v>1</v>
      </c>
      <c r="BH37" s="53">
        <v>1</v>
      </c>
      <c r="BI37" s="53">
        <v>1</v>
      </c>
      <c r="BJ37" s="53">
        <v>3</v>
      </c>
      <c r="BK37" s="53">
        <v>1</v>
      </c>
      <c r="BL37" s="53">
        <v>1</v>
      </c>
      <c r="BM37" s="53">
        <v>2</v>
      </c>
      <c r="BN37" s="53">
        <v>2</v>
      </c>
      <c r="BO37" s="53">
        <v>0</v>
      </c>
      <c r="BP37" s="53">
        <v>0</v>
      </c>
      <c r="BQ37" s="53">
        <v>4</v>
      </c>
      <c r="BR37" s="53">
        <v>2</v>
      </c>
      <c r="BS37" s="53">
        <v>0</v>
      </c>
      <c r="BT37" s="140">
        <v>1</v>
      </c>
      <c r="BU37" s="53">
        <v>4</v>
      </c>
      <c r="BV37" s="53">
        <v>4</v>
      </c>
      <c r="BW37" s="53">
        <v>4</v>
      </c>
      <c r="BX37" s="53">
        <v>1</v>
      </c>
      <c r="BY37" s="53">
        <v>2</v>
      </c>
      <c r="BZ37" s="53">
        <v>1</v>
      </c>
      <c r="CA37" s="53">
        <v>2</v>
      </c>
      <c r="CB37" s="53">
        <v>2</v>
      </c>
      <c r="CC37" s="53">
        <v>2</v>
      </c>
      <c r="CD37" s="53">
        <v>6</v>
      </c>
      <c r="CE37" s="105">
        <v>6</v>
      </c>
    </row>
    <row r="38" spans="1:83" ht="17" thickBot="1" x14ac:dyDescent="0.5">
      <c r="A38" s="221"/>
      <c r="B38" s="221"/>
      <c r="C38" s="222"/>
      <c r="D38" s="236"/>
      <c r="E38" s="3"/>
      <c r="F38" s="228"/>
      <c r="G38" s="222"/>
      <c r="H38" s="222"/>
      <c r="I38" s="229"/>
      <c r="J38" s="55" t="s">
        <v>175</v>
      </c>
      <c r="K38" s="399"/>
      <c r="L38" s="101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38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39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38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39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38"/>
      <c r="BU38" s="103"/>
      <c r="BV38" s="103"/>
      <c r="BW38" s="103"/>
      <c r="BX38" s="103"/>
      <c r="BY38" s="103"/>
      <c r="BZ38" s="103"/>
      <c r="CA38" s="103"/>
      <c r="CB38" s="103"/>
      <c r="CC38" s="103"/>
      <c r="CD38" s="103"/>
      <c r="CE38" s="104"/>
    </row>
    <row r="39" spans="1:83" ht="17" thickTop="1" x14ac:dyDescent="0.45">
      <c r="A39" s="221"/>
      <c r="B39" s="221"/>
      <c r="C39" s="220" t="s">
        <v>287</v>
      </c>
      <c r="D39" s="225" t="s">
        <v>278</v>
      </c>
      <c r="E39" s="3"/>
      <c r="F39" s="227" t="s">
        <v>205</v>
      </c>
      <c r="G39" s="220" t="s">
        <v>316</v>
      </c>
      <c r="H39" s="220" t="s">
        <v>55</v>
      </c>
      <c r="I39" s="238" t="s">
        <v>317</v>
      </c>
      <c r="J39" s="88" t="s">
        <v>22</v>
      </c>
      <c r="K39" s="398">
        <f t="shared" si="0"/>
        <v>0.20833333333333334</v>
      </c>
      <c r="L39" s="76">
        <v>0</v>
      </c>
      <c r="M39" s="77">
        <v>0</v>
      </c>
      <c r="N39" s="77">
        <v>0</v>
      </c>
      <c r="O39" s="77">
        <v>0</v>
      </c>
      <c r="P39" s="77">
        <v>0</v>
      </c>
      <c r="Q39" s="77">
        <v>0</v>
      </c>
      <c r="R39" s="77">
        <v>0</v>
      </c>
      <c r="S39" s="77">
        <v>0</v>
      </c>
      <c r="T39" s="77">
        <v>1</v>
      </c>
      <c r="U39" s="77">
        <v>0</v>
      </c>
      <c r="V39" s="77">
        <v>0</v>
      </c>
      <c r="W39" s="77">
        <v>0</v>
      </c>
      <c r="X39" s="136">
        <v>1</v>
      </c>
      <c r="Y39" s="80">
        <v>0</v>
      </c>
      <c r="Z39" s="80">
        <v>0</v>
      </c>
      <c r="AA39" s="80">
        <v>0</v>
      </c>
      <c r="AB39" s="80">
        <v>1</v>
      </c>
      <c r="AC39" s="80">
        <v>0</v>
      </c>
      <c r="AD39" s="80">
        <v>1</v>
      </c>
      <c r="AE39" s="80">
        <v>0</v>
      </c>
      <c r="AF39" s="80">
        <v>0</v>
      </c>
      <c r="AG39" s="80">
        <v>0</v>
      </c>
      <c r="AH39" s="80">
        <v>1</v>
      </c>
      <c r="AI39" s="137">
        <v>0</v>
      </c>
      <c r="AJ39" s="80">
        <v>0</v>
      </c>
      <c r="AK39" s="80">
        <v>0</v>
      </c>
      <c r="AL39" s="80">
        <v>2</v>
      </c>
      <c r="AM39" s="80">
        <v>0</v>
      </c>
      <c r="AN39" s="80">
        <v>0</v>
      </c>
      <c r="AO39" s="80">
        <v>0</v>
      </c>
      <c r="AP39" s="80">
        <v>0</v>
      </c>
      <c r="AQ39" s="80">
        <v>0</v>
      </c>
      <c r="AR39" s="80">
        <v>0</v>
      </c>
      <c r="AS39" s="80">
        <v>0</v>
      </c>
      <c r="AT39" s="80">
        <v>0</v>
      </c>
      <c r="AU39" s="80">
        <v>0</v>
      </c>
      <c r="AV39" s="136">
        <v>0</v>
      </c>
      <c r="AW39" s="80">
        <v>0</v>
      </c>
      <c r="AX39" s="80">
        <v>0</v>
      </c>
      <c r="AY39" s="80">
        <v>0</v>
      </c>
      <c r="AZ39" s="80">
        <v>0</v>
      </c>
      <c r="BA39" s="80">
        <v>0</v>
      </c>
      <c r="BB39" s="80">
        <v>0</v>
      </c>
      <c r="BC39" s="80">
        <v>0</v>
      </c>
      <c r="BD39" s="80">
        <v>1</v>
      </c>
      <c r="BE39" s="80">
        <v>0</v>
      </c>
      <c r="BF39" s="80">
        <v>0</v>
      </c>
      <c r="BG39" s="137">
        <v>1</v>
      </c>
      <c r="BH39" s="80">
        <v>1</v>
      </c>
      <c r="BI39" s="80">
        <v>0</v>
      </c>
      <c r="BJ39" s="80">
        <v>0</v>
      </c>
      <c r="BK39" s="80">
        <v>0</v>
      </c>
      <c r="BL39" s="80">
        <v>0</v>
      </c>
      <c r="BM39" s="80">
        <v>1</v>
      </c>
      <c r="BN39" s="80">
        <v>0</v>
      </c>
      <c r="BO39" s="80">
        <v>0</v>
      </c>
      <c r="BP39" s="80">
        <v>1</v>
      </c>
      <c r="BQ39" s="80">
        <v>0</v>
      </c>
      <c r="BR39" s="80">
        <v>0</v>
      </c>
      <c r="BS39" s="80">
        <v>0</v>
      </c>
      <c r="BT39" s="136">
        <v>0</v>
      </c>
      <c r="BU39" s="80">
        <v>0</v>
      </c>
      <c r="BV39" s="80">
        <v>0</v>
      </c>
      <c r="BW39" s="80">
        <v>0</v>
      </c>
      <c r="BX39" s="80">
        <v>1</v>
      </c>
      <c r="BY39" s="80">
        <v>0</v>
      </c>
      <c r="BZ39" s="80">
        <v>0</v>
      </c>
      <c r="CA39" s="80">
        <v>0</v>
      </c>
      <c r="CB39" s="80">
        <v>1</v>
      </c>
      <c r="CC39" s="80">
        <v>1</v>
      </c>
      <c r="CD39" s="80">
        <v>0</v>
      </c>
      <c r="CE39" s="81">
        <v>0</v>
      </c>
    </row>
    <row r="40" spans="1:83" ht="17" thickBot="1" x14ac:dyDescent="0.5">
      <c r="A40" s="221"/>
      <c r="B40" s="221"/>
      <c r="C40" s="221"/>
      <c r="D40" s="226"/>
      <c r="E40" s="3"/>
      <c r="F40" s="228"/>
      <c r="G40" s="222"/>
      <c r="H40" s="222"/>
      <c r="I40" s="239"/>
      <c r="J40" s="55" t="s">
        <v>175</v>
      </c>
      <c r="K40" s="399"/>
      <c r="L40" s="229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1"/>
      <c r="Y40" s="232"/>
      <c r="Z40" s="232"/>
      <c r="AA40" s="232"/>
      <c r="AB40" s="232"/>
      <c r="AC40" s="232"/>
      <c r="AD40" s="232"/>
      <c r="AE40" s="232"/>
      <c r="AF40" s="232"/>
      <c r="AG40" s="232"/>
      <c r="AH40" s="232"/>
      <c r="AI40" s="233"/>
      <c r="AJ40" s="232"/>
      <c r="AK40" s="232"/>
      <c r="AL40" s="232"/>
      <c r="AM40" s="232"/>
      <c r="AN40" s="232"/>
      <c r="AO40" s="232"/>
      <c r="AP40" s="232"/>
      <c r="AQ40" s="232"/>
      <c r="AR40" s="232"/>
      <c r="AS40" s="232"/>
      <c r="AT40" s="232"/>
      <c r="AU40" s="232"/>
      <c r="AV40" s="231"/>
      <c r="AW40" s="232"/>
      <c r="AX40" s="232"/>
      <c r="AY40" s="232"/>
      <c r="AZ40" s="232"/>
      <c r="BA40" s="232"/>
      <c r="BB40" s="232"/>
      <c r="BC40" s="232"/>
      <c r="BD40" s="232"/>
      <c r="BE40" s="232"/>
      <c r="BF40" s="232"/>
      <c r="BG40" s="233"/>
      <c r="BH40" s="232"/>
      <c r="BI40" s="232"/>
      <c r="BJ40" s="232"/>
      <c r="BK40" s="232"/>
      <c r="BL40" s="232"/>
      <c r="BM40" s="232"/>
      <c r="BN40" s="232"/>
      <c r="BO40" s="232"/>
      <c r="BP40" s="232"/>
      <c r="BQ40" s="232"/>
      <c r="BR40" s="232"/>
      <c r="BS40" s="232"/>
      <c r="BT40" s="231"/>
      <c r="BU40" s="232"/>
      <c r="BV40" s="232"/>
      <c r="BW40" s="232"/>
      <c r="BX40" s="232"/>
      <c r="BY40" s="232"/>
      <c r="BZ40" s="232"/>
      <c r="CA40" s="232"/>
      <c r="CB40" s="232"/>
      <c r="CC40" s="232"/>
      <c r="CD40" s="232"/>
      <c r="CE40" s="234"/>
    </row>
    <row r="41" spans="1:83" ht="16.5" x14ac:dyDescent="0.45">
      <c r="A41" s="221"/>
      <c r="B41" s="221"/>
      <c r="C41" s="221"/>
      <c r="D41" s="225" t="s">
        <v>305</v>
      </c>
      <c r="E41" s="3"/>
      <c r="F41" s="227" t="s">
        <v>205</v>
      </c>
      <c r="G41" s="220" t="s">
        <v>211</v>
      </c>
      <c r="H41" s="220" t="s">
        <v>55</v>
      </c>
      <c r="I41" s="227" t="s">
        <v>212</v>
      </c>
      <c r="J41" s="90" t="s">
        <v>22</v>
      </c>
      <c r="K41" s="398">
        <f t="shared" si="0"/>
        <v>1.1666666666666667</v>
      </c>
      <c r="L41" s="76">
        <v>0</v>
      </c>
      <c r="M41" s="77">
        <v>2</v>
      </c>
      <c r="N41" s="77">
        <v>1</v>
      </c>
      <c r="O41" s="77">
        <v>2</v>
      </c>
      <c r="P41" s="77">
        <v>0</v>
      </c>
      <c r="Q41" s="77">
        <v>1</v>
      </c>
      <c r="R41" s="77">
        <v>1</v>
      </c>
      <c r="S41" s="77">
        <v>0</v>
      </c>
      <c r="T41" s="77">
        <v>1</v>
      </c>
      <c r="U41" s="77">
        <v>1</v>
      </c>
      <c r="V41" s="77">
        <v>2</v>
      </c>
      <c r="W41" s="77">
        <v>1</v>
      </c>
      <c r="X41" s="136">
        <v>0</v>
      </c>
      <c r="Y41" s="80">
        <v>1</v>
      </c>
      <c r="Z41" s="80">
        <v>0</v>
      </c>
      <c r="AA41" s="80">
        <v>1</v>
      </c>
      <c r="AB41" s="80">
        <v>0</v>
      </c>
      <c r="AC41" s="80">
        <v>1</v>
      </c>
      <c r="AD41" s="80">
        <v>1</v>
      </c>
      <c r="AE41" s="80">
        <v>0</v>
      </c>
      <c r="AF41" s="80">
        <v>2</v>
      </c>
      <c r="AG41" s="80">
        <v>2</v>
      </c>
      <c r="AH41" s="80">
        <v>2</v>
      </c>
      <c r="AI41" s="137">
        <v>4</v>
      </c>
      <c r="AJ41" s="80">
        <v>2</v>
      </c>
      <c r="AK41" s="80">
        <v>0</v>
      </c>
      <c r="AL41" s="80">
        <v>3</v>
      </c>
      <c r="AM41" s="80">
        <v>1</v>
      </c>
      <c r="AN41" s="80">
        <v>1</v>
      </c>
      <c r="AO41" s="80">
        <v>2</v>
      </c>
      <c r="AP41" s="80">
        <v>0</v>
      </c>
      <c r="AQ41" s="80">
        <v>1</v>
      </c>
      <c r="AR41" s="80">
        <v>0</v>
      </c>
      <c r="AS41" s="80">
        <v>1</v>
      </c>
      <c r="AT41" s="80">
        <v>1</v>
      </c>
      <c r="AU41" s="80">
        <v>0</v>
      </c>
      <c r="AV41" s="136">
        <v>1</v>
      </c>
      <c r="AW41" s="80">
        <v>2</v>
      </c>
      <c r="AX41" s="80">
        <v>1</v>
      </c>
      <c r="AY41" s="80">
        <v>0</v>
      </c>
      <c r="AZ41" s="80">
        <v>0</v>
      </c>
      <c r="BA41" s="80">
        <v>0</v>
      </c>
      <c r="BB41" s="80">
        <v>2</v>
      </c>
      <c r="BC41" s="80">
        <v>0</v>
      </c>
      <c r="BD41" s="80">
        <v>1</v>
      </c>
      <c r="BE41" s="80">
        <v>1</v>
      </c>
      <c r="BF41" s="80">
        <v>0</v>
      </c>
      <c r="BG41" s="137">
        <v>0</v>
      </c>
      <c r="BH41" s="80">
        <v>0</v>
      </c>
      <c r="BI41" s="80">
        <v>3</v>
      </c>
      <c r="BJ41" s="80">
        <v>2</v>
      </c>
      <c r="BK41" s="80">
        <v>2</v>
      </c>
      <c r="BL41" s="80">
        <v>5</v>
      </c>
      <c r="BM41" s="80">
        <v>2</v>
      </c>
      <c r="BN41" s="80">
        <v>2</v>
      </c>
      <c r="BO41" s="80">
        <v>0</v>
      </c>
      <c r="BP41" s="80">
        <v>0</v>
      </c>
      <c r="BQ41" s="80">
        <v>1</v>
      </c>
      <c r="BR41" s="80">
        <v>3</v>
      </c>
      <c r="BS41" s="80">
        <v>1</v>
      </c>
      <c r="BT41" s="136">
        <v>3</v>
      </c>
      <c r="BU41" s="80">
        <v>2</v>
      </c>
      <c r="BV41" s="80">
        <v>2</v>
      </c>
      <c r="BW41" s="80">
        <v>0</v>
      </c>
      <c r="BX41" s="80">
        <v>0</v>
      </c>
      <c r="BY41" s="80">
        <v>1</v>
      </c>
      <c r="BZ41" s="80">
        <v>1</v>
      </c>
      <c r="CA41" s="80">
        <v>0</v>
      </c>
      <c r="CB41" s="80">
        <v>2</v>
      </c>
      <c r="CC41" s="80">
        <v>4</v>
      </c>
      <c r="CD41" s="80">
        <v>0</v>
      </c>
      <c r="CE41" s="81">
        <v>2</v>
      </c>
    </row>
    <row r="42" spans="1:83" ht="17" thickBot="1" x14ac:dyDescent="0.5">
      <c r="A42" s="221"/>
      <c r="B42" s="221"/>
      <c r="C42" s="221"/>
      <c r="D42" s="226"/>
      <c r="E42" s="3"/>
      <c r="F42" s="228"/>
      <c r="G42" s="222"/>
      <c r="H42" s="222"/>
      <c r="I42" s="229"/>
      <c r="J42" s="55" t="s">
        <v>175</v>
      </c>
      <c r="K42" s="399"/>
      <c r="L42" s="229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1"/>
      <c r="Y42" s="232"/>
      <c r="Z42" s="232"/>
      <c r="AA42" s="232"/>
      <c r="AB42" s="232"/>
      <c r="AC42" s="232"/>
      <c r="AD42" s="232"/>
      <c r="AE42" s="232"/>
      <c r="AF42" s="232"/>
      <c r="AG42" s="232"/>
      <c r="AH42" s="232"/>
      <c r="AI42" s="233"/>
      <c r="AJ42" s="232"/>
      <c r="AK42" s="232"/>
      <c r="AL42" s="232"/>
      <c r="AM42" s="232"/>
      <c r="AN42" s="232"/>
      <c r="AO42" s="232"/>
      <c r="AP42" s="232"/>
      <c r="AQ42" s="232"/>
      <c r="AR42" s="232"/>
      <c r="AS42" s="232"/>
      <c r="AT42" s="232"/>
      <c r="AU42" s="232"/>
      <c r="AV42" s="231"/>
      <c r="AW42" s="232"/>
      <c r="AX42" s="232"/>
      <c r="AY42" s="232"/>
      <c r="AZ42" s="232"/>
      <c r="BA42" s="232"/>
      <c r="BB42" s="232"/>
      <c r="BC42" s="232"/>
      <c r="BD42" s="232"/>
      <c r="BE42" s="232"/>
      <c r="BF42" s="232"/>
      <c r="BG42" s="233"/>
      <c r="BH42" s="232"/>
      <c r="BI42" s="232"/>
      <c r="BJ42" s="232"/>
      <c r="BK42" s="232"/>
      <c r="BL42" s="232"/>
      <c r="BM42" s="232"/>
      <c r="BN42" s="232"/>
      <c r="BO42" s="232"/>
      <c r="BP42" s="232"/>
      <c r="BQ42" s="232"/>
      <c r="BR42" s="232"/>
      <c r="BS42" s="232"/>
      <c r="BT42" s="231"/>
      <c r="BU42" s="232"/>
      <c r="BV42" s="232"/>
      <c r="BW42" s="232"/>
      <c r="BX42" s="232"/>
      <c r="BY42" s="232"/>
      <c r="BZ42" s="232"/>
      <c r="CA42" s="232"/>
      <c r="CB42" s="232"/>
      <c r="CC42" s="232"/>
      <c r="CD42" s="232"/>
      <c r="CE42" s="234"/>
    </row>
    <row r="43" spans="1:83" ht="17" thickTop="1" x14ac:dyDescent="0.45">
      <c r="A43" s="221"/>
      <c r="B43" s="221"/>
      <c r="C43" s="221"/>
      <c r="D43" s="225" t="s">
        <v>307</v>
      </c>
      <c r="E43" s="56"/>
      <c r="F43" s="227" t="s">
        <v>205</v>
      </c>
      <c r="G43" s="220" t="s">
        <v>193</v>
      </c>
      <c r="H43" s="220" t="s">
        <v>55</v>
      </c>
      <c r="I43" s="227" t="s">
        <v>194</v>
      </c>
      <c r="J43" s="88" t="s">
        <v>22</v>
      </c>
      <c r="K43" s="398">
        <f t="shared" si="0"/>
        <v>0.54166666666666663</v>
      </c>
      <c r="L43" s="76">
        <v>0</v>
      </c>
      <c r="M43" s="77">
        <v>0</v>
      </c>
      <c r="N43" s="77">
        <v>1</v>
      </c>
      <c r="O43" s="77">
        <v>0</v>
      </c>
      <c r="P43" s="77">
        <v>0</v>
      </c>
      <c r="Q43" s="77">
        <v>0</v>
      </c>
      <c r="R43" s="77">
        <v>1</v>
      </c>
      <c r="S43" s="77">
        <v>1</v>
      </c>
      <c r="T43" s="77">
        <v>0</v>
      </c>
      <c r="U43" s="77">
        <v>1</v>
      </c>
      <c r="V43" s="77">
        <v>0</v>
      </c>
      <c r="W43" s="77">
        <v>1</v>
      </c>
      <c r="X43" s="136">
        <v>1</v>
      </c>
      <c r="Y43" s="80">
        <v>0</v>
      </c>
      <c r="Z43" s="80">
        <v>0</v>
      </c>
      <c r="AA43" s="80">
        <v>0</v>
      </c>
      <c r="AB43" s="80">
        <v>1</v>
      </c>
      <c r="AC43" s="80">
        <v>0</v>
      </c>
      <c r="AD43" s="80">
        <v>0</v>
      </c>
      <c r="AE43" s="80">
        <v>0</v>
      </c>
      <c r="AF43" s="80">
        <v>1</v>
      </c>
      <c r="AG43" s="80">
        <v>0</v>
      </c>
      <c r="AH43" s="80">
        <v>0</v>
      </c>
      <c r="AI43" s="137">
        <v>1</v>
      </c>
      <c r="AJ43" s="80">
        <v>0</v>
      </c>
      <c r="AK43" s="80">
        <v>1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1</v>
      </c>
      <c r="AR43" s="80">
        <v>0</v>
      </c>
      <c r="AS43" s="80">
        <v>0</v>
      </c>
      <c r="AT43" s="80">
        <v>0</v>
      </c>
      <c r="AU43" s="80">
        <v>1</v>
      </c>
      <c r="AV43" s="136">
        <v>2</v>
      </c>
      <c r="AW43" s="80">
        <v>0</v>
      </c>
      <c r="AX43" s="80">
        <v>1</v>
      </c>
      <c r="AY43" s="80">
        <v>1</v>
      </c>
      <c r="AZ43" s="80">
        <v>1</v>
      </c>
      <c r="BA43" s="80">
        <v>1</v>
      </c>
      <c r="BB43" s="80">
        <v>1</v>
      </c>
      <c r="BC43" s="80">
        <v>3</v>
      </c>
      <c r="BD43" s="80">
        <v>2</v>
      </c>
      <c r="BE43" s="80">
        <v>1</v>
      </c>
      <c r="BF43" s="80">
        <v>0</v>
      </c>
      <c r="BG43" s="137">
        <v>0</v>
      </c>
      <c r="BH43" s="80">
        <v>1</v>
      </c>
      <c r="BI43" s="80">
        <v>0</v>
      </c>
      <c r="BJ43" s="80">
        <v>0</v>
      </c>
      <c r="BK43" s="80">
        <v>0</v>
      </c>
      <c r="BL43" s="80">
        <v>0</v>
      </c>
      <c r="BM43" s="80">
        <v>0</v>
      </c>
      <c r="BN43" s="80">
        <v>1</v>
      </c>
      <c r="BO43" s="80">
        <v>1</v>
      </c>
      <c r="BP43" s="80">
        <v>1</v>
      </c>
      <c r="BQ43" s="80">
        <v>1</v>
      </c>
      <c r="BR43" s="80">
        <v>0</v>
      </c>
      <c r="BS43" s="80">
        <v>2</v>
      </c>
      <c r="BT43" s="136">
        <v>1</v>
      </c>
      <c r="BU43" s="80">
        <v>1</v>
      </c>
      <c r="BV43" s="80">
        <v>0</v>
      </c>
      <c r="BW43" s="80">
        <v>2</v>
      </c>
      <c r="BX43" s="80">
        <v>1</v>
      </c>
      <c r="BY43" s="80">
        <v>0</v>
      </c>
      <c r="BZ43" s="80">
        <v>0</v>
      </c>
      <c r="CA43" s="80">
        <v>0</v>
      </c>
      <c r="CB43" s="80">
        <v>0</v>
      </c>
      <c r="CC43" s="80">
        <v>2</v>
      </c>
      <c r="CD43" s="80">
        <v>0</v>
      </c>
      <c r="CE43" s="81">
        <v>0</v>
      </c>
    </row>
    <row r="44" spans="1:83" ht="17" thickBot="1" x14ac:dyDescent="0.5">
      <c r="A44" s="221"/>
      <c r="B44" s="221"/>
      <c r="C44" s="222"/>
      <c r="D44" s="226"/>
      <c r="E44" s="3"/>
      <c r="F44" s="228"/>
      <c r="G44" s="222"/>
      <c r="H44" s="222"/>
      <c r="I44" s="229"/>
      <c r="J44" s="55" t="s">
        <v>175</v>
      </c>
      <c r="K44" s="399"/>
      <c r="L44" s="301">
        <v>5</v>
      </c>
      <c r="M44" s="302"/>
      <c r="N44" s="302"/>
      <c r="O44" s="302"/>
      <c r="P44" s="302"/>
      <c r="Q44" s="302"/>
      <c r="R44" s="302"/>
      <c r="S44" s="302"/>
      <c r="T44" s="302"/>
      <c r="U44" s="302"/>
      <c r="V44" s="302"/>
      <c r="W44" s="387"/>
      <c r="X44" s="303">
        <v>4</v>
      </c>
      <c r="Y44" s="297"/>
      <c r="Z44" s="297"/>
      <c r="AA44" s="297"/>
      <c r="AB44" s="297"/>
      <c r="AC44" s="297"/>
      <c r="AD44" s="297"/>
      <c r="AE44" s="297"/>
      <c r="AF44" s="297"/>
      <c r="AG44" s="297"/>
      <c r="AH44" s="297"/>
      <c r="AI44" s="298"/>
      <c r="AJ44" s="303">
        <v>3</v>
      </c>
      <c r="AK44" s="297"/>
      <c r="AL44" s="297"/>
      <c r="AM44" s="297"/>
      <c r="AN44" s="297"/>
      <c r="AO44" s="297"/>
      <c r="AP44" s="297"/>
      <c r="AQ44" s="297"/>
      <c r="AR44" s="297"/>
      <c r="AS44" s="297"/>
      <c r="AT44" s="297"/>
      <c r="AU44" s="298"/>
      <c r="AV44" s="303">
        <v>13</v>
      </c>
      <c r="AW44" s="297"/>
      <c r="AX44" s="297"/>
      <c r="AY44" s="297"/>
      <c r="AZ44" s="297"/>
      <c r="BA44" s="297"/>
      <c r="BB44" s="297"/>
      <c r="BC44" s="297"/>
      <c r="BD44" s="297"/>
      <c r="BE44" s="297"/>
      <c r="BF44" s="297"/>
      <c r="BG44" s="298"/>
      <c r="BH44" s="303">
        <v>7</v>
      </c>
      <c r="BI44" s="297"/>
      <c r="BJ44" s="297"/>
      <c r="BK44" s="297"/>
      <c r="BL44" s="297"/>
      <c r="BM44" s="297"/>
      <c r="BN44" s="297"/>
      <c r="BO44" s="297"/>
      <c r="BP44" s="297"/>
      <c r="BQ44" s="297"/>
      <c r="BR44" s="297"/>
      <c r="BS44" s="298"/>
      <c r="BT44" s="303">
        <v>7</v>
      </c>
      <c r="BU44" s="297"/>
      <c r="BV44" s="297"/>
      <c r="BW44" s="297"/>
      <c r="BX44" s="297"/>
      <c r="BY44" s="297"/>
      <c r="BZ44" s="297"/>
      <c r="CA44" s="297"/>
      <c r="CB44" s="297"/>
      <c r="CC44" s="297"/>
      <c r="CD44" s="297"/>
      <c r="CE44" s="305"/>
    </row>
    <row r="45" spans="1:83" ht="16.5" x14ac:dyDescent="0.45">
      <c r="A45" s="221"/>
      <c r="B45" s="221"/>
      <c r="C45" s="220" t="s">
        <v>286</v>
      </c>
      <c r="D45" s="235" t="s">
        <v>206</v>
      </c>
      <c r="E45" s="56"/>
      <c r="F45" s="227" t="s">
        <v>205</v>
      </c>
      <c r="G45" s="220" t="s">
        <v>203</v>
      </c>
      <c r="H45" s="220" t="s">
        <v>55</v>
      </c>
      <c r="I45" s="227" t="s">
        <v>204</v>
      </c>
      <c r="J45" s="90" t="s">
        <v>22</v>
      </c>
      <c r="K45" s="398">
        <f t="shared" si="0"/>
        <v>0.25</v>
      </c>
      <c r="L45" s="76">
        <v>0</v>
      </c>
      <c r="M45" s="77">
        <v>0</v>
      </c>
      <c r="N45" s="77">
        <v>1</v>
      </c>
      <c r="O45" s="77">
        <v>0</v>
      </c>
      <c r="P45" s="77">
        <v>0</v>
      </c>
      <c r="Q45" s="77">
        <v>0</v>
      </c>
      <c r="R45" s="77">
        <v>2</v>
      </c>
      <c r="S45" s="77">
        <v>0</v>
      </c>
      <c r="T45" s="77">
        <v>1</v>
      </c>
      <c r="U45" s="77">
        <v>0</v>
      </c>
      <c r="V45" s="77">
        <v>0</v>
      </c>
      <c r="W45" s="77">
        <v>0</v>
      </c>
      <c r="X45" s="136">
        <v>0</v>
      </c>
      <c r="Y45" s="80">
        <v>0</v>
      </c>
      <c r="Z45" s="80">
        <v>0</v>
      </c>
      <c r="AA45" s="80">
        <v>1</v>
      </c>
      <c r="AB45" s="80">
        <v>0</v>
      </c>
      <c r="AC45" s="80">
        <v>0</v>
      </c>
      <c r="AD45" s="80">
        <v>1</v>
      </c>
      <c r="AE45" s="80">
        <v>0</v>
      </c>
      <c r="AF45" s="80">
        <v>0</v>
      </c>
      <c r="AG45" s="80">
        <v>0</v>
      </c>
      <c r="AH45" s="80">
        <v>2</v>
      </c>
      <c r="AI45" s="137">
        <v>1</v>
      </c>
      <c r="AJ45" s="80">
        <v>0</v>
      </c>
      <c r="AK45" s="80">
        <v>0</v>
      </c>
      <c r="AL45" s="80">
        <v>0</v>
      </c>
      <c r="AM45" s="80">
        <v>1</v>
      </c>
      <c r="AN45" s="80">
        <v>1</v>
      </c>
      <c r="AO45" s="80">
        <v>0</v>
      </c>
      <c r="AP45" s="80">
        <v>0</v>
      </c>
      <c r="AQ45" s="80">
        <v>0</v>
      </c>
      <c r="AR45" s="80">
        <v>0</v>
      </c>
      <c r="AS45" s="80">
        <v>0</v>
      </c>
      <c r="AT45" s="80">
        <v>0</v>
      </c>
      <c r="AU45" s="80">
        <v>0</v>
      </c>
      <c r="AV45" s="136">
        <v>0</v>
      </c>
      <c r="AW45" s="80">
        <v>0</v>
      </c>
      <c r="AX45" s="80">
        <v>0</v>
      </c>
      <c r="AY45" s="80">
        <v>0</v>
      </c>
      <c r="AZ45" s="80">
        <v>0</v>
      </c>
      <c r="BA45" s="80">
        <v>0</v>
      </c>
      <c r="BB45" s="80">
        <v>0</v>
      </c>
      <c r="BC45" s="80">
        <v>1</v>
      </c>
      <c r="BD45" s="80">
        <v>0</v>
      </c>
      <c r="BE45" s="80">
        <v>0</v>
      </c>
      <c r="BF45" s="80">
        <v>0</v>
      </c>
      <c r="BG45" s="137">
        <v>0</v>
      </c>
      <c r="BH45" s="80">
        <v>0</v>
      </c>
      <c r="BI45" s="80">
        <v>1</v>
      </c>
      <c r="BJ45" s="80">
        <v>0</v>
      </c>
      <c r="BK45" s="80">
        <v>2</v>
      </c>
      <c r="BL45" s="80">
        <v>0</v>
      </c>
      <c r="BM45" s="80">
        <v>0</v>
      </c>
      <c r="BN45" s="80">
        <v>0</v>
      </c>
      <c r="BO45" s="80">
        <v>0</v>
      </c>
      <c r="BP45" s="80">
        <v>0</v>
      </c>
      <c r="BQ45" s="80">
        <v>1</v>
      </c>
      <c r="BR45" s="80">
        <v>0</v>
      </c>
      <c r="BS45" s="80">
        <v>0</v>
      </c>
      <c r="BT45" s="136">
        <v>1</v>
      </c>
      <c r="BU45" s="80">
        <v>0</v>
      </c>
      <c r="BV45" s="80">
        <v>0</v>
      </c>
      <c r="BW45" s="80">
        <v>0</v>
      </c>
      <c r="BX45" s="80">
        <v>0</v>
      </c>
      <c r="BY45" s="80">
        <v>0</v>
      </c>
      <c r="BZ45" s="80">
        <v>0</v>
      </c>
      <c r="CA45" s="80">
        <v>0</v>
      </c>
      <c r="CB45" s="80">
        <v>0</v>
      </c>
      <c r="CC45" s="80">
        <v>0</v>
      </c>
      <c r="CD45" s="80">
        <v>0</v>
      </c>
      <c r="CE45" s="81">
        <v>1</v>
      </c>
    </row>
    <row r="46" spans="1:83" ht="17" thickBot="1" x14ac:dyDescent="0.5">
      <c r="A46" s="221"/>
      <c r="B46" s="221"/>
      <c r="C46" s="221"/>
      <c r="D46" s="236"/>
      <c r="E46" s="3"/>
      <c r="F46" s="228"/>
      <c r="G46" s="222"/>
      <c r="H46" s="222"/>
      <c r="I46" s="229"/>
      <c r="J46" s="55" t="s">
        <v>175</v>
      </c>
      <c r="K46" s="399"/>
      <c r="L46" s="229">
        <v>1</v>
      </c>
      <c r="M46" s="230"/>
      <c r="N46" s="230"/>
      <c r="O46" s="230"/>
      <c r="P46" s="230"/>
      <c r="Q46" s="230"/>
      <c r="R46" s="230">
        <v>3</v>
      </c>
      <c r="S46" s="230"/>
      <c r="T46" s="230"/>
      <c r="U46" s="230"/>
      <c r="V46" s="230"/>
      <c r="W46" s="230"/>
      <c r="X46" s="231">
        <v>1</v>
      </c>
      <c r="Y46" s="232"/>
      <c r="Z46" s="232"/>
      <c r="AA46" s="232"/>
      <c r="AB46" s="232"/>
      <c r="AC46" s="232"/>
      <c r="AD46" s="232">
        <v>4</v>
      </c>
      <c r="AE46" s="232"/>
      <c r="AF46" s="232"/>
      <c r="AG46" s="232"/>
      <c r="AH46" s="232"/>
      <c r="AI46" s="233"/>
      <c r="AJ46" s="232">
        <v>2</v>
      </c>
      <c r="AK46" s="232"/>
      <c r="AL46" s="232"/>
      <c r="AM46" s="232"/>
      <c r="AN46" s="232"/>
      <c r="AO46" s="232"/>
      <c r="AP46" s="232">
        <v>0</v>
      </c>
      <c r="AQ46" s="232"/>
      <c r="AR46" s="232"/>
      <c r="AS46" s="232"/>
      <c r="AT46" s="232"/>
      <c r="AU46" s="232"/>
      <c r="AV46" s="231">
        <v>0</v>
      </c>
      <c r="AW46" s="232"/>
      <c r="AX46" s="232"/>
      <c r="AY46" s="232"/>
      <c r="AZ46" s="232"/>
      <c r="BA46" s="232"/>
      <c r="BB46" s="232">
        <v>1</v>
      </c>
      <c r="BC46" s="232"/>
      <c r="BD46" s="232"/>
      <c r="BE46" s="232"/>
      <c r="BF46" s="232"/>
      <c r="BG46" s="233"/>
      <c r="BH46" s="232">
        <v>3</v>
      </c>
      <c r="BI46" s="232"/>
      <c r="BJ46" s="232"/>
      <c r="BK46" s="232"/>
      <c r="BL46" s="232"/>
      <c r="BM46" s="232"/>
      <c r="BN46" s="232">
        <v>1</v>
      </c>
      <c r="BO46" s="232"/>
      <c r="BP46" s="232"/>
      <c r="BQ46" s="232"/>
      <c r="BR46" s="232"/>
      <c r="BS46" s="232"/>
      <c r="BT46" s="231">
        <v>1</v>
      </c>
      <c r="BU46" s="232"/>
      <c r="BV46" s="232"/>
      <c r="BW46" s="232"/>
      <c r="BX46" s="232"/>
      <c r="BY46" s="232"/>
      <c r="BZ46" s="232">
        <v>1</v>
      </c>
      <c r="CA46" s="232"/>
      <c r="CB46" s="232"/>
      <c r="CC46" s="232"/>
      <c r="CD46" s="232"/>
      <c r="CE46" s="234"/>
    </row>
    <row r="47" spans="1:83" ht="16.5" x14ac:dyDescent="0.45">
      <c r="A47" s="221"/>
      <c r="B47" s="221"/>
      <c r="C47" s="221"/>
      <c r="D47" s="235" t="s">
        <v>207</v>
      </c>
      <c r="E47" s="56"/>
      <c r="F47" s="227" t="s">
        <v>205</v>
      </c>
      <c r="G47" s="220" t="s">
        <v>208</v>
      </c>
      <c r="H47" s="220" t="s">
        <v>55</v>
      </c>
      <c r="I47" s="227" t="s">
        <v>209</v>
      </c>
      <c r="J47" s="90" t="s">
        <v>22</v>
      </c>
      <c r="K47" s="398">
        <f t="shared" si="0"/>
        <v>0.77777777777777779</v>
      </c>
      <c r="L47" s="74">
        <v>1</v>
      </c>
      <c r="M47" s="75">
        <v>1</v>
      </c>
      <c r="N47" s="75">
        <v>0</v>
      </c>
      <c r="O47" s="75">
        <v>2</v>
      </c>
      <c r="P47" s="75">
        <v>0</v>
      </c>
      <c r="Q47" s="75">
        <v>1</v>
      </c>
      <c r="R47" s="75">
        <v>2</v>
      </c>
      <c r="S47" s="75">
        <v>2</v>
      </c>
      <c r="T47" s="75">
        <v>1</v>
      </c>
      <c r="U47" s="75">
        <v>0</v>
      </c>
      <c r="V47" s="75">
        <v>1</v>
      </c>
      <c r="W47" s="75">
        <v>0</v>
      </c>
      <c r="X47" s="133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34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33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34">
        <v>0</v>
      </c>
      <c r="BH47" s="4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4">
        <v>0</v>
      </c>
      <c r="BT47" s="133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73">
        <v>0</v>
      </c>
    </row>
    <row r="48" spans="1:83" ht="17" thickBot="1" x14ac:dyDescent="0.5">
      <c r="A48" s="221"/>
      <c r="B48" s="221"/>
      <c r="C48" s="221"/>
      <c r="D48" s="236"/>
      <c r="E48" s="3"/>
      <c r="F48" s="228"/>
      <c r="G48" s="222"/>
      <c r="H48" s="222"/>
      <c r="I48" s="229"/>
      <c r="J48" s="55" t="s">
        <v>175</v>
      </c>
      <c r="K48" s="399"/>
      <c r="L48" s="101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38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39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38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39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38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4"/>
    </row>
    <row r="49" spans="1:84" ht="16.5" x14ac:dyDescent="0.45">
      <c r="A49" s="221"/>
      <c r="B49" s="221"/>
      <c r="C49" s="221"/>
      <c r="D49" s="235" t="s">
        <v>210</v>
      </c>
      <c r="E49" s="56"/>
      <c r="F49" s="227" t="s">
        <v>205</v>
      </c>
      <c r="G49" s="220" t="s">
        <v>211</v>
      </c>
      <c r="H49" s="220" t="s">
        <v>55</v>
      </c>
      <c r="I49" s="227" t="s">
        <v>212</v>
      </c>
      <c r="J49" s="90" t="s">
        <v>22</v>
      </c>
      <c r="K49" s="398">
        <f t="shared" si="0"/>
        <v>0.93055555555555558</v>
      </c>
      <c r="L49" s="74">
        <v>1</v>
      </c>
      <c r="M49" s="75">
        <v>1</v>
      </c>
      <c r="N49" s="75">
        <v>0</v>
      </c>
      <c r="O49" s="75">
        <v>2</v>
      </c>
      <c r="P49" s="75">
        <v>0</v>
      </c>
      <c r="Q49" s="75">
        <v>2</v>
      </c>
      <c r="R49" s="75">
        <v>0</v>
      </c>
      <c r="S49" s="75">
        <v>0</v>
      </c>
      <c r="T49" s="75">
        <v>1</v>
      </c>
      <c r="U49" s="75">
        <v>1</v>
      </c>
      <c r="V49" s="75">
        <v>0</v>
      </c>
      <c r="W49" s="75">
        <v>2</v>
      </c>
      <c r="X49" s="133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34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33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34">
        <v>4</v>
      </c>
      <c r="BH49" s="4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4">
        <v>2</v>
      </c>
      <c r="BT49" s="133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73">
        <v>0</v>
      </c>
    </row>
    <row r="50" spans="1:84" ht="17" thickBot="1" x14ac:dyDescent="0.5">
      <c r="A50" s="221"/>
      <c r="B50" s="221"/>
      <c r="C50" s="222"/>
      <c r="D50" s="236"/>
      <c r="E50" s="3"/>
      <c r="F50" s="228"/>
      <c r="G50" s="222"/>
      <c r="H50" s="222"/>
      <c r="I50" s="229"/>
      <c r="J50" s="55" t="s">
        <v>175</v>
      </c>
      <c r="K50" s="399"/>
      <c r="L50" s="74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133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3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33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3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133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73"/>
    </row>
    <row r="51" spans="1:84" ht="16.5" x14ac:dyDescent="0.45">
      <c r="A51" s="221"/>
      <c r="B51" s="221"/>
      <c r="C51" s="220" t="s">
        <v>285</v>
      </c>
      <c r="D51" s="225" t="s">
        <v>279</v>
      </c>
      <c r="E51" s="56"/>
      <c r="F51" s="227" t="s">
        <v>205</v>
      </c>
      <c r="G51" s="220" t="s">
        <v>203</v>
      </c>
      <c r="H51" s="220" t="s">
        <v>55</v>
      </c>
      <c r="I51" s="227" t="s">
        <v>204</v>
      </c>
      <c r="J51" s="90" t="s">
        <v>22</v>
      </c>
      <c r="K51" s="398">
        <f t="shared" si="0"/>
        <v>0.34722222222222221</v>
      </c>
      <c r="L51" s="51">
        <v>1</v>
      </c>
      <c r="M51" s="52">
        <v>0</v>
      </c>
      <c r="N51" s="52">
        <v>0</v>
      </c>
      <c r="O51" s="52">
        <v>2</v>
      </c>
      <c r="P51" s="52">
        <v>0</v>
      </c>
      <c r="Q51" s="52">
        <v>0</v>
      </c>
      <c r="R51" s="52">
        <v>1</v>
      </c>
      <c r="S51" s="52">
        <v>0</v>
      </c>
      <c r="T51" s="52">
        <v>0</v>
      </c>
      <c r="U51" s="52">
        <v>0</v>
      </c>
      <c r="V51" s="52">
        <v>2</v>
      </c>
      <c r="W51" s="52">
        <v>0</v>
      </c>
      <c r="X51" s="140">
        <v>1</v>
      </c>
      <c r="Y51" s="53">
        <v>0</v>
      </c>
      <c r="Z51" s="53">
        <v>0</v>
      </c>
      <c r="AA51" s="53">
        <v>0</v>
      </c>
      <c r="AB51" s="53">
        <v>0</v>
      </c>
      <c r="AC51" s="53">
        <v>0</v>
      </c>
      <c r="AD51" s="53">
        <v>0</v>
      </c>
      <c r="AE51" s="53">
        <v>0</v>
      </c>
      <c r="AF51" s="53">
        <v>0</v>
      </c>
      <c r="AG51" s="53">
        <v>0</v>
      </c>
      <c r="AH51" s="53">
        <v>1</v>
      </c>
      <c r="AI51" s="141">
        <v>1</v>
      </c>
      <c r="AJ51" s="53">
        <v>0</v>
      </c>
      <c r="AK51" s="53">
        <v>0</v>
      </c>
      <c r="AL51" s="53">
        <v>2</v>
      </c>
      <c r="AM51" s="53">
        <v>0</v>
      </c>
      <c r="AN51" s="53">
        <v>0</v>
      </c>
      <c r="AO51" s="53">
        <v>0</v>
      </c>
      <c r="AP51" s="53">
        <v>1</v>
      </c>
      <c r="AQ51" s="53">
        <v>0</v>
      </c>
      <c r="AR51" s="53">
        <v>0</v>
      </c>
      <c r="AS51" s="53">
        <v>0</v>
      </c>
      <c r="AT51" s="53">
        <v>0</v>
      </c>
      <c r="AU51" s="53">
        <v>0</v>
      </c>
      <c r="AV51" s="140">
        <v>0</v>
      </c>
      <c r="AW51" s="53">
        <v>0</v>
      </c>
      <c r="AX51" s="53">
        <v>0</v>
      </c>
      <c r="AY51" s="53">
        <v>1</v>
      </c>
      <c r="AZ51" s="53">
        <v>0</v>
      </c>
      <c r="BA51" s="53">
        <v>1</v>
      </c>
      <c r="BB51" s="53">
        <v>0</v>
      </c>
      <c r="BC51" s="53">
        <v>1</v>
      </c>
      <c r="BD51" s="53">
        <v>0</v>
      </c>
      <c r="BE51" s="53">
        <v>0</v>
      </c>
      <c r="BF51" s="53">
        <v>1</v>
      </c>
      <c r="BG51" s="141">
        <v>0</v>
      </c>
      <c r="BH51" s="53">
        <v>0</v>
      </c>
      <c r="BI51" s="53">
        <v>0</v>
      </c>
      <c r="BJ51" s="53">
        <v>0</v>
      </c>
      <c r="BK51" s="53">
        <v>0</v>
      </c>
      <c r="BL51" s="53">
        <v>0</v>
      </c>
      <c r="BM51" s="53">
        <v>0</v>
      </c>
      <c r="BN51" s="53">
        <v>0</v>
      </c>
      <c r="BO51" s="53">
        <v>1</v>
      </c>
      <c r="BP51" s="53">
        <v>0</v>
      </c>
      <c r="BQ51" s="53">
        <v>0</v>
      </c>
      <c r="BR51" s="53">
        <v>1</v>
      </c>
      <c r="BS51" s="53">
        <v>1</v>
      </c>
      <c r="BT51" s="140">
        <v>0</v>
      </c>
      <c r="BU51" s="53">
        <v>0</v>
      </c>
      <c r="BV51" s="53">
        <v>0</v>
      </c>
      <c r="BW51" s="53">
        <v>1</v>
      </c>
      <c r="BX51" s="53">
        <v>0</v>
      </c>
      <c r="BY51" s="53">
        <v>0</v>
      </c>
      <c r="BZ51" s="53">
        <v>1</v>
      </c>
      <c r="CA51" s="53">
        <v>0</v>
      </c>
      <c r="CB51" s="53">
        <v>1</v>
      </c>
      <c r="CC51" s="53">
        <v>0</v>
      </c>
      <c r="CD51" s="53">
        <v>3</v>
      </c>
      <c r="CE51" s="105">
        <v>0</v>
      </c>
    </row>
    <row r="52" spans="1:84" x14ac:dyDescent="0.5">
      <c r="A52" s="221"/>
      <c r="B52" s="222"/>
      <c r="C52" s="222"/>
      <c r="D52" s="226"/>
      <c r="E52" s="3"/>
      <c r="F52" s="228"/>
      <c r="G52" s="222"/>
      <c r="H52" s="222"/>
      <c r="I52" s="229"/>
      <c r="J52" s="55" t="s">
        <v>322</v>
      </c>
      <c r="K52" s="399"/>
      <c r="L52" s="229">
        <v>6</v>
      </c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42"/>
      <c r="X52" s="231">
        <v>3</v>
      </c>
      <c r="Y52" s="232"/>
      <c r="Z52" s="232"/>
      <c r="AA52" s="232"/>
      <c r="AB52" s="232"/>
      <c r="AC52" s="232"/>
      <c r="AD52" s="232"/>
      <c r="AE52" s="232"/>
      <c r="AF52" s="232"/>
      <c r="AG52" s="232"/>
      <c r="AH52" s="232"/>
      <c r="AI52" s="233"/>
      <c r="AJ52" s="231">
        <v>3</v>
      </c>
      <c r="AK52" s="232"/>
      <c r="AL52" s="232"/>
      <c r="AM52" s="232"/>
      <c r="AN52" s="232"/>
      <c r="AO52" s="232"/>
      <c r="AP52" s="232"/>
      <c r="AQ52" s="232"/>
      <c r="AR52" s="232"/>
      <c r="AS52" s="232"/>
      <c r="AT52" s="232"/>
      <c r="AU52" s="233"/>
      <c r="AV52" s="231">
        <v>4</v>
      </c>
      <c r="AW52" s="232"/>
      <c r="AX52" s="232"/>
      <c r="AY52" s="232"/>
      <c r="AZ52" s="232"/>
      <c r="BA52" s="232"/>
      <c r="BB52" s="232"/>
      <c r="BC52" s="232"/>
      <c r="BD52" s="232"/>
      <c r="BE52" s="232"/>
      <c r="BF52" s="232"/>
      <c r="BG52" s="233"/>
      <c r="BH52" s="231">
        <v>3</v>
      </c>
      <c r="BI52" s="232"/>
      <c r="BJ52" s="232"/>
      <c r="BK52" s="232"/>
      <c r="BL52" s="232"/>
      <c r="BM52" s="232"/>
      <c r="BN52" s="232"/>
      <c r="BO52" s="232"/>
      <c r="BP52" s="232"/>
      <c r="BQ52" s="232"/>
      <c r="BR52" s="232"/>
      <c r="BS52" s="233"/>
      <c r="BT52" s="231">
        <v>6</v>
      </c>
      <c r="BU52" s="232"/>
      <c r="BV52" s="232"/>
      <c r="BW52" s="232"/>
      <c r="BX52" s="232"/>
      <c r="BY52" s="232"/>
      <c r="BZ52" s="232"/>
      <c r="CA52" s="232"/>
      <c r="CB52" s="232"/>
      <c r="CC52" s="232"/>
      <c r="CD52" s="232"/>
      <c r="CE52" s="234"/>
    </row>
    <row r="53" spans="1:84" ht="16.5" x14ac:dyDescent="0.45">
      <c r="A53" s="221"/>
      <c r="B53" s="182"/>
      <c r="C53" s="182"/>
      <c r="D53" s="235" t="s">
        <v>213</v>
      </c>
      <c r="E53" s="3"/>
      <c r="F53" s="227" t="s">
        <v>205</v>
      </c>
      <c r="G53" s="220"/>
      <c r="H53" s="220"/>
      <c r="I53" s="227" t="s">
        <v>199</v>
      </c>
      <c r="J53" s="90" t="s">
        <v>22</v>
      </c>
      <c r="K53" s="398">
        <f t="shared" si="0"/>
        <v>0.2361111111111111</v>
      </c>
      <c r="L53" s="74">
        <v>0</v>
      </c>
      <c r="M53" s="75">
        <v>0</v>
      </c>
      <c r="N53" s="75">
        <v>0</v>
      </c>
      <c r="O53" s="75">
        <v>1</v>
      </c>
      <c r="P53" s="75">
        <v>1</v>
      </c>
      <c r="Q53" s="75">
        <v>0</v>
      </c>
      <c r="R53" s="75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133">
        <v>0</v>
      </c>
      <c r="Y53" s="4">
        <v>0</v>
      </c>
      <c r="Z53" s="4">
        <v>0</v>
      </c>
      <c r="AA53" s="4">
        <v>1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13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0</v>
      </c>
      <c r="AQ53" s="4">
        <v>0</v>
      </c>
      <c r="AR53" s="4">
        <v>0</v>
      </c>
      <c r="AS53" s="4">
        <v>1</v>
      </c>
      <c r="AT53" s="4">
        <v>0</v>
      </c>
      <c r="AU53" s="4">
        <v>1</v>
      </c>
      <c r="AV53" s="133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134">
        <v>2</v>
      </c>
      <c r="BH53" s="4">
        <v>0</v>
      </c>
      <c r="BI53" s="4">
        <v>0</v>
      </c>
      <c r="BJ53" s="4">
        <v>1</v>
      </c>
      <c r="BK53" s="4">
        <v>0</v>
      </c>
      <c r="BL53" s="4">
        <v>0</v>
      </c>
      <c r="BM53" s="4">
        <v>1</v>
      </c>
      <c r="BN53" s="4">
        <v>0</v>
      </c>
      <c r="BO53" s="4">
        <v>1</v>
      </c>
      <c r="BP53" s="4">
        <v>0</v>
      </c>
      <c r="BQ53" s="4">
        <v>0</v>
      </c>
      <c r="BR53" s="4">
        <v>0</v>
      </c>
      <c r="BS53" s="4">
        <v>1</v>
      </c>
      <c r="BT53" s="133">
        <v>0</v>
      </c>
      <c r="BU53" s="4">
        <v>0</v>
      </c>
      <c r="BV53" s="4">
        <v>0</v>
      </c>
      <c r="BW53" s="4">
        <v>0</v>
      </c>
      <c r="BX53" s="4">
        <v>1</v>
      </c>
      <c r="BY53" s="4">
        <v>0</v>
      </c>
      <c r="BZ53" s="4">
        <v>0</v>
      </c>
      <c r="CA53" s="4">
        <v>1</v>
      </c>
      <c r="CB53" s="4">
        <v>0</v>
      </c>
      <c r="CC53" s="4">
        <v>0</v>
      </c>
      <c r="CD53" s="4">
        <v>0</v>
      </c>
      <c r="CE53" s="73">
        <v>0</v>
      </c>
    </row>
    <row r="54" spans="1:84" ht="17" thickBot="1" x14ac:dyDescent="0.5">
      <c r="A54" s="221"/>
      <c r="B54" s="182"/>
      <c r="C54" s="182"/>
      <c r="D54" s="236"/>
      <c r="E54" s="3"/>
      <c r="F54" s="228"/>
      <c r="G54" s="222"/>
      <c r="H54" s="222"/>
      <c r="I54" s="229"/>
      <c r="J54" s="55" t="s">
        <v>175</v>
      </c>
      <c r="K54" s="399"/>
      <c r="L54" s="101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38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39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38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39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38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4"/>
    </row>
    <row r="55" spans="1:84" ht="16.5" x14ac:dyDescent="0.45">
      <c r="A55" s="221"/>
      <c r="B55" s="182"/>
      <c r="C55" s="182"/>
      <c r="D55" s="192" t="s">
        <v>214</v>
      </c>
      <c r="E55" s="3"/>
      <c r="F55" s="227" t="s">
        <v>205</v>
      </c>
      <c r="G55" s="220"/>
      <c r="H55" s="220"/>
      <c r="I55" s="227" t="s">
        <v>199</v>
      </c>
      <c r="J55" s="90" t="s">
        <v>22</v>
      </c>
      <c r="K55" s="398">
        <f t="shared" si="0"/>
        <v>0.15277777777777779</v>
      </c>
      <c r="L55" s="74">
        <v>0</v>
      </c>
      <c r="M55" s="75">
        <v>0</v>
      </c>
      <c r="N55" s="75">
        <v>1</v>
      </c>
      <c r="O55" s="75">
        <v>0</v>
      </c>
      <c r="P55" s="75">
        <v>0</v>
      </c>
      <c r="Q55" s="75">
        <v>0</v>
      </c>
      <c r="R55" s="75">
        <v>0</v>
      </c>
      <c r="S55" s="75">
        <v>0</v>
      </c>
      <c r="T55" s="75">
        <v>0</v>
      </c>
      <c r="U55" s="75">
        <v>0</v>
      </c>
      <c r="V55" s="75">
        <v>0</v>
      </c>
      <c r="W55" s="75">
        <v>1</v>
      </c>
      <c r="X55" s="133">
        <v>0</v>
      </c>
      <c r="Y55" s="4">
        <v>0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1</v>
      </c>
      <c r="AH55" s="4">
        <v>0</v>
      </c>
      <c r="AI55" s="13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1</v>
      </c>
      <c r="AS55" s="4">
        <v>0</v>
      </c>
      <c r="AT55" s="4">
        <v>0</v>
      </c>
      <c r="AU55" s="4">
        <v>0</v>
      </c>
      <c r="AV55" s="133">
        <v>0</v>
      </c>
      <c r="AW55" s="4">
        <v>0</v>
      </c>
      <c r="AX55" s="4">
        <v>0</v>
      </c>
      <c r="AY55" s="4">
        <v>1</v>
      </c>
      <c r="AZ55" s="4">
        <v>0</v>
      </c>
      <c r="BA55" s="4">
        <v>0</v>
      </c>
      <c r="BB55" s="4">
        <v>0</v>
      </c>
      <c r="BC55" s="4">
        <v>1</v>
      </c>
      <c r="BD55" s="4">
        <v>0</v>
      </c>
      <c r="BE55" s="4">
        <v>0</v>
      </c>
      <c r="BF55" s="4">
        <v>0</v>
      </c>
      <c r="BG55" s="134">
        <v>1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1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133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73">
        <v>1</v>
      </c>
      <c r="CF55" s="99"/>
    </row>
    <row r="56" spans="1:84" ht="17" thickBot="1" x14ac:dyDescent="0.5">
      <c r="A56" s="221"/>
      <c r="B56" s="182"/>
      <c r="C56" s="182"/>
      <c r="D56" s="193" t="s">
        <v>231</v>
      </c>
      <c r="E56" s="3"/>
      <c r="F56" s="228"/>
      <c r="G56" s="222"/>
      <c r="H56" s="222"/>
      <c r="I56" s="229"/>
      <c r="J56" s="55" t="s">
        <v>175</v>
      </c>
      <c r="K56" s="399"/>
      <c r="L56" s="101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38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39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38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39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38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4"/>
    </row>
    <row r="57" spans="1:84" ht="16.5" x14ac:dyDescent="0.45">
      <c r="A57" s="221"/>
      <c r="B57" s="182"/>
      <c r="C57" s="182"/>
      <c r="D57" s="235" t="s">
        <v>218</v>
      </c>
      <c r="E57" s="3"/>
      <c r="F57" s="227" t="s">
        <v>205</v>
      </c>
      <c r="G57" s="220"/>
      <c r="H57" s="220"/>
      <c r="I57" s="227" t="s">
        <v>199</v>
      </c>
      <c r="J57" s="90" t="s">
        <v>22</v>
      </c>
      <c r="K57" s="398">
        <f t="shared" si="0"/>
        <v>0.34722222222222221</v>
      </c>
      <c r="L57" s="74">
        <v>0</v>
      </c>
      <c r="M57" s="75">
        <v>0</v>
      </c>
      <c r="N57" s="75">
        <v>1</v>
      </c>
      <c r="O57" s="75">
        <v>0</v>
      </c>
      <c r="P57" s="75">
        <v>0</v>
      </c>
      <c r="Q57" s="75">
        <v>0</v>
      </c>
      <c r="R57" s="75">
        <v>0</v>
      </c>
      <c r="S57" s="75">
        <v>0</v>
      </c>
      <c r="T57" s="75">
        <v>0</v>
      </c>
      <c r="U57" s="75">
        <v>0</v>
      </c>
      <c r="V57" s="75">
        <v>0</v>
      </c>
      <c r="W57" s="75">
        <v>0</v>
      </c>
      <c r="X57" s="133">
        <v>0</v>
      </c>
      <c r="Y57" s="4">
        <v>0</v>
      </c>
      <c r="Z57" s="4">
        <v>0</v>
      </c>
      <c r="AA57" s="4">
        <v>0</v>
      </c>
      <c r="AB57" s="4">
        <v>1</v>
      </c>
      <c r="AC57" s="4">
        <v>1</v>
      </c>
      <c r="AD57" s="4">
        <v>0</v>
      </c>
      <c r="AE57" s="4">
        <v>1</v>
      </c>
      <c r="AF57" s="4">
        <v>0</v>
      </c>
      <c r="AG57" s="4">
        <v>0</v>
      </c>
      <c r="AH57" s="4">
        <v>1</v>
      </c>
      <c r="AI57" s="134">
        <v>0</v>
      </c>
      <c r="AJ57" s="4">
        <v>2</v>
      </c>
      <c r="AK57" s="4">
        <v>0</v>
      </c>
      <c r="AL57" s="4">
        <v>1</v>
      </c>
      <c r="AM57" s="4">
        <v>0</v>
      </c>
      <c r="AN57" s="4">
        <v>0</v>
      </c>
      <c r="AO57" s="4">
        <v>0</v>
      </c>
      <c r="AP57" s="4">
        <v>0</v>
      </c>
      <c r="AQ57" s="4">
        <v>1</v>
      </c>
      <c r="AR57" s="4">
        <v>0</v>
      </c>
      <c r="AS57" s="4">
        <v>0</v>
      </c>
      <c r="AT57" s="4">
        <v>1</v>
      </c>
      <c r="AU57" s="4">
        <v>0</v>
      </c>
      <c r="AV57" s="133">
        <v>0</v>
      </c>
      <c r="AW57" s="4">
        <v>2</v>
      </c>
      <c r="AX57" s="4">
        <v>0</v>
      </c>
      <c r="AY57" s="4">
        <v>2</v>
      </c>
      <c r="AZ57" s="4">
        <v>1</v>
      </c>
      <c r="BA57" s="4">
        <v>0</v>
      </c>
      <c r="BB57" s="4">
        <v>1</v>
      </c>
      <c r="BC57" s="4">
        <v>0</v>
      </c>
      <c r="BD57" s="4">
        <v>0</v>
      </c>
      <c r="BE57" s="4">
        <v>1</v>
      </c>
      <c r="BF57" s="4">
        <v>1</v>
      </c>
      <c r="BG57" s="134">
        <v>0</v>
      </c>
      <c r="BH57" s="4">
        <v>1</v>
      </c>
      <c r="BI57" s="4">
        <v>0</v>
      </c>
      <c r="BJ57" s="4">
        <v>0</v>
      </c>
      <c r="BK57" s="4">
        <v>0</v>
      </c>
      <c r="BL57" s="4">
        <v>0</v>
      </c>
      <c r="BM57" s="4">
        <v>1</v>
      </c>
      <c r="BN57" s="4">
        <v>1</v>
      </c>
      <c r="BO57" s="4">
        <v>1</v>
      </c>
      <c r="BP57" s="4">
        <v>0</v>
      </c>
      <c r="BQ57" s="4">
        <v>0</v>
      </c>
      <c r="BR57" s="4">
        <v>1</v>
      </c>
      <c r="BS57" s="4">
        <v>0</v>
      </c>
      <c r="BT57" s="133">
        <v>0</v>
      </c>
      <c r="BU57" s="4">
        <v>0</v>
      </c>
      <c r="BV57" s="4">
        <v>0</v>
      </c>
      <c r="BW57" s="4">
        <v>1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1</v>
      </c>
      <c r="CE57" s="73">
        <v>0</v>
      </c>
      <c r="CF57" s="99"/>
    </row>
    <row r="58" spans="1:84" ht="17" thickBot="1" x14ac:dyDescent="0.5">
      <c r="A58" s="221"/>
      <c r="B58" s="182"/>
      <c r="C58" s="182"/>
      <c r="D58" s="236"/>
      <c r="E58" s="3"/>
      <c r="F58" s="228"/>
      <c r="G58" s="222"/>
      <c r="H58" s="222"/>
      <c r="I58" s="229"/>
      <c r="J58" s="55" t="s">
        <v>175</v>
      </c>
      <c r="K58" s="399"/>
      <c r="L58" s="101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38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39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38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39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38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4"/>
    </row>
    <row r="59" spans="1:84" ht="16.5" x14ac:dyDescent="0.45">
      <c r="A59" s="221"/>
      <c r="B59" s="182"/>
      <c r="C59" s="182"/>
      <c r="D59" s="235" t="s">
        <v>219</v>
      </c>
      <c r="E59" s="3"/>
      <c r="F59" s="227" t="s">
        <v>205</v>
      </c>
      <c r="G59" s="220"/>
      <c r="H59" s="220"/>
      <c r="I59" s="227" t="s">
        <v>199</v>
      </c>
      <c r="J59" s="90" t="s">
        <v>22</v>
      </c>
      <c r="K59" s="398">
        <f t="shared" si="0"/>
        <v>0.33333333333333331</v>
      </c>
      <c r="L59" s="74">
        <v>0</v>
      </c>
      <c r="M59" s="75">
        <v>1</v>
      </c>
      <c r="N59" s="75">
        <v>2</v>
      </c>
      <c r="O59" s="75">
        <v>0</v>
      </c>
      <c r="P59" s="75">
        <v>0</v>
      </c>
      <c r="Q59" s="75">
        <v>0</v>
      </c>
      <c r="R59" s="75">
        <v>0</v>
      </c>
      <c r="S59" s="75">
        <v>0</v>
      </c>
      <c r="T59" s="75">
        <v>0</v>
      </c>
      <c r="U59" s="75">
        <v>0</v>
      </c>
      <c r="V59" s="75">
        <v>0</v>
      </c>
      <c r="W59" s="75">
        <v>0</v>
      </c>
      <c r="X59" s="133">
        <v>0</v>
      </c>
      <c r="Y59" s="4">
        <v>0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>
        <v>1</v>
      </c>
      <c r="AF59" s="4">
        <v>0</v>
      </c>
      <c r="AG59" s="4">
        <v>0</v>
      </c>
      <c r="AH59" s="4">
        <v>0</v>
      </c>
      <c r="AI59" s="13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33">
        <v>1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3</v>
      </c>
      <c r="BC59" s="4">
        <v>2</v>
      </c>
      <c r="BD59" s="4">
        <v>0</v>
      </c>
      <c r="BE59" s="4">
        <v>0</v>
      </c>
      <c r="BF59" s="4">
        <v>0</v>
      </c>
      <c r="BG59" s="134">
        <v>0</v>
      </c>
      <c r="BH59" s="4">
        <v>2</v>
      </c>
      <c r="BI59" s="4">
        <v>1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1</v>
      </c>
      <c r="BP59" s="4">
        <v>0</v>
      </c>
      <c r="BQ59" s="4">
        <v>0</v>
      </c>
      <c r="BR59" s="4">
        <v>2</v>
      </c>
      <c r="BS59" s="4">
        <v>0</v>
      </c>
      <c r="BT59" s="133">
        <v>0</v>
      </c>
      <c r="BU59" s="4">
        <v>0</v>
      </c>
      <c r="BV59" s="4">
        <v>0</v>
      </c>
      <c r="BW59" s="4">
        <v>1</v>
      </c>
      <c r="BX59" s="4">
        <v>0</v>
      </c>
      <c r="BY59" s="4">
        <v>0</v>
      </c>
      <c r="BZ59" s="4">
        <v>0</v>
      </c>
      <c r="CA59" s="4">
        <v>0</v>
      </c>
      <c r="CB59" s="4">
        <v>2</v>
      </c>
      <c r="CC59" s="4">
        <v>1</v>
      </c>
      <c r="CD59" s="4">
        <v>2</v>
      </c>
      <c r="CE59" s="73">
        <v>0</v>
      </c>
    </row>
    <row r="60" spans="1:84" ht="17" thickBot="1" x14ac:dyDescent="0.5">
      <c r="A60" s="221"/>
      <c r="B60" s="182"/>
      <c r="C60" s="182"/>
      <c r="D60" s="236"/>
      <c r="E60" s="3"/>
      <c r="F60" s="228"/>
      <c r="G60" s="222"/>
      <c r="H60" s="222"/>
      <c r="I60" s="229"/>
      <c r="J60" s="55" t="s">
        <v>175</v>
      </c>
      <c r="K60" s="399"/>
      <c r="L60" s="101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38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39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38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39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38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4"/>
    </row>
    <row r="61" spans="1:84" ht="16.5" x14ac:dyDescent="0.45">
      <c r="A61" s="221"/>
      <c r="B61" s="182"/>
      <c r="C61" s="182"/>
      <c r="D61" s="192" t="s">
        <v>220</v>
      </c>
      <c r="E61" s="3"/>
      <c r="F61" s="227" t="s">
        <v>205</v>
      </c>
      <c r="G61" s="220"/>
      <c r="H61" s="220"/>
      <c r="I61" s="227" t="s">
        <v>199</v>
      </c>
      <c r="J61" s="90" t="s">
        <v>22</v>
      </c>
      <c r="K61" s="398">
        <f t="shared" si="0"/>
        <v>0.125</v>
      </c>
      <c r="L61" s="74">
        <v>0</v>
      </c>
      <c r="M61" s="75">
        <v>0</v>
      </c>
      <c r="N61" s="75">
        <v>0</v>
      </c>
      <c r="O61" s="75">
        <v>0</v>
      </c>
      <c r="P61" s="75">
        <v>0</v>
      </c>
      <c r="Q61" s="75">
        <v>1</v>
      </c>
      <c r="R61" s="75">
        <v>0</v>
      </c>
      <c r="S61" s="75">
        <v>0</v>
      </c>
      <c r="T61" s="75">
        <v>1</v>
      </c>
      <c r="U61" s="75">
        <v>0</v>
      </c>
      <c r="V61" s="75">
        <v>1</v>
      </c>
      <c r="W61" s="75">
        <v>0</v>
      </c>
      <c r="X61" s="133">
        <v>0</v>
      </c>
      <c r="Y61" s="4">
        <v>0</v>
      </c>
      <c r="Z61" s="4">
        <v>1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3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33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3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1</v>
      </c>
      <c r="BS61" s="4">
        <v>1</v>
      </c>
      <c r="BT61" s="133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1</v>
      </c>
      <c r="CE61" s="73">
        <v>1</v>
      </c>
      <c r="CF61" s="99"/>
    </row>
    <row r="62" spans="1:84" ht="17" thickBot="1" x14ac:dyDescent="0.5">
      <c r="A62" s="221"/>
      <c r="B62" s="182"/>
      <c r="C62" s="182"/>
      <c r="D62" s="193" t="s">
        <v>228</v>
      </c>
      <c r="E62" s="3"/>
      <c r="F62" s="228"/>
      <c r="G62" s="222"/>
      <c r="H62" s="222"/>
      <c r="I62" s="229"/>
      <c r="J62" s="55" t="s">
        <v>175</v>
      </c>
      <c r="K62" s="399"/>
      <c r="L62" s="101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38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39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38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39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38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4"/>
    </row>
    <row r="63" spans="1:84" ht="16.5" x14ac:dyDescent="0.45">
      <c r="A63" s="221"/>
      <c r="B63" s="182"/>
      <c r="C63" s="182"/>
      <c r="D63" s="192" t="s">
        <v>221</v>
      </c>
      <c r="E63" s="3"/>
      <c r="F63" s="227" t="s">
        <v>205</v>
      </c>
      <c r="G63" s="220"/>
      <c r="H63" s="220"/>
      <c r="I63" s="227" t="s">
        <v>199</v>
      </c>
      <c r="J63" s="90" t="s">
        <v>22</v>
      </c>
      <c r="K63" s="398">
        <f t="shared" si="0"/>
        <v>0.125</v>
      </c>
      <c r="L63" s="74">
        <v>0</v>
      </c>
      <c r="M63" s="75">
        <v>0</v>
      </c>
      <c r="N63" s="75">
        <v>0</v>
      </c>
      <c r="O63" s="75">
        <v>0</v>
      </c>
      <c r="P63" s="75">
        <v>0</v>
      </c>
      <c r="Q63" s="75">
        <v>0</v>
      </c>
      <c r="R63" s="75">
        <v>0</v>
      </c>
      <c r="S63" s="75">
        <v>0</v>
      </c>
      <c r="T63" s="75">
        <v>0</v>
      </c>
      <c r="U63" s="75">
        <v>1</v>
      </c>
      <c r="V63" s="75">
        <v>0</v>
      </c>
      <c r="W63" s="75">
        <v>0</v>
      </c>
      <c r="X63" s="133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1</v>
      </c>
      <c r="AF63" s="4">
        <v>0</v>
      </c>
      <c r="AG63" s="4">
        <v>1</v>
      </c>
      <c r="AH63" s="4">
        <v>1</v>
      </c>
      <c r="AI63" s="134">
        <v>1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1</v>
      </c>
      <c r="AQ63" s="4">
        <v>0</v>
      </c>
      <c r="AR63" s="4">
        <v>0</v>
      </c>
      <c r="AS63" s="4">
        <v>0</v>
      </c>
      <c r="AT63" s="4">
        <v>0</v>
      </c>
      <c r="AU63" s="4">
        <v>1</v>
      </c>
      <c r="AV63" s="133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13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1</v>
      </c>
      <c r="BS63" s="4">
        <v>0</v>
      </c>
      <c r="BT63" s="133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1</v>
      </c>
      <c r="CE63" s="73">
        <v>0</v>
      </c>
      <c r="CF63" s="99"/>
    </row>
    <row r="64" spans="1:84" ht="17" thickBot="1" x14ac:dyDescent="0.5">
      <c r="A64" s="221"/>
      <c r="B64" s="182"/>
      <c r="C64" s="182"/>
      <c r="D64" s="193" t="s">
        <v>230</v>
      </c>
      <c r="E64" s="3"/>
      <c r="F64" s="228"/>
      <c r="G64" s="222"/>
      <c r="H64" s="222"/>
      <c r="I64" s="229"/>
      <c r="J64" s="55" t="s">
        <v>175</v>
      </c>
      <c r="K64" s="399"/>
      <c r="L64" s="101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38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39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38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39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38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4"/>
    </row>
    <row r="65" spans="1:84" ht="16.5" x14ac:dyDescent="0.45">
      <c r="A65" s="221"/>
      <c r="B65" s="182"/>
      <c r="C65" s="182"/>
      <c r="D65" s="235" t="s">
        <v>222</v>
      </c>
      <c r="E65" s="3"/>
      <c r="F65" s="227" t="s">
        <v>205</v>
      </c>
      <c r="G65" s="220"/>
      <c r="H65" s="220"/>
      <c r="I65" s="227" t="s">
        <v>199</v>
      </c>
      <c r="J65" s="90" t="s">
        <v>22</v>
      </c>
      <c r="K65" s="398">
        <f t="shared" si="0"/>
        <v>0.18055555555555555</v>
      </c>
      <c r="L65" s="74">
        <v>0</v>
      </c>
      <c r="M65" s="75">
        <v>0</v>
      </c>
      <c r="N65" s="75">
        <v>0</v>
      </c>
      <c r="O65" s="75">
        <v>0</v>
      </c>
      <c r="P65" s="75">
        <v>1</v>
      </c>
      <c r="Q65" s="75">
        <v>0</v>
      </c>
      <c r="R65" s="75">
        <v>0</v>
      </c>
      <c r="S65" s="75">
        <v>0</v>
      </c>
      <c r="T65" s="75">
        <v>0</v>
      </c>
      <c r="U65" s="75">
        <v>0</v>
      </c>
      <c r="V65" s="75">
        <v>0</v>
      </c>
      <c r="W65" s="75">
        <v>0</v>
      </c>
      <c r="X65" s="133">
        <v>1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2</v>
      </c>
      <c r="AF65" s="4">
        <v>1</v>
      </c>
      <c r="AG65" s="4">
        <v>0</v>
      </c>
      <c r="AH65" s="4">
        <v>0</v>
      </c>
      <c r="AI65" s="13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33">
        <v>0</v>
      </c>
      <c r="AW65" s="4">
        <v>0</v>
      </c>
      <c r="AX65" s="4">
        <v>1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134">
        <v>0</v>
      </c>
      <c r="BH65" s="4">
        <v>0</v>
      </c>
      <c r="BI65" s="4">
        <v>0</v>
      </c>
      <c r="BJ65" s="4">
        <v>1</v>
      </c>
      <c r="BK65" s="4">
        <v>0</v>
      </c>
      <c r="BL65" s="4">
        <v>0</v>
      </c>
      <c r="BM65" s="4">
        <v>1</v>
      </c>
      <c r="BN65" s="4">
        <v>2</v>
      </c>
      <c r="BO65" s="4">
        <v>0</v>
      </c>
      <c r="BP65" s="4">
        <v>1</v>
      </c>
      <c r="BQ65" s="4">
        <v>0</v>
      </c>
      <c r="BR65" s="4">
        <v>0</v>
      </c>
      <c r="BS65" s="4">
        <v>0</v>
      </c>
      <c r="BT65" s="133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73">
        <v>0</v>
      </c>
    </row>
    <row r="66" spans="1:84" ht="17" thickBot="1" x14ac:dyDescent="0.5">
      <c r="A66" s="221"/>
      <c r="B66" s="182"/>
      <c r="C66" s="182"/>
      <c r="D66" s="236"/>
      <c r="E66" s="3"/>
      <c r="F66" s="228"/>
      <c r="G66" s="222"/>
      <c r="H66" s="222"/>
      <c r="I66" s="229"/>
      <c r="J66" s="55" t="s">
        <v>175</v>
      </c>
      <c r="K66" s="399"/>
      <c r="L66" s="101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38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39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38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39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38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4"/>
    </row>
    <row r="67" spans="1:84" ht="16.5" x14ac:dyDescent="0.45">
      <c r="A67" s="221"/>
      <c r="B67" s="182"/>
      <c r="C67" s="182"/>
      <c r="D67" s="192" t="s">
        <v>223</v>
      </c>
      <c r="E67" s="3"/>
      <c r="F67" s="227" t="s">
        <v>205</v>
      </c>
      <c r="G67" s="220"/>
      <c r="H67" s="220"/>
      <c r="I67" s="227" t="s">
        <v>199</v>
      </c>
      <c r="J67" s="90" t="s">
        <v>22</v>
      </c>
      <c r="K67" s="398">
        <f t="shared" si="0"/>
        <v>9.7222222222222224E-2</v>
      </c>
      <c r="L67" s="74">
        <v>0</v>
      </c>
      <c r="M67" s="75">
        <v>0</v>
      </c>
      <c r="N67" s="75">
        <v>0</v>
      </c>
      <c r="O67" s="75">
        <v>0</v>
      </c>
      <c r="P67" s="75">
        <v>0</v>
      </c>
      <c r="Q67" s="75">
        <v>0</v>
      </c>
      <c r="R67" s="75">
        <v>0</v>
      </c>
      <c r="S67" s="75">
        <v>1</v>
      </c>
      <c r="T67" s="75">
        <v>0</v>
      </c>
      <c r="U67" s="75">
        <v>0</v>
      </c>
      <c r="V67" s="75">
        <v>0</v>
      </c>
      <c r="W67" s="75">
        <v>0</v>
      </c>
      <c r="X67" s="133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3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1</v>
      </c>
      <c r="AV67" s="133">
        <v>1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13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1</v>
      </c>
      <c r="BS67" s="4">
        <v>0</v>
      </c>
      <c r="BT67" s="133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73">
        <v>0</v>
      </c>
      <c r="CF67" s="99"/>
    </row>
    <row r="68" spans="1:84" ht="17" thickBot="1" x14ac:dyDescent="0.5">
      <c r="A68" s="221"/>
      <c r="B68" s="182"/>
      <c r="C68" s="182"/>
      <c r="D68" s="193" t="s">
        <v>229</v>
      </c>
      <c r="E68" s="3"/>
      <c r="F68" s="228"/>
      <c r="G68" s="222"/>
      <c r="H68" s="222"/>
      <c r="I68" s="229"/>
      <c r="J68" s="55" t="s">
        <v>175</v>
      </c>
      <c r="K68" s="399"/>
      <c r="L68" s="101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38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39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38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39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38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4"/>
    </row>
    <row r="69" spans="1:84" ht="16.5" x14ac:dyDescent="0.45">
      <c r="A69" s="221"/>
      <c r="B69" s="182"/>
      <c r="C69" s="182"/>
      <c r="D69" s="192" t="s">
        <v>224</v>
      </c>
      <c r="E69" s="3"/>
      <c r="F69" s="227" t="s">
        <v>205</v>
      </c>
      <c r="G69" s="220"/>
      <c r="H69" s="220"/>
      <c r="I69" s="227" t="s">
        <v>199</v>
      </c>
      <c r="J69" s="90" t="s">
        <v>22</v>
      </c>
      <c r="K69" s="398">
        <f t="shared" si="0"/>
        <v>0.40277777777777779</v>
      </c>
      <c r="L69" s="74">
        <v>0</v>
      </c>
      <c r="M69" s="75">
        <v>0</v>
      </c>
      <c r="N69" s="75">
        <v>0</v>
      </c>
      <c r="O69" s="75">
        <v>1</v>
      </c>
      <c r="P69" s="75">
        <v>2</v>
      </c>
      <c r="Q69" s="75">
        <v>1</v>
      </c>
      <c r="R69" s="75">
        <v>1</v>
      </c>
      <c r="S69" s="75">
        <v>0</v>
      </c>
      <c r="T69" s="75">
        <v>0</v>
      </c>
      <c r="U69" s="75">
        <v>1</v>
      </c>
      <c r="V69" s="75">
        <v>0</v>
      </c>
      <c r="W69" s="75">
        <v>0</v>
      </c>
      <c r="X69" s="133">
        <v>1</v>
      </c>
      <c r="Y69" s="4">
        <v>0</v>
      </c>
      <c r="Z69" s="4">
        <v>0</v>
      </c>
      <c r="AA69" s="4">
        <v>1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1</v>
      </c>
      <c r="AH69" s="4">
        <v>1</v>
      </c>
      <c r="AI69" s="134">
        <v>0</v>
      </c>
      <c r="AJ69" s="4">
        <v>1</v>
      </c>
      <c r="AK69" s="4">
        <v>0</v>
      </c>
      <c r="AL69" s="4">
        <v>0</v>
      </c>
      <c r="AM69" s="4">
        <v>1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0</v>
      </c>
      <c r="AT69" s="4">
        <v>1</v>
      </c>
      <c r="AU69" s="4">
        <v>0</v>
      </c>
      <c r="AV69" s="133">
        <v>0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1</v>
      </c>
      <c r="BD69" s="4">
        <v>0</v>
      </c>
      <c r="BE69" s="4">
        <v>1</v>
      </c>
      <c r="BF69" s="4">
        <v>1</v>
      </c>
      <c r="BG69" s="134">
        <v>1</v>
      </c>
      <c r="BH69" s="4">
        <v>0</v>
      </c>
      <c r="BI69" s="4">
        <v>1</v>
      </c>
      <c r="BJ69" s="4">
        <v>0</v>
      </c>
      <c r="BK69" s="4">
        <v>1</v>
      </c>
      <c r="BL69" s="4">
        <v>0</v>
      </c>
      <c r="BM69" s="4">
        <v>1</v>
      </c>
      <c r="BN69" s="4">
        <v>1</v>
      </c>
      <c r="BO69" s="4">
        <v>1</v>
      </c>
      <c r="BP69" s="4">
        <v>0</v>
      </c>
      <c r="BQ69" s="4">
        <v>0</v>
      </c>
      <c r="BR69" s="4">
        <v>0</v>
      </c>
      <c r="BS69" s="4">
        <v>0</v>
      </c>
      <c r="BT69" s="133">
        <v>0</v>
      </c>
      <c r="BU69" s="4">
        <v>0</v>
      </c>
      <c r="BV69" s="4">
        <v>0</v>
      </c>
      <c r="BW69" s="4">
        <v>0</v>
      </c>
      <c r="BX69" s="4">
        <v>0</v>
      </c>
      <c r="BY69" s="4">
        <v>1</v>
      </c>
      <c r="BZ69" s="4">
        <v>1</v>
      </c>
      <c r="CA69" s="4">
        <v>0</v>
      </c>
      <c r="CB69" s="4">
        <v>0</v>
      </c>
      <c r="CC69" s="4">
        <v>1</v>
      </c>
      <c r="CD69" s="4">
        <v>0</v>
      </c>
      <c r="CE69" s="73">
        <v>0</v>
      </c>
      <c r="CF69" s="99"/>
    </row>
    <row r="70" spans="1:84" ht="17" thickBot="1" x14ac:dyDescent="0.5">
      <c r="A70" s="221"/>
      <c r="B70" s="182"/>
      <c r="C70" s="182"/>
      <c r="D70" s="193" t="s">
        <v>227</v>
      </c>
      <c r="E70" s="3"/>
      <c r="F70" s="228"/>
      <c r="G70" s="222"/>
      <c r="H70" s="222"/>
      <c r="I70" s="229"/>
      <c r="J70" s="55" t="s">
        <v>175</v>
      </c>
      <c r="K70" s="399"/>
      <c r="L70" s="101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38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39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38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39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38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4"/>
    </row>
    <row r="71" spans="1:84" ht="16.5" x14ac:dyDescent="0.45">
      <c r="A71" s="221"/>
      <c r="B71" s="182"/>
      <c r="C71" s="182"/>
      <c r="D71" s="334" t="s">
        <v>225</v>
      </c>
      <c r="E71" s="3"/>
      <c r="F71" s="227" t="s">
        <v>205</v>
      </c>
      <c r="G71" s="220"/>
      <c r="H71" s="220"/>
      <c r="I71" s="227" t="s">
        <v>199</v>
      </c>
      <c r="J71" s="90" t="s">
        <v>22</v>
      </c>
      <c r="K71" s="398">
        <f t="shared" si="0"/>
        <v>0.20833333333333334</v>
      </c>
      <c r="L71" s="74">
        <v>0</v>
      </c>
      <c r="M71" s="75">
        <v>0</v>
      </c>
      <c r="N71" s="75">
        <v>1</v>
      </c>
      <c r="O71" s="75">
        <v>0</v>
      </c>
      <c r="P71" s="75">
        <v>0</v>
      </c>
      <c r="Q71" s="75">
        <v>0</v>
      </c>
      <c r="R71" s="75">
        <v>0</v>
      </c>
      <c r="S71" s="75">
        <v>0</v>
      </c>
      <c r="T71" s="75">
        <v>1</v>
      </c>
      <c r="U71" s="75">
        <v>0</v>
      </c>
      <c r="V71" s="75">
        <v>1</v>
      </c>
      <c r="W71" s="75">
        <v>0</v>
      </c>
      <c r="X71" s="133">
        <v>0</v>
      </c>
      <c r="Y71" s="4">
        <v>0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134">
        <v>0</v>
      </c>
      <c r="AJ71" s="4">
        <v>0</v>
      </c>
      <c r="AK71" s="4">
        <v>1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1</v>
      </c>
      <c r="AS71" s="4">
        <v>0</v>
      </c>
      <c r="AT71" s="4">
        <v>0</v>
      </c>
      <c r="AU71" s="4">
        <v>0</v>
      </c>
      <c r="AV71" s="133">
        <v>0</v>
      </c>
      <c r="AW71" s="4">
        <v>1</v>
      </c>
      <c r="AX71" s="4">
        <v>1</v>
      </c>
      <c r="AY71" s="4">
        <v>0</v>
      </c>
      <c r="AZ71" s="4">
        <v>1</v>
      </c>
      <c r="BA71" s="4">
        <v>0</v>
      </c>
      <c r="BB71" s="4">
        <v>1</v>
      </c>
      <c r="BC71" s="4">
        <v>0</v>
      </c>
      <c r="BD71" s="4">
        <v>0</v>
      </c>
      <c r="BE71" s="4">
        <v>0</v>
      </c>
      <c r="BF71" s="4">
        <v>1</v>
      </c>
      <c r="BG71" s="134">
        <v>0</v>
      </c>
      <c r="BH71" s="4">
        <v>0</v>
      </c>
      <c r="BI71" s="4">
        <v>0</v>
      </c>
      <c r="BJ71" s="4">
        <v>1</v>
      </c>
      <c r="BK71" s="4">
        <v>0</v>
      </c>
      <c r="BL71" s="4">
        <v>0</v>
      </c>
      <c r="BM71" s="4">
        <v>0</v>
      </c>
      <c r="BN71" s="4">
        <v>0</v>
      </c>
      <c r="BO71" s="4">
        <v>1</v>
      </c>
      <c r="BP71" s="4">
        <v>1</v>
      </c>
      <c r="BQ71" s="4">
        <v>0</v>
      </c>
      <c r="BR71" s="4">
        <v>0</v>
      </c>
      <c r="BS71" s="4">
        <v>1</v>
      </c>
      <c r="BT71" s="133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73">
        <v>0</v>
      </c>
      <c r="CF71" s="99"/>
    </row>
    <row r="72" spans="1:84" ht="17" thickBot="1" x14ac:dyDescent="0.5">
      <c r="A72" s="221"/>
      <c r="B72" s="182"/>
      <c r="C72" s="182"/>
      <c r="D72" s="335"/>
      <c r="E72" s="3"/>
      <c r="F72" s="228"/>
      <c r="G72" s="222"/>
      <c r="H72" s="222"/>
      <c r="I72" s="229"/>
      <c r="J72" s="55" t="s">
        <v>175</v>
      </c>
      <c r="K72" s="399"/>
      <c r="L72" s="101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38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39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38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39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38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4"/>
    </row>
    <row r="73" spans="1:84" ht="16.5" x14ac:dyDescent="0.45">
      <c r="A73" s="221"/>
      <c r="B73" s="182"/>
      <c r="C73" s="182"/>
      <c r="D73" s="334" t="s">
        <v>226</v>
      </c>
      <c r="E73" s="3"/>
      <c r="F73" s="227" t="s">
        <v>205</v>
      </c>
      <c r="G73" s="220"/>
      <c r="H73" s="220"/>
      <c r="I73" s="227" t="s">
        <v>199</v>
      </c>
      <c r="J73" s="90" t="s">
        <v>22</v>
      </c>
      <c r="K73" s="398">
        <f t="shared" si="0"/>
        <v>0.1111111111111111</v>
      </c>
      <c r="L73" s="74">
        <v>0</v>
      </c>
      <c r="M73" s="75">
        <v>0</v>
      </c>
      <c r="N73" s="75">
        <v>0</v>
      </c>
      <c r="O73" s="75">
        <v>0</v>
      </c>
      <c r="P73" s="75">
        <v>0</v>
      </c>
      <c r="Q73" s="75">
        <v>0</v>
      </c>
      <c r="R73" s="75">
        <v>0</v>
      </c>
      <c r="S73" s="75">
        <v>0</v>
      </c>
      <c r="T73" s="75">
        <v>0</v>
      </c>
      <c r="U73" s="75">
        <v>0</v>
      </c>
      <c r="V73" s="75">
        <v>0</v>
      </c>
      <c r="W73" s="75">
        <v>0</v>
      </c>
      <c r="X73" s="133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1</v>
      </c>
      <c r="AI73" s="134">
        <v>1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1</v>
      </c>
      <c r="AQ73" s="4">
        <v>0</v>
      </c>
      <c r="AR73" s="4">
        <v>0</v>
      </c>
      <c r="AS73" s="4">
        <v>0</v>
      </c>
      <c r="AT73" s="4">
        <v>0</v>
      </c>
      <c r="AU73" s="4">
        <v>1</v>
      </c>
      <c r="AV73" s="133">
        <v>0</v>
      </c>
      <c r="AW73" s="4">
        <v>0</v>
      </c>
      <c r="AX73" s="4">
        <v>0</v>
      </c>
      <c r="AY73" s="4">
        <v>0</v>
      </c>
      <c r="AZ73" s="4">
        <v>1</v>
      </c>
      <c r="BA73" s="4">
        <v>0</v>
      </c>
      <c r="BB73" s="4">
        <v>0</v>
      </c>
      <c r="BC73" s="4">
        <v>0</v>
      </c>
      <c r="BD73" s="4">
        <v>0</v>
      </c>
      <c r="BE73" s="4">
        <v>2</v>
      </c>
      <c r="BF73" s="4">
        <v>0</v>
      </c>
      <c r="BG73" s="134">
        <v>0</v>
      </c>
      <c r="BH73" s="4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133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73">
        <v>0</v>
      </c>
      <c r="CF73" s="99"/>
    </row>
    <row r="74" spans="1:84" ht="17" thickBot="1" x14ac:dyDescent="0.5">
      <c r="A74" s="221"/>
      <c r="B74" s="182"/>
      <c r="C74" s="182"/>
      <c r="D74" s="335"/>
      <c r="E74" s="3"/>
      <c r="F74" s="228"/>
      <c r="G74" s="222"/>
      <c r="H74" s="222"/>
      <c r="I74" s="229"/>
      <c r="J74" s="55" t="s">
        <v>175</v>
      </c>
      <c r="K74" s="399"/>
      <c r="L74" s="74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133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13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133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13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33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73"/>
    </row>
    <row r="75" spans="1:84" ht="16.5" x14ac:dyDescent="0.45">
      <c r="A75" s="221"/>
      <c r="B75" s="182"/>
      <c r="C75" s="182"/>
      <c r="D75" s="334" t="s">
        <v>174</v>
      </c>
      <c r="E75" s="56"/>
      <c r="F75" s="220" t="s">
        <v>201</v>
      </c>
      <c r="G75" s="220" t="s">
        <v>199</v>
      </c>
      <c r="H75" s="220" t="s">
        <v>55</v>
      </c>
      <c r="I75" s="227" t="s">
        <v>200</v>
      </c>
      <c r="J75" s="90" t="s">
        <v>22</v>
      </c>
      <c r="K75" s="398">
        <f>AVERAGE(L75:BS75)</f>
        <v>1.2</v>
      </c>
      <c r="L75" s="76">
        <v>0</v>
      </c>
      <c r="M75" s="77">
        <v>0</v>
      </c>
      <c r="N75" s="77">
        <v>3</v>
      </c>
      <c r="O75" s="77">
        <v>2</v>
      </c>
      <c r="P75" s="77">
        <v>1</v>
      </c>
      <c r="Q75" s="77">
        <v>2</v>
      </c>
      <c r="R75" s="77">
        <v>0</v>
      </c>
      <c r="S75" s="77">
        <v>2</v>
      </c>
      <c r="T75" s="77">
        <v>1</v>
      </c>
      <c r="U75" s="77">
        <v>1</v>
      </c>
      <c r="V75" s="77">
        <v>0</v>
      </c>
      <c r="W75" s="77">
        <v>1</v>
      </c>
      <c r="X75" s="136">
        <v>1</v>
      </c>
      <c r="Y75" s="80">
        <v>3</v>
      </c>
      <c r="Z75" s="80">
        <v>1</v>
      </c>
      <c r="AA75" s="80">
        <v>2</v>
      </c>
      <c r="AB75" s="80">
        <v>0</v>
      </c>
      <c r="AC75" s="80">
        <v>1</v>
      </c>
      <c r="AD75" s="80">
        <v>3</v>
      </c>
      <c r="AE75" s="80">
        <v>1</v>
      </c>
      <c r="AF75" s="80">
        <v>2</v>
      </c>
      <c r="AG75" s="80">
        <v>1</v>
      </c>
      <c r="AH75" s="80">
        <v>1</v>
      </c>
      <c r="AI75" s="137">
        <v>2</v>
      </c>
      <c r="AJ75" s="80">
        <v>1</v>
      </c>
      <c r="AK75" s="80">
        <v>0</v>
      </c>
      <c r="AL75" s="80">
        <v>0</v>
      </c>
      <c r="AM75" s="80">
        <v>0</v>
      </c>
      <c r="AN75" s="80">
        <v>1</v>
      </c>
      <c r="AO75" s="80">
        <v>0</v>
      </c>
      <c r="AP75" s="80">
        <v>5</v>
      </c>
      <c r="AQ75" s="80">
        <v>1</v>
      </c>
      <c r="AR75" s="80">
        <v>3</v>
      </c>
      <c r="AS75" s="80">
        <v>1</v>
      </c>
      <c r="AT75" s="80">
        <v>3</v>
      </c>
      <c r="AU75" s="80">
        <v>0</v>
      </c>
      <c r="AV75" s="136">
        <v>1</v>
      </c>
      <c r="AW75" s="80">
        <v>2</v>
      </c>
      <c r="AX75" s="80">
        <v>1</v>
      </c>
      <c r="AY75" s="80">
        <v>0</v>
      </c>
      <c r="AZ75" s="80">
        <v>2</v>
      </c>
      <c r="BA75" s="80">
        <v>1</v>
      </c>
      <c r="BB75" s="80">
        <v>0</v>
      </c>
      <c r="BC75" s="80">
        <v>1</v>
      </c>
      <c r="BD75" s="80">
        <v>2</v>
      </c>
      <c r="BE75" s="80">
        <v>0</v>
      </c>
      <c r="BF75" s="80">
        <v>2</v>
      </c>
      <c r="BG75" s="137">
        <v>5</v>
      </c>
      <c r="BH75" s="80">
        <v>1</v>
      </c>
      <c r="BI75" s="80">
        <v>0</v>
      </c>
      <c r="BJ75" s="80">
        <v>3</v>
      </c>
      <c r="BK75" s="80">
        <v>1</v>
      </c>
      <c r="BL75" s="80">
        <v>1</v>
      </c>
      <c r="BM75" s="80">
        <v>0</v>
      </c>
      <c r="BN75" s="80">
        <v>1</v>
      </c>
      <c r="BO75" s="80">
        <v>0</v>
      </c>
      <c r="BP75" s="80">
        <v>1</v>
      </c>
      <c r="BQ75" s="80">
        <v>1</v>
      </c>
      <c r="BR75" s="80">
        <v>0</v>
      </c>
      <c r="BS75" s="80">
        <v>0</v>
      </c>
      <c r="BT75" s="227" t="s">
        <v>67</v>
      </c>
      <c r="BU75" s="330"/>
      <c r="BV75" s="330"/>
      <c r="BW75" s="330"/>
      <c r="BX75" s="331"/>
      <c r="BY75" s="247" t="s">
        <v>66</v>
      </c>
      <c r="BZ75" s="292"/>
      <c r="CA75" s="249" t="s">
        <v>31</v>
      </c>
      <c r="CB75" s="250"/>
      <c r="CC75" s="329" t="s">
        <v>67</v>
      </c>
      <c r="CD75" s="330"/>
      <c r="CE75" s="336"/>
    </row>
    <row r="76" spans="1:84" ht="17" thickBot="1" x14ac:dyDescent="0.5">
      <c r="A76" s="221"/>
      <c r="B76" s="182"/>
      <c r="C76" s="182"/>
      <c r="D76" s="335"/>
      <c r="E76" s="3"/>
      <c r="F76" s="222"/>
      <c r="G76" s="222"/>
      <c r="H76" s="222"/>
      <c r="I76" s="229"/>
      <c r="J76" s="55" t="s">
        <v>175</v>
      </c>
      <c r="K76" s="399"/>
      <c r="L76" s="229">
        <v>8</v>
      </c>
      <c r="M76" s="230"/>
      <c r="N76" s="230"/>
      <c r="O76" s="230"/>
      <c r="P76" s="230"/>
      <c r="Q76" s="230"/>
      <c r="R76" s="230">
        <v>5</v>
      </c>
      <c r="S76" s="230"/>
      <c r="T76" s="230"/>
      <c r="U76" s="230"/>
      <c r="V76" s="230"/>
      <c r="W76" s="230"/>
      <c r="X76" s="231">
        <v>8</v>
      </c>
      <c r="Y76" s="232"/>
      <c r="Z76" s="232"/>
      <c r="AA76" s="232"/>
      <c r="AB76" s="232"/>
      <c r="AC76" s="232"/>
      <c r="AD76" s="232">
        <v>10</v>
      </c>
      <c r="AE76" s="232"/>
      <c r="AF76" s="232"/>
      <c r="AG76" s="232"/>
      <c r="AH76" s="232"/>
      <c r="AI76" s="233"/>
      <c r="AJ76" s="232">
        <v>2</v>
      </c>
      <c r="AK76" s="232"/>
      <c r="AL76" s="232"/>
      <c r="AM76" s="232"/>
      <c r="AN76" s="232"/>
      <c r="AO76" s="232"/>
      <c r="AP76" s="232">
        <v>13</v>
      </c>
      <c r="AQ76" s="232"/>
      <c r="AR76" s="232"/>
      <c r="AS76" s="232"/>
      <c r="AT76" s="232"/>
      <c r="AU76" s="232"/>
      <c r="AV76" s="231">
        <v>7</v>
      </c>
      <c r="AW76" s="232"/>
      <c r="AX76" s="232"/>
      <c r="AY76" s="232"/>
      <c r="AZ76" s="232"/>
      <c r="BA76" s="232"/>
      <c r="BB76" s="232">
        <v>10</v>
      </c>
      <c r="BC76" s="232"/>
      <c r="BD76" s="232"/>
      <c r="BE76" s="232"/>
      <c r="BF76" s="232"/>
      <c r="BG76" s="233"/>
      <c r="BH76" s="232">
        <v>6</v>
      </c>
      <c r="BI76" s="232"/>
      <c r="BJ76" s="232"/>
      <c r="BK76" s="232"/>
      <c r="BL76" s="232"/>
      <c r="BM76" s="232"/>
      <c r="BN76" s="232">
        <v>3</v>
      </c>
      <c r="BO76" s="232"/>
      <c r="BP76" s="232"/>
      <c r="BQ76" s="232"/>
      <c r="BR76" s="232"/>
      <c r="BS76" s="232"/>
      <c r="BT76" s="229"/>
      <c r="BU76" s="230"/>
      <c r="BV76" s="230"/>
      <c r="BW76" s="230"/>
      <c r="BX76" s="333"/>
      <c r="BY76" s="304"/>
      <c r="BZ76" s="290"/>
      <c r="CA76" s="286"/>
      <c r="CB76" s="287"/>
      <c r="CC76" s="332"/>
      <c r="CD76" s="230"/>
      <c r="CE76" s="237"/>
    </row>
  </sheetData>
  <mergeCells count="428"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Y75:BZ76"/>
    <mergeCell ref="CA75:CB76"/>
    <mergeCell ref="CC75:CE76"/>
    <mergeCell ref="L76:Q76"/>
    <mergeCell ref="R76:W76"/>
    <mergeCell ref="X76:AC76"/>
    <mergeCell ref="AD76:AI76"/>
    <mergeCell ref="AJ76:AO76"/>
    <mergeCell ref="AP76:AU76"/>
    <mergeCell ref="AV76:BA76"/>
    <mergeCell ref="D75:D76"/>
    <mergeCell ref="F75:F76"/>
    <mergeCell ref="G75:G76"/>
    <mergeCell ref="H75:H76"/>
    <mergeCell ref="I75:I76"/>
    <mergeCell ref="BT75:BX76"/>
    <mergeCell ref="BB76:BG76"/>
    <mergeCell ref="BH76:BM76"/>
    <mergeCell ref="BN76:BS76"/>
    <mergeCell ref="D71:D72"/>
    <mergeCell ref="F71:F72"/>
    <mergeCell ref="G71:G72"/>
    <mergeCell ref="H71:H72"/>
    <mergeCell ref="I71:I72"/>
    <mergeCell ref="D73:D74"/>
    <mergeCell ref="F73:F74"/>
    <mergeCell ref="G73:G74"/>
    <mergeCell ref="H73:H74"/>
    <mergeCell ref="I73:I74"/>
    <mergeCell ref="F67:F68"/>
    <mergeCell ref="G67:G68"/>
    <mergeCell ref="H67:H68"/>
    <mergeCell ref="I67:I68"/>
    <mergeCell ref="F69:F70"/>
    <mergeCell ref="G69:G70"/>
    <mergeCell ref="H69:H70"/>
    <mergeCell ref="I69:I70"/>
    <mergeCell ref="F63:F64"/>
    <mergeCell ref="G63:G64"/>
    <mergeCell ref="H63:H64"/>
    <mergeCell ref="I63:I64"/>
    <mergeCell ref="D65:D66"/>
    <mergeCell ref="F65:F66"/>
    <mergeCell ref="G65:G66"/>
    <mergeCell ref="H65:H66"/>
    <mergeCell ref="I65:I66"/>
    <mergeCell ref="D59:D60"/>
    <mergeCell ref="F59:F60"/>
    <mergeCell ref="G59:G60"/>
    <mergeCell ref="H59:H60"/>
    <mergeCell ref="I59:I60"/>
    <mergeCell ref="F61:F62"/>
    <mergeCell ref="G61:G62"/>
    <mergeCell ref="H61:H62"/>
    <mergeCell ref="I61:I62"/>
    <mergeCell ref="F55:F56"/>
    <mergeCell ref="G55:G56"/>
    <mergeCell ref="H55:H56"/>
    <mergeCell ref="I55:I56"/>
    <mergeCell ref="D57:D58"/>
    <mergeCell ref="F57:F58"/>
    <mergeCell ref="G57:G58"/>
    <mergeCell ref="H57:H58"/>
    <mergeCell ref="I57:I58"/>
    <mergeCell ref="D53:D54"/>
    <mergeCell ref="F53:F54"/>
    <mergeCell ref="G53:G54"/>
    <mergeCell ref="H53:H54"/>
    <mergeCell ref="I53:I54"/>
    <mergeCell ref="D45:D46"/>
    <mergeCell ref="F45:F46"/>
    <mergeCell ref="G45:G46"/>
    <mergeCell ref="H45:H46"/>
    <mergeCell ref="I45:I46"/>
    <mergeCell ref="D43:D44"/>
    <mergeCell ref="F43:F44"/>
    <mergeCell ref="G43:G44"/>
    <mergeCell ref="H43:H44"/>
    <mergeCell ref="I43:I44"/>
    <mergeCell ref="BB40:BG40"/>
    <mergeCell ref="BH40:BM40"/>
    <mergeCell ref="BN40:BS40"/>
    <mergeCell ref="BT40:BY4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BH30:BM30"/>
    <mergeCell ref="BZ29:CC30"/>
    <mergeCell ref="BN30:BS30"/>
    <mergeCell ref="BT30:BY30"/>
    <mergeCell ref="BW21:BX22"/>
    <mergeCell ref="BY21:BZ22"/>
    <mergeCell ref="AJ28:AO28"/>
    <mergeCell ref="AP28:AU28"/>
    <mergeCell ref="AV28:BA28"/>
    <mergeCell ref="BB28:BG28"/>
    <mergeCell ref="BH28:BM28"/>
    <mergeCell ref="BN28:BS28"/>
    <mergeCell ref="BT28:BY28"/>
    <mergeCell ref="BZ28:CE28"/>
    <mergeCell ref="AJ24:AO24"/>
    <mergeCell ref="AP24:AU24"/>
    <mergeCell ref="AV24:BA24"/>
    <mergeCell ref="BB24:BG24"/>
    <mergeCell ref="BH24:BM24"/>
    <mergeCell ref="BN24:BS24"/>
    <mergeCell ref="BT24:BY24"/>
    <mergeCell ref="CA21:CE22"/>
    <mergeCell ref="AJ22:AO22"/>
    <mergeCell ref="AP22:AU22"/>
    <mergeCell ref="AV22:BA22"/>
    <mergeCell ref="BB22:BG22"/>
    <mergeCell ref="BH22:BM22"/>
    <mergeCell ref="BN22:BS22"/>
    <mergeCell ref="A21:A76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AD28:AI28"/>
    <mergeCell ref="BZ19:CA20"/>
    <mergeCell ref="CB19:CC20"/>
    <mergeCell ref="CD19:CE20"/>
    <mergeCell ref="AV20:BA20"/>
    <mergeCell ref="BB20:BG20"/>
    <mergeCell ref="BH20:BM20"/>
    <mergeCell ref="BN20:BS20"/>
    <mergeCell ref="BT20:BY20"/>
    <mergeCell ref="AJ20:AO20"/>
    <mergeCell ref="AP20:AU20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BZ16:CE16"/>
    <mergeCell ref="BN12:BS12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AV16:BA16"/>
    <mergeCell ref="BB16:BG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AV14:BA14"/>
    <mergeCell ref="BH16:BM16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B14:BG14"/>
    <mergeCell ref="BH14:BM14"/>
    <mergeCell ref="BZ14:CE14"/>
    <mergeCell ref="D11:D12"/>
    <mergeCell ref="F11:F12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BA5:BB6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BZ18:CE18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BV17:BW18"/>
    <mergeCell ref="L18:Q18"/>
    <mergeCell ref="R18:W18"/>
    <mergeCell ref="X18:AC18"/>
    <mergeCell ref="AD18:AI18"/>
    <mergeCell ref="AJ18:AO18"/>
    <mergeCell ref="AP18:AU18"/>
    <mergeCell ref="AV18:BA18"/>
    <mergeCell ref="BB18:BG18"/>
    <mergeCell ref="BH18:BM18"/>
    <mergeCell ref="BN18:BS18"/>
    <mergeCell ref="R24:W24"/>
    <mergeCell ref="X24:AC24"/>
    <mergeCell ref="AD24:AI24"/>
    <mergeCell ref="D17:D18"/>
    <mergeCell ref="F17:F18"/>
    <mergeCell ref="G17:G18"/>
    <mergeCell ref="H17:H18"/>
    <mergeCell ref="I17:I18"/>
    <mergeCell ref="BU17:BU18"/>
    <mergeCell ref="BT21:BV22"/>
    <mergeCell ref="L22:Q22"/>
    <mergeCell ref="R22:W22"/>
    <mergeCell ref="X22:AC22"/>
    <mergeCell ref="AD22:AI22"/>
    <mergeCell ref="BZ24:CE24"/>
    <mergeCell ref="D25:D26"/>
    <mergeCell ref="F25:F26"/>
    <mergeCell ref="G25:G26"/>
    <mergeCell ref="H25:H26"/>
    <mergeCell ref="I25:I26"/>
    <mergeCell ref="L26:Q26"/>
    <mergeCell ref="R26:W26"/>
    <mergeCell ref="X26:AC26"/>
    <mergeCell ref="AD26:AI26"/>
    <mergeCell ref="AJ26:AO26"/>
    <mergeCell ref="AP26:AU26"/>
    <mergeCell ref="AV26:BA26"/>
    <mergeCell ref="BB26:BG26"/>
    <mergeCell ref="BH26:BM26"/>
    <mergeCell ref="BN26:BS26"/>
    <mergeCell ref="BT26:BY26"/>
    <mergeCell ref="BZ26:CE26"/>
    <mergeCell ref="D23:D24"/>
    <mergeCell ref="F23:F24"/>
    <mergeCell ref="G23:G24"/>
    <mergeCell ref="H23:H24"/>
    <mergeCell ref="I23:I24"/>
    <mergeCell ref="L24:Q24"/>
    <mergeCell ref="BN46:BS46"/>
    <mergeCell ref="BT46:BY46"/>
    <mergeCell ref="BZ46:CE46"/>
    <mergeCell ref="D49:D50"/>
    <mergeCell ref="F49:F50"/>
    <mergeCell ref="G49:G50"/>
    <mergeCell ref="H49:H50"/>
    <mergeCell ref="I49:I50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D47:D48"/>
    <mergeCell ref="F47:F48"/>
    <mergeCell ref="G47:G48"/>
    <mergeCell ref="H47:H48"/>
    <mergeCell ref="I47:I48"/>
    <mergeCell ref="L42:Q42"/>
    <mergeCell ref="R42:W42"/>
    <mergeCell ref="X42:AC42"/>
    <mergeCell ref="AD42:AI42"/>
    <mergeCell ref="AJ42:AO42"/>
    <mergeCell ref="AP42:AU42"/>
    <mergeCell ref="AV42:BA42"/>
    <mergeCell ref="BB42:BG42"/>
    <mergeCell ref="BH42:BM42"/>
    <mergeCell ref="BN42:BS42"/>
    <mergeCell ref="BT42:BY42"/>
    <mergeCell ref="BZ42:CE42"/>
    <mergeCell ref="B21:B52"/>
    <mergeCell ref="B5:B1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I7:I8"/>
    <mergeCell ref="G11:G12"/>
    <mergeCell ref="H11:H12"/>
    <mergeCell ref="I11:I12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B2:BW13"/>
  <sheetViews>
    <sheetView topLeftCell="AG1" zoomScale="84" workbookViewId="0">
      <selection activeCell="AT33" sqref="AT33"/>
    </sheetView>
  </sheetViews>
  <sheetFormatPr defaultRowHeight="14.5" x14ac:dyDescent="0.3"/>
  <cols>
    <col min="2" max="2" width="15" bestFit="1" customWidth="1"/>
    <col min="3" max="3" width="10.09765625" bestFit="1" customWidth="1"/>
  </cols>
  <sheetData>
    <row r="2" spans="2:75" ht="15" thickBot="1" x14ac:dyDescent="0.35"/>
    <row r="3" spans="2:75" ht="17" thickBot="1" x14ac:dyDescent="0.5">
      <c r="B3" s="337" t="s">
        <v>35</v>
      </c>
      <c r="C3" s="339"/>
      <c r="D3" s="341" t="s">
        <v>43</v>
      </c>
      <c r="E3" s="342"/>
      <c r="F3" s="342"/>
      <c r="G3" s="342"/>
      <c r="H3" s="342"/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2"/>
      <c r="AC3" s="342"/>
      <c r="AD3" s="342"/>
      <c r="AE3" s="342"/>
      <c r="AF3" s="342"/>
      <c r="AG3" s="342"/>
      <c r="AH3" s="342"/>
      <c r="AI3" s="342"/>
      <c r="AJ3" s="342"/>
      <c r="AK3" s="342"/>
      <c r="AL3" s="342"/>
      <c r="AM3" s="342"/>
      <c r="AN3" s="342"/>
      <c r="AO3" s="342"/>
      <c r="AP3" s="342"/>
      <c r="AQ3" s="342"/>
      <c r="AR3" s="342"/>
      <c r="AS3" s="342"/>
      <c r="AT3" s="342"/>
      <c r="AU3" s="342"/>
      <c r="AV3" s="342"/>
      <c r="AW3" s="342"/>
      <c r="AX3" s="342"/>
      <c r="AY3" s="342"/>
      <c r="AZ3" s="342"/>
      <c r="BA3" s="342"/>
      <c r="BB3" s="342"/>
      <c r="BC3" s="342"/>
      <c r="BD3" s="342"/>
      <c r="BE3" s="342"/>
      <c r="BF3" s="342"/>
      <c r="BG3" s="342"/>
      <c r="BH3" s="342"/>
      <c r="BI3" s="342"/>
      <c r="BJ3" s="342"/>
      <c r="BK3" s="342"/>
      <c r="BL3" s="342"/>
      <c r="BM3" s="342"/>
      <c r="BN3" s="342"/>
      <c r="BO3" s="342"/>
      <c r="BP3" s="342"/>
      <c r="BQ3" s="342"/>
      <c r="BR3" s="342"/>
      <c r="BS3" s="342"/>
      <c r="BT3" s="342"/>
      <c r="BU3" s="342"/>
      <c r="BV3" s="342"/>
      <c r="BW3" s="343"/>
    </row>
    <row r="4" spans="2:75" ht="17" thickBot="1" x14ac:dyDescent="0.5">
      <c r="B4" s="338"/>
      <c r="C4" s="340"/>
      <c r="D4" s="344" t="s">
        <v>42</v>
      </c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6"/>
      <c r="P4" s="344" t="s">
        <v>27</v>
      </c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6"/>
      <c r="AB4" s="341" t="s">
        <v>28</v>
      </c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3"/>
      <c r="AN4" s="341" t="s">
        <v>29</v>
      </c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3"/>
      <c r="AZ4" s="341" t="s">
        <v>30</v>
      </c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3"/>
      <c r="BL4" s="341" t="s">
        <v>34</v>
      </c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11" t="s">
        <v>0</v>
      </c>
      <c r="C5" s="20" t="s">
        <v>50</v>
      </c>
      <c r="D5" s="6" t="s">
        <v>12</v>
      </c>
      <c r="E5" s="7" t="s">
        <v>14</v>
      </c>
      <c r="F5" s="7" t="s">
        <v>15</v>
      </c>
      <c r="G5" s="7" t="s">
        <v>16</v>
      </c>
      <c r="H5" s="7" t="s">
        <v>17</v>
      </c>
      <c r="I5" s="7" t="s">
        <v>18</v>
      </c>
      <c r="J5" s="7" t="s">
        <v>19</v>
      </c>
      <c r="K5" s="7" t="s">
        <v>20</v>
      </c>
      <c r="L5" s="7" t="s">
        <v>5</v>
      </c>
      <c r="M5" s="7" t="s">
        <v>7</v>
      </c>
      <c r="N5" s="7" t="s">
        <v>9</v>
      </c>
      <c r="O5" s="8" t="s">
        <v>11</v>
      </c>
      <c r="P5" s="6" t="s">
        <v>12</v>
      </c>
      <c r="Q5" s="7" t="s">
        <v>14</v>
      </c>
      <c r="R5" s="7" t="s">
        <v>15</v>
      </c>
      <c r="S5" s="7" t="s">
        <v>16</v>
      </c>
      <c r="T5" s="7" t="s">
        <v>17</v>
      </c>
      <c r="U5" s="7" t="s">
        <v>18</v>
      </c>
      <c r="V5" s="7" t="s">
        <v>19</v>
      </c>
      <c r="W5" s="7" t="s">
        <v>20</v>
      </c>
      <c r="X5" s="7" t="s">
        <v>5</v>
      </c>
      <c r="Y5" s="7" t="s">
        <v>7</v>
      </c>
      <c r="Z5" s="7" t="s">
        <v>9</v>
      </c>
      <c r="AA5" s="8" t="s">
        <v>11</v>
      </c>
      <c r="AB5" s="12" t="s">
        <v>13</v>
      </c>
      <c r="AC5" s="7" t="s">
        <v>14</v>
      </c>
      <c r="AD5" s="7" t="s">
        <v>15</v>
      </c>
      <c r="AE5" s="7" t="s">
        <v>16</v>
      </c>
      <c r="AF5" s="7" t="s">
        <v>17</v>
      </c>
      <c r="AG5" s="7" t="s">
        <v>18</v>
      </c>
      <c r="AH5" s="7" t="s">
        <v>19</v>
      </c>
      <c r="AI5" s="7" t="s">
        <v>20</v>
      </c>
      <c r="AJ5" s="7" t="s">
        <v>5</v>
      </c>
      <c r="AK5" s="7" t="s">
        <v>6</v>
      </c>
      <c r="AL5" s="7" t="s">
        <v>8</v>
      </c>
      <c r="AM5" s="8" t="s">
        <v>10</v>
      </c>
      <c r="AN5" s="6" t="s">
        <v>13</v>
      </c>
      <c r="AO5" s="7" t="s">
        <v>14</v>
      </c>
      <c r="AP5" s="7" t="s">
        <v>15</v>
      </c>
      <c r="AQ5" s="7" t="s">
        <v>16</v>
      </c>
      <c r="AR5" s="7" t="s">
        <v>17</v>
      </c>
      <c r="AS5" s="7" t="s">
        <v>18</v>
      </c>
      <c r="AT5" s="7" t="s">
        <v>19</v>
      </c>
      <c r="AU5" s="7" t="s">
        <v>20</v>
      </c>
      <c r="AV5" s="7" t="s">
        <v>5</v>
      </c>
      <c r="AW5" s="7" t="s">
        <v>6</v>
      </c>
      <c r="AX5" s="7" t="s">
        <v>8</v>
      </c>
      <c r="AY5" s="8" t="s">
        <v>10</v>
      </c>
      <c r="AZ5" s="6" t="s">
        <v>13</v>
      </c>
      <c r="BA5" s="7" t="s">
        <v>14</v>
      </c>
      <c r="BB5" s="7" t="s">
        <v>15</v>
      </c>
      <c r="BC5" s="7" t="s">
        <v>16</v>
      </c>
      <c r="BD5" s="7" t="s">
        <v>17</v>
      </c>
      <c r="BE5" s="7" t="s">
        <v>18</v>
      </c>
      <c r="BF5" s="7" t="s">
        <v>19</v>
      </c>
      <c r="BG5" s="7" t="s">
        <v>20</v>
      </c>
      <c r="BH5" s="7" t="s">
        <v>5</v>
      </c>
      <c r="BI5" s="7" t="s">
        <v>6</v>
      </c>
      <c r="BJ5" s="7" t="s">
        <v>8</v>
      </c>
      <c r="BK5" s="8" t="s">
        <v>10</v>
      </c>
      <c r="BL5" s="6" t="s">
        <v>13</v>
      </c>
      <c r="BM5" s="7" t="s">
        <v>14</v>
      </c>
      <c r="BN5" s="7" t="s">
        <v>15</v>
      </c>
      <c r="BO5" s="7" t="s">
        <v>16</v>
      </c>
      <c r="BP5" s="7" t="s">
        <v>17</v>
      </c>
      <c r="BQ5" s="7" t="s">
        <v>18</v>
      </c>
      <c r="BR5" s="7" t="s">
        <v>19</v>
      </c>
      <c r="BS5" s="7" t="s">
        <v>20</v>
      </c>
      <c r="BT5" s="7" t="s">
        <v>5</v>
      </c>
      <c r="BU5" s="7" t="s">
        <v>6</v>
      </c>
      <c r="BV5" s="7" t="s">
        <v>8</v>
      </c>
      <c r="BW5" s="8" t="s">
        <v>10</v>
      </c>
    </row>
    <row r="6" spans="2:75" ht="17" thickBot="1" x14ac:dyDescent="0.5">
      <c r="B6" s="351" t="s">
        <v>3</v>
      </c>
      <c r="C6" s="60" t="s">
        <v>48</v>
      </c>
      <c r="D6" s="354">
        <v>26</v>
      </c>
      <c r="E6" s="355"/>
      <c r="F6" s="355"/>
      <c r="G6" s="355"/>
      <c r="H6" s="355"/>
      <c r="I6" s="355"/>
      <c r="J6" s="355"/>
      <c r="K6" s="355"/>
      <c r="L6" s="355"/>
      <c r="M6" s="355"/>
      <c r="N6" s="355"/>
      <c r="O6" s="355"/>
      <c r="P6" s="355">
        <v>28</v>
      </c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5">
        <v>31</v>
      </c>
      <c r="AC6" s="355"/>
      <c r="AD6" s="355"/>
      <c r="AE6" s="355"/>
      <c r="AF6" s="355"/>
      <c r="AG6" s="355"/>
      <c r="AH6" s="355"/>
      <c r="AI6" s="355"/>
      <c r="AJ6" s="355"/>
      <c r="AK6" s="355"/>
      <c r="AL6" s="355"/>
      <c r="AM6" s="355"/>
      <c r="AN6" s="69"/>
      <c r="AO6" s="67"/>
      <c r="AP6" s="67"/>
      <c r="AQ6" s="247" t="s">
        <v>25</v>
      </c>
      <c r="AR6" s="357"/>
      <c r="AS6" s="249" t="s">
        <v>31</v>
      </c>
      <c r="AT6" s="250"/>
      <c r="AU6" s="361"/>
      <c r="AV6" s="361"/>
      <c r="AW6" s="361"/>
      <c r="AX6" s="361"/>
      <c r="AY6" s="362"/>
      <c r="AZ6" s="360">
        <v>21</v>
      </c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2"/>
      <c r="BL6" s="355">
        <v>24</v>
      </c>
      <c r="BM6" s="355"/>
      <c r="BN6" s="355"/>
      <c r="BO6" s="355"/>
      <c r="BP6" s="355"/>
      <c r="BQ6" s="355"/>
      <c r="BR6" s="355"/>
      <c r="BS6" s="355"/>
      <c r="BT6" s="355"/>
      <c r="BU6" s="355"/>
      <c r="BV6" s="355"/>
      <c r="BW6" s="363"/>
    </row>
    <row r="7" spans="2:75" ht="17" thickBot="1" x14ac:dyDescent="0.5">
      <c r="B7" s="352"/>
      <c r="C7" s="60" t="s">
        <v>47</v>
      </c>
      <c r="D7" s="356">
        <v>14</v>
      </c>
      <c r="E7" s="347"/>
      <c r="F7" s="347"/>
      <c r="G7" s="347"/>
      <c r="H7" s="347"/>
      <c r="I7" s="347"/>
      <c r="J7" s="347">
        <v>12</v>
      </c>
      <c r="K7" s="347"/>
      <c r="L7" s="347"/>
      <c r="M7" s="347"/>
      <c r="N7" s="347"/>
      <c r="O7" s="347"/>
      <c r="P7" s="347">
        <v>15</v>
      </c>
      <c r="Q7" s="347"/>
      <c r="R7" s="347"/>
      <c r="S7" s="347"/>
      <c r="T7" s="347"/>
      <c r="U7" s="347"/>
      <c r="V7" s="347">
        <v>13</v>
      </c>
      <c r="W7" s="347"/>
      <c r="X7" s="347"/>
      <c r="Y7" s="347"/>
      <c r="Z7" s="347"/>
      <c r="AA7" s="347"/>
      <c r="AB7" s="347">
        <v>16</v>
      </c>
      <c r="AC7" s="347"/>
      <c r="AD7" s="347"/>
      <c r="AE7" s="347"/>
      <c r="AF7" s="347"/>
      <c r="AG7" s="347"/>
      <c r="AH7" s="347">
        <v>15</v>
      </c>
      <c r="AI7" s="347"/>
      <c r="AJ7" s="347"/>
      <c r="AK7" s="347"/>
      <c r="AL7" s="347"/>
      <c r="AM7" s="347"/>
      <c r="AN7" s="189"/>
      <c r="AO7" s="190"/>
      <c r="AP7" s="190"/>
      <c r="AQ7" s="309"/>
      <c r="AR7" s="358"/>
      <c r="AS7" s="311"/>
      <c r="AT7" s="312"/>
      <c r="AU7" s="349"/>
      <c r="AV7" s="349"/>
      <c r="AW7" s="349"/>
      <c r="AX7" s="349"/>
      <c r="AY7" s="350"/>
      <c r="AZ7" s="348">
        <v>12</v>
      </c>
      <c r="BA7" s="349"/>
      <c r="BB7" s="349"/>
      <c r="BC7" s="349"/>
      <c r="BD7" s="349"/>
      <c r="BE7" s="350"/>
      <c r="BF7" s="347">
        <v>9</v>
      </c>
      <c r="BG7" s="347"/>
      <c r="BH7" s="347"/>
      <c r="BI7" s="347"/>
      <c r="BJ7" s="347"/>
      <c r="BK7" s="347"/>
      <c r="BL7" s="347">
        <v>17</v>
      </c>
      <c r="BM7" s="347"/>
      <c r="BN7" s="347"/>
      <c r="BO7" s="347"/>
      <c r="BP7" s="347"/>
      <c r="BQ7" s="347"/>
      <c r="BR7" s="347">
        <v>7</v>
      </c>
      <c r="BS7" s="347"/>
      <c r="BT7" s="347"/>
      <c r="BU7" s="347"/>
      <c r="BV7" s="347"/>
      <c r="BW7" s="359"/>
    </row>
    <row r="8" spans="2:75" ht="17" thickBot="1" x14ac:dyDescent="0.5">
      <c r="B8" s="352"/>
      <c r="C8" s="58" t="s">
        <v>49</v>
      </c>
      <c r="D8" s="30">
        <v>5</v>
      </c>
      <c r="E8" s="13">
        <v>1</v>
      </c>
      <c r="F8" s="13">
        <v>4</v>
      </c>
      <c r="G8" s="13">
        <v>2</v>
      </c>
      <c r="H8" s="13">
        <v>2</v>
      </c>
      <c r="I8" s="13">
        <v>1</v>
      </c>
      <c r="J8" s="13">
        <v>1</v>
      </c>
      <c r="K8" s="13">
        <v>2</v>
      </c>
      <c r="L8" s="13">
        <v>3</v>
      </c>
      <c r="M8" s="13">
        <v>1</v>
      </c>
      <c r="N8" s="13">
        <v>3</v>
      </c>
      <c r="O8" s="14">
        <v>2</v>
      </c>
      <c r="P8" s="13">
        <v>7</v>
      </c>
      <c r="Q8" s="13">
        <v>1</v>
      </c>
      <c r="R8" s="13">
        <v>1</v>
      </c>
      <c r="S8" s="13">
        <v>3</v>
      </c>
      <c r="T8" s="13">
        <v>1</v>
      </c>
      <c r="U8" s="13">
        <v>2</v>
      </c>
      <c r="V8" s="13">
        <v>4</v>
      </c>
      <c r="W8" s="13">
        <v>1</v>
      </c>
      <c r="X8" s="13">
        <v>3</v>
      </c>
      <c r="Y8" s="15">
        <v>1</v>
      </c>
      <c r="Z8" s="15">
        <v>1</v>
      </c>
      <c r="AA8" s="16">
        <v>3</v>
      </c>
      <c r="AB8" s="17">
        <v>2</v>
      </c>
      <c r="AC8" s="15">
        <v>2</v>
      </c>
      <c r="AD8" s="15">
        <v>4</v>
      </c>
      <c r="AE8" s="15">
        <v>3</v>
      </c>
      <c r="AF8" s="15">
        <v>2</v>
      </c>
      <c r="AG8" s="15">
        <v>3</v>
      </c>
      <c r="AH8" s="15">
        <v>2</v>
      </c>
      <c r="AI8" s="15">
        <v>1</v>
      </c>
      <c r="AJ8" s="15">
        <v>3</v>
      </c>
      <c r="AK8" s="15">
        <v>3</v>
      </c>
      <c r="AL8" s="15">
        <v>2</v>
      </c>
      <c r="AM8" s="16">
        <v>4</v>
      </c>
      <c r="AN8" s="71">
        <v>5</v>
      </c>
      <c r="AO8" s="72">
        <v>4</v>
      </c>
      <c r="AP8" s="72">
        <v>4</v>
      </c>
      <c r="AQ8" s="309"/>
      <c r="AR8" s="358"/>
      <c r="AS8" s="311"/>
      <c r="AT8" s="312"/>
      <c r="AU8" s="18">
        <v>3</v>
      </c>
      <c r="AV8" s="18">
        <v>4</v>
      </c>
      <c r="AW8" s="18">
        <v>1</v>
      </c>
      <c r="AX8" s="18">
        <v>0</v>
      </c>
      <c r="AY8" s="18">
        <v>3</v>
      </c>
      <c r="AZ8" s="35">
        <v>3</v>
      </c>
      <c r="BA8" s="18">
        <v>0</v>
      </c>
      <c r="BB8" s="18">
        <v>4</v>
      </c>
      <c r="BC8" s="18">
        <v>1</v>
      </c>
      <c r="BD8" s="18">
        <v>0</v>
      </c>
      <c r="BE8" s="18">
        <v>4</v>
      </c>
      <c r="BF8" s="18">
        <v>1</v>
      </c>
      <c r="BG8" s="18">
        <v>1</v>
      </c>
      <c r="BH8" s="18">
        <v>3</v>
      </c>
      <c r="BI8" s="18">
        <v>1</v>
      </c>
      <c r="BJ8" s="18">
        <v>2</v>
      </c>
      <c r="BK8" s="19">
        <v>1</v>
      </c>
      <c r="BL8" s="9">
        <v>3</v>
      </c>
      <c r="BM8" s="9">
        <v>3</v>
      </c>
      <c r="BN8" s="9">
        <v>1</v>
      </c>
      <c r="BO8" s="9">
        <v>3</v>
      </c>
      <c r="BP8" s="9">
        <v>2</v>
      </c>
      <c r="BQ8" s="9">
        <v>5</v>
      </c>
      <c r="BR8" s="9">
        <v>0</v>
      </c>
      <c r="BS8" s="9">
        <v>1</v>
      </c>
      <c r="BT8" s="9">
        <v>3</v>
      </c>
      <c r="BU8" s="10">
        <v>2</v>
      </c>
      <c r="BV8" s="10">
        <v>0</v>
      </c>
      <c r="BW8" s="36">
        <v>1</v>
      </c>
    </row>
    <row r="9" spans="2:75" ht="17" thickBot="1" x14ac:dyDescent="0.5">
      <c r="B9" s="352"/>
      <c r="C9" s="59" t="s">
        <v>44</v>
      </c>
      <c r="D9" s="31">
        <v>1</v>
      </c>
      <c r="E9" s="21"/>
      <c r="F9" s="21">
        <v>1</v>
      </c>
      <c r="G9" s="21"/>
      <c r="H9" s="21"/>
      <c r="I9" s="21"/>
      <c r="J9" s="21"/>
      <c r="K9" s="21"/>
      <c r="L9" s="21">
        <v>1</v>
      </c>
      <c r="M9" s="21"/>
      <c r="N9" s="21"/>
      <c r="O9" s="22"/>
      <c r="P9" s="21">
        <v>1</v>
      </c>
      <c r="Q9" s="21"/>
      <c r="R9" s="21"/>
      <c r="S9" s="21"/>
      <c r="T9" s="21"/>
      <c r="U9" s="21"/>
      <c r="V9" s="21"/>
      <c r="W9" s="21"/>
      <c r="X9" s="21">
        <v>1</v>
      </c>
      <c r="Y9" s="23">
        <v>1</v>
      </c>
      <c r="Z9" s="23">
        <v>1</v>
      </c>
      <c r="AA9" s="24">
        <v>1</v>
      </c>
      <c r="AB9" s="25"/>
      <c r="AC9" s="23"/>
      <c r="AD9" s="23">
        <v>2</v>
      </c>
      <c r="AE9" s="23">
        <v>1</v>
      </c>
      <c r="AF9" s="23"/>
      <c r="AG9" s="23">
        <v>2</v>
      </c>
      <c r="AH9" s="23"/>
      <c r="AI9" s="23">
        <v>1</v>
      </c>
      <c r="AJ9" s="23">
        <v>1</v>
      </c>
      <c r="AK9" s="23"/>
      <c r="AL9" s="23"/>
      <c r="AM9" s="24">
        <v>2</v>
      </c>
      <c r="AN9" s="29">
        <v>1</v>
      </c>
      <c r="AO9" s="21"/>
      <c r="AP9" s="21">
        <v>1</v>
      </c>
      <c r="AQ9" s="309"/>
      <c r="AR9" s="358"/>
      <c r="AS9" s="311"/>
      <c r="AT9" s="312"/>
      <c r="AU9" s="21"/>
      <c r="AV9" s="21">
        <v>1</v>
      </c>
      <c r="AW9" s="21">
        <v>1</v>
      </c>
      <c r="AX9" s="21"/>
      <c r="AY9" s="21"/>
      <c r="AZ9" s="29"/>
      <c r="BA9" s="21"/>
      <c r="BB9" s="21">
        <v>2</v>
      </c>
      <c r="BC9" s="21"/>
      <c r="BD9" s="21"/>
      <c r="BE9" s="21"/>
      <c r="BF9" s="21"/>
      <c r="BG9" s="21"/>
      <c r="BH9" s="21"/>
      <c r="BI9" s="21">
        <v>1</v>
      </c>
      <c r="BJ9" s="21"/>
      <c r="BK9" s="22"/>
      <c r="BL9" s="21"/>
      <c r="BM9" s="21"/>
      <c r="BN9" s="21"/>
      <c r="BO9" s="21">
        <v>1</v>
      </c>
      <c r="BP9" s="21"/>
      <c r="BQ9" s="21"/>
      <c r="BR9" s="21"/>
      <c r="BS9" s="21"/>
      <c r="BT9" s="21"/>
      <c r="BU9" s="23">
        <v>1</v>
      </c>
      <c r="BV9" s="23"/>
      <c r="BW9" s="32">
        <v>1</v>
      </c>
    </row>
    <row r="10" spans="2:75" ht="17" thickBot="1" x14ac:dyDescent="0.5">
      <c r="B10" s="352"/>
      <c r="C10" s="37" t="s">
        <v>45</v>
      </c>
      <c r="D10" s="31">
        <v>4</v>
      </c>
      <c r="E10" s="21">
        <v>1</v>
      </c>
      <c r="F10" s="21">
        <v>3</v>
      </c>
      <c r="G10" s="21">
        <v>2</v>
      </c>
      <c r="H10" s="21">
        <v>2</v>
      </c>
      <c r="I10" s="21">
        <v>1</v>
      </c>
      <c r="J10" s="21">
        <v>1</v>
      </c>
      <c r="K10" s="21">
        <v>1</v>
      </c>
      <c r="L10" s="21">
        <v>2</v>
      </c>
      <c r="M10" s="21">
        <v>1</v>
      </c>
      <c r="N10" s="21">
        <v>2</v>
      </c>
      <c r="O10" s="22">
        <v>2</v>
      </c>
      <c r="P10" s="21">
        <v>5</v>
      </c>
      <c r="Q10" s="21"/>
      <c r="R10" s="21">
        <v>1</v>
      </c>
      <c r="S10" s="21">
        <v>3</v>
      </c>
      <c r="T10" s="21">
        <v>1</v>
      </c>
      <c r="U10" s="21">
        <v>2</v>
      </c>
      <c r="V10" s="21">
        <v>3</v>
      </c>
      <c r="W10" s="21">
        <v>1</v>
      </c>
      <c r="X10" s="21">
        <v>2</v>
      </c>
      <c r="Y10" s="23"/>
      <c r="Z10" s="23"/>
      <c r="AA10" s="24">
        <v>2</v>
      </c>
      <c r="AB10" s="25">
        <v>2</v>
      </c>
      <c r="AC10" s="23">
        <v>2</v>
      </c>
      <c r="AD10" s="23">
        <v>2</v>
      </c>
      <c r="AE10" s="23">
        <v>2</v>
      </c>
      <c r="AF10" s="23">
        <v>2</v>
      </c>
      <c r="AG10" s="23">
        <v>1</v>
      </c>
      <c r="AH10" s="23">
        <v>2</v>
      </c>
      <c r="AI10" s="23"/>
      <c r="AJ10" s="23">
        <v>1</v>
      </c>
      <c r="AK10" s="23">
        <v>2</v>
      </c>
      <c r="AL10" s="23">
        <v>1</v>
      </c>
      <c r="AM10" s="24">
        <v>1</v>
      </c>
      <c r="AN10" s="29">
        <v>4</v>
      </c>
      <c r="AO10" s="21">
        <v>2</v>
      </c>
      <c r="AP10" s="21">
        <v>2</v>
      </c>
      <c r="AQ10" s="309"/>
      <c r="AR10" s="358"/>
      <c r="AS10" s="311"/>
      <c r="AT10" s="312"/>
      <c r="AU10" s="21">
        <v>3</v>
      </c>
      <c r="AV10" s="21">
        <v>2</v>
      </c>
      <c r="AW10" s="21"/>
      <c r="AX10" s="21"/>
      <c r="AY10" s="21">
        <v>2</v>
      </c>
      <c r="AZ10" s="29">
        <v>1</v>
      </c>
      <c r="BA10" s="21"/>
      <c r="BB10" s="21">
        <v>1</v>
      </c>
      <c r="BC10" s="21">
        <v>1</v>
      </c>
      <c r="BD10" s="21"/>
      <c r="BE10" s="21">
        <v>4</v>
      </c>
      <c r="BF10" s="21"/>
      <c r="BG10" s="21"/>
      <c r="BH10" s="21">
        <v>1</v>
      </c>
      <c r="BI10" s="21"/>
      <c r="BJ10" s="21"/>
      <c r="BK10" s="22">
        <v>1</v>
      </c>
      <c r="BL10" s="21">
        <v>2</v>
      </c>
      <c r="BM10" s="21">
        <v>2</v>
      </c>
      <c r="BN10" s="21"/>
      <c r="BO10" s="21">
        <v>2</v>
      </c>
      <c r="BP10" s="21">
        <v>1</v>
      </c>
      <c r="BQ10" s="21">
        <v>3</v>
      </c>
      <c r="BR10" s="21"/>
      <c r="BS10" s="21">
        <v>1</v>
      </c>
      <c r="BT10" s="21">
        <v>2</v>
      </c>
      <c r="BU10" s="23">
        <v>1</v>
      </c>
      <c r="BV10" s="23"/>
      <c r="BW10" s="32"/>
    </row>
    <row r="11" spans="2:75" ht="17" thickBot="1" x14ac:dyDescent="0.35">
      <c r="B11" s="352"/>
      <c r="C11" s="37" t="s">
        <v>46</v>
      </c>
      <c r="D11" s="33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/>
      <c r="P11" s="26"/>
      <c r="Q11" s="26">
        <v>1</v>
      </c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/>
      <c r="AN11" s="28"/>
      <c r="AO11" s="26">
        <v>1</v>
      </c>
      <c r="AP11" s="26"/>
      <c r="AQ11" s="309"/>
      <c r="AR11" s="358"/>
      <c r="AS11" s="311"/>
      <c r="AT11" s="312"/>
      <c r="AU11" s="26"/>
      <c r="AV11" s="26"/>
      <c r="AW11" s="26"/>
      <c r="AX11" s="26"/>
      <c r="AY11" s="26"/>
      <c r="AZ11" s="28">
        <v>1</v>
      </c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34"/>
    </row>
    <row r="12" spans="2:75" ht="17" thickBot="1" x14ac:dyDescent="0.35">
      <c r="B12" s="352"/>
      <c r="C12" s="57" t="s">
        <v>72</v>
      </c>
      <c r="D12" s="62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4"/>
      <c r="P12" s="63">
        <v>1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4"/>
      <c r="AB12" s="63"/>
      <c r="AC12" s="63"/>
      <c r="AD12" s="63"/>
      <c r="AE12" s="63"/>
      <c r="AF12" s="63"/>
      <c r="AG12" s="63"/>
      <c r="AH12" s="63"/>
      <c r="AI12" s="63"/>
      <c r="AJ12" s="63"/>
      <c r="AK12" s="63">
        <v>1</v>
      </c>
      <c r="AL12" s="63"/>
      <c r="AM12" s="64"/>
      <c r="AN12" s="65"/>
      <c r="AO12" s="63">
        <v>1</v>
      </c>
      <c r="AP12" s="63"/>
      <c r="AQ12" s="309"/>
      <c r="AR12" s="358"/>
      <c r="AS12" s="311"/>
      <c r="AT12" s="312"/>
      <c r="AU12" s="63"/>
      <c r="AV12" s="63"/>
      <c r="AW12" s="63"/>
      <c r="AX12" s="63"/>
      <c r="AY12" s="63">
        <v>1</v>
      </c>
      <c r="AZ12" s="65"/>
      <c r="BA12" s="63"/>
      <c r="BB12" s="63"/>
      <c r="BC12" s="63"/>
      <c r="BD12" s="63"/>
      <c r="BE12" s="63"/>
      <c r="BF12" s="63">
        <v>1</v>
      </c>
      <c r="BG12" s="63"/>
      <c r="BH12" s="63">
        <v>1</v>
      </c>
      <c r="BI12" s="63"/>
      <c r="BJ12" s="63"/>
      <c r="BK12" s="64"/>
      <c r="BL12" s="63"/>
      <c r="BM12" s="63"/>
      <c r="BN12" s="63"/>
      <c r="BO12" s="63"/>
      <c r="BP12" s="63"/>
      <c r="BQ12" s="63">
        <v>1</v>
      </c>
      <c r="BR12" s="63"/>
      <c r="BS12" s="63"/>
      <c r="BT12" s="63"/>
      <c r="BU12" s="63"/>
      <c r="BV12" s="63"/>
      <c r="BW12" s="66"/>
    </row>
    <row r="13" spans="2:75" ht="17" thickBot="1" x14ac:dyDescent="0.35">
      <c r="B13" s="353"/>
      <c r="C13" s="37" t="s">
        <v>51</v>
      </c>
      <c r="D13" s="61"/>
      <c r="E13" s="39"/>
      <c r="F13" s="39"/>
      <c r="G13" s="39"/>
      <c r="H13" s="39"/>
      <c r="I13" s="39"/>
      <c r="J13" s="39"/>
      <c r="K13" s="39">
        <v>1</v>
      </c>
      <c r="L13" s="39"/>
      <c r="M13" s="39"/>
      <c r="N13" s="39">
        <v>1</v>
      </c>
      <c r="O13" s="40"/>
      <c r="P13" s="39"/>
      <c r="Q13" s="39"/>
      <c r="R13" s="39"/>
      <c r="S13" s="39"/>
      <c r="T13" s="39"/>
      <c r="U13" s="39"/>
      <c r="V13" s="39">
        <v>1</v>
      </c>
      <c r="W13" s="39"/>
      <c r="X13" s="39"/>
      <c r="Y13" s="39"/>
      <c r="Z13" s="39"/>
      <c r="AA13" s="40"/>
      <c r="AB13" s="39"/>
      <c r="AC13" s="39"/>
      <c r="AD13" s="39"/>
      <c r="AE13" s="39"/>
      <c r="AF13" s="39"/>
      <c r="AG13" s="39"/>
      <c r="AH13" s="39"/>
      <c r="AI13" s="39"/>
      <c r="AJ13" s="39">
        <v>1</v>
      </c>
      <c r="AK13" s="39"/>
      <c r="AL13" s="39">
        <v>1</v>
      </c>
      <c r="AM13" s="40">
        <v>1</v>
      </c>
      <c r="AN13" s="38"/>
      <c r="AO13" s="39"/>
      <c r="AP13" s="39">
        <v>1</v>
      </c>
      <c r="AQ13" s="304"/>
      <c r="AR13" s="291"/>
      <c r="AS13" s="286"/>
      <c r="AT13" s="287"/>
      <c r="AU13" s="39"/>
      <c r="AV13" s="39">
        <v>1</v>
      </c>
      <c r="AW13" s="39"/>
      <c r="AX13" s="39"/>
      <c r="AY13" s="39"/>
      <c r="AZ13" s="38">
        <v>1</v>
      </c>
      <c r="BA13" s="39"/>
      <c r="BB13" s="39">
        <v>1</v>
      </c>
      <c r="BC13" s="39"/>
      <c r="BD13" s="39"/>
      <c r="BE13" s="39"/>
      <c r="BF13" s="39"/>
      <c r="BG13" s="39">
        <v>1</v>
      </c>
      <c r="BH13" s="39">
        <v>1</v>
      </c>
      <c r="BI13" s="39"/>
      <c r="BJ13" s="39">
        <v>2</v>
      </c>
      <c r="BK13" s="40"/>
      <c r="BL13" s="39">
        <v>1</v>
      </c>
      <c r="BM13" s="39">
        <v>1</v>
      </c>
      <c r="BN13" s="39">
        <v>1</v>
      </c>
      <c r="BO13" s="39"/>
      <c r="BP13" s="39">
        <v>1</v>
      </c>
      <c r="BQ13" s="39">
        <v>1</v>
      </c>
      <c r="BR13" s="39"/>
      <c r="BS13" s="39"/>
      <c r="BT13" s="39">
        <v>1</v>
      </c>
      <c r="BU13" s="39"/>
      <c r="BV13" s="39"/>
      <c r="BW13" s="41"/>
    </row>
  </sheetData>
  <mergeCells count="29">
    <mergeCell ref="BF7:BK7"/>
    <mergeCell ref="BL7:BQ7"/>
    <mergeCell ref="BR7:BW7"/>
    <mergeCell ref="AS6:AT13"/>
    <mergeCell ref="AZ6:BK6"/>
    <mergeCell ref="BL6:BW6"/>
    <mergeCell ref="AU7:AY7"/>
    <mergeCell ref="AU6:AY6"/>
    <mergeCell ref="AH7:AM7"/>
    <mergeCell ref="AZ7:BE7"/>
    <mergeCell ref="B6:B13"/>
    <mergeCell ref="D6:O6"/>
    <mergeCell ref="P6:AA6"/>
    <mergeCell ref="AB6:AM6"/>
    <mergeCell ref="D7:I7"/>
    <mergeCell ref="J7:O7"/>
    <mergeCell ref="P7:U7"/>
    <mergeCell ref="V7:AA7"/>
    <mergeCell ref="AB7:AG7"/>
    <mergeCell ref="AQ6:AR13"/>
    <mergeCell ref="B3:B4"/>
    <mergeCell ref="C3:C4"/>
    <mergeCell ref="D3:BW3"/>
    <mergeCell ref="D4:O4"/>
    <mergeCell ref="P4:AA4"/>
    <mergeCell ref="AB4:AM4"/>
    <mergeCell ref="AN4:AY4"/>
    <mergeCell ref="AZ4:BK4"/>
    <mergeCell ref="BL4:BW4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EC31-043A-4F0E-A46C-7E07132A5096}">
  <dimension ref="B2:BW14"/>
  <sheetViews>
    <sheetView topLeftCell="Y1" workbookViewId="0">
      <selection activeCell="AM22" sqref="AM22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4</v>
      </c>
      <c r="C7" s="42" t="s">
        <v>48</v>
      </c>
      <c r="D7" s="354">
        <v>20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33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69"/>
      <c r="AC7" s="67"/>
      <c r="AD7" s="67"/>
      <c r="AE7" s="67"/>
      <c r="AF7" s="67"/>
      <c r="AG7" s="68"/>
      <c r="AH7" s="67"/>
      <c r="AI7" s="67"/>
      <c r="AJ7" s="67"/>
      <c r="AK7" s="68"/>
      <c r="AL7" s="371" t="s">
        <v>66</v>
      </c>
      <c r="AM7" s="372"/>
      <c r="AN7" s="367" t="s">
        <v>31</v>
      </c>
      <c r="AO7" s="368"/>
      <c r="AP7" s="67"/>
      <c r="AQ7" s="67"/>
      <c r="AR7" s="67"/>
      <c r="AS7" s="68"/>
      <c r="AT7" s="360"/>
      <c r="AU7" s="361"/>
      <c r="AV7" s="361"/>
      <c r="AW7" s="361"/>
      <c r="AX7" s="361"/>
      <c r="AY7" s="362"/>
      <c r="AZ7" s="355">
        <v>20</v>
      </c>
      <c r="BA7" s="355"/>
      <c r="BB7" s="355"/>
      <c r="BC7" s="355"/>
      <c r="BD7" s="355"/>
      <c r="BE7" s="355"/>
      <c r="BF7" s="355"/>
      <c r="BG7" s="355"/>
      <c r="BH7" s="355"/>
      <c r="BI7" s="355"/>
      <c r="BJ7" s="355"/>
      <c r="BK7" s="355"/>
      <c r="BL7" s="355">
        <v>41</v>
      </c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63"/>
    </row>
    <row r="8" spans="2:75" ht="17" thickBot="1" x14ac:dyDescent="0.5">
      <c r="B8" s="352"/>
      <c r="C8" s="42" t="s">
        <v>47</v>
      </c>
      <c r="D8" s="356">
        <v>7</v>
      </c>
      <c r="E8" s="347"/>
      <c r="F8" s="347"/>
      <c r="G8" s="347"/>
      <c r="H8" s="347"/>
      <c r="I8" s="347"/>
      <c r="J8" s="347">
        <v>13</v>
      </c>
      <c r="K8" s="347"/>
      <c r="L8" s="347"/>
      <c r="M8" s="347"/>
      <c r="N8" s="347"/>
      <c r="O8" s="347"/>
      <c r="P8" s="347">
        <v>20</v>
      </c>
      <c r="Q8" s="347"/>
      <c r="R8" s="347"/>
      <c r="S8" s="347"/>
      <c r="T8" s="347"/>
      <c r="U8" s="347"/>
      <c r="V8" s="347">
        <v>13</v>
      </c>
      <c r="W8" s="347"/>
      <c r="X8" s="347"/>
      <c r="Y8" s="347"/>
      <c r="Z8" s="347"/>
      <c r="AA8" s="347"/>
      <c r="AB8" s="348">
        <v>24</v>
      </c>
      <c r="AC8" s="349"/>
      <c r="AD8" s="349"/>
      <c r="AE8" s="349"/>
      <c r="AF8" s="349"/>
      <c r="AG8" s="350"/>
      <c r="AH8" s="189"/>
      <c r="AI8" s="190"/>
      <c r="AJ8" s="190"/>
      <c r="AK8" s="91"/>
      <c r="AL8" s="309"/>
      <c r="AM8" s="358"/>
      <c r="AN8" s="311"/>
      <c r="AO8" s="312"/>
      <c r="AP8" s="348"/>
      <c r="AQ8" s="349"/>
      <c r="AR8" s="349"/>
      <c r="AS8" s="350"/>
      <c r="AT8" s="347">
        <v>11</v>
      </c>
      <c r="AU8" s="347"/>
      <c r="AV8" s="347"/>
      <c r="AW8" s="347"/>
      <c r="AX8" s="347"/>
      <c r="AY8" s="347"/>
      <c r="AZ8" s="347">
        <v>10</v>
      </c>
      <c r="BA8" s="347"/>
      <c r="BB8" s="347"/>
      <c r="BC8" s="347"/>
      <c r="BD8" s="347"/>
      <c r="BE8" s="347"/>
      <c r="BF8" s="347">
        <v>10</v>
      </c>
      <c r="BG8" s="347"/>
      <c r="BH8" s="347"/>
      <c r="BI8" s="347"/>
      <c r="BJ8" s="347"/>
      <c r="BK8" s="347"/>
      <c r="BL8" s="347">
        <v>18</v>
      </c>
      <c r="BM8" s="347"/>
      <c r="BN8" s="347"/>
      <c r="BO8" s="347"/>
      <c r="BP8" s="347"/>
      <c r="BQ8" s="347"/>
      <c r="BR8" s="347">
        <v>23</v>
      </c>
      <c r="BS8" s="347"/>
      <c r="BT8" s="347"/>
      <c r="BU8" s="347"/>
      <c r="BV8" s="347"/>
      <c r="BW8" s="359"/>
    </row>
    <row r="9" spans="2:75" ht="17" thickBot="1" x14ac:dyDescent="0.5">
      <c r="B9" s="352"/>
      <c r="C9" s="45" t="s">
        <v>49</v>
      </c>
      <c r="D9" s="30">
        <v>1</v>
      </c>
      <c r="E9" s="13">
        <v>1</v>
      </c>
      <c r="F9" s="13">
        <v>1</v>
      </c>
      <c r="G9" s="13">
        <v>1</v>
      </c>
      <c r="H9" s="13">
        <v>0</v>
      </c>
      <c r="I9" s="13">
        <v>3</v>
      </c>
      <c r="J9" s="13">
        <v>2</v>
      </c>
      <c r="K9" s="13">
        <v>3</v>
      </c>
      <c r="L9" s="13">
        <v>1</v>
      </c>
      <c r="M9" s="13">
        <v>2</v>
      </c>
      <c r="N9" s="13">
        <v>1</v>
      </c>
      <c r="O9" s="14">
        <v>4</v>
      </c>
      <c r="P9" s="13">
        <v>3</v>
      </c>
      <c r="Q9" s="13">
        <v>2</v>
      </c>
      <c r="R9" s="13">
        <v>4</v>
      </c>
      <c r="S9" s="13">
        <v>4</v>
      </c>
      <c r="T9" s="13">
        <v>3</v>
      </c>
      <c r="U9" s="13">
        <v>4</v>
      </c>
      <c r="V9" s="13">
        <v>2</v>
      </c>
      <c r="W9" s="13">
        <v>1</v>
      </c>
      <c r="X9" s="13">
        <v>5</v>
      </c>
      <c r="Y9" s="15">
        <v>2</v>
      </c>
      <c r="Z9" s="15">
        <v>2</v>
      </c>
      <c r="AA9" s="16">
        <v>1</v>
      </c>
      <c r="AB9" s="17">
        <v>7</v>
      </c>
      <c r="AC9" s="15">
        <v>3</v>
      </c>
      <c r="AD9" s="15">
        <v>4</v>
      </c>
      <c r="AE9" s="15">
        <v>5</v>
      </c>
      <c r="AF9" s="15">
        <v>1</v>
      </c>
      <c r="AG9" s="16">
        <v>4</v>
      </c>
      <c r="AH9" s="15">
        <v>3</v>
      </c>
      <c r="AI9" s="15">
        <v>3</v>
      </c>
      <c r="AJ9" s="15">
        <v>2</v>
      </c>
      <c r="AK9" s="16">
        <v>1</v>
      </c>
      <c r="AL9" s="309"/>
      <c r="AM9" s="358"/>
      <c r="AN9" s="311"/>
      <c r="AO9" s="312"/>
      <c r="AP9" s="15">
        <v>1</v>
      </c>
      <c r="AQ9" s="15">
        <v>1</v>
      </c>
      <c r="AR9" s="15">
        <v>2</v>
      </c>
      <c r="AS9" s="16">
        <v>1</v>
      </c>
      <c r="AT9" s="17">
        <v>2</v>
      </c>
      <c r="AU9" s="15">
        <v>2</v>
      </c>
      <c r="AV9" s="15">
        <v>0</v>
      </c>
      <c r="AW9" s="15">
        <v>2</v>
      </c>
      <c r="AX9" s="15">
        <v>3</v>
      </c>
      <c r="AY9" s="16">
        <v>2</v>
      </c>
      <c r="AZ9" s="35">
        <v>2</v>
      </c>
      <c r="BA9" s="18">
        <v>2</v>
      </c>
      <c r="BB9" s="18">
        <v>3</v>
      </c>
      <c r="BC9" s="18">
        <v>1</v>
      </c>
      <c r="BD9" s="18">
        <v>1</v>
      </c>
      <c r="BE9" s="18">
        <v>1</v>
      </c>
      <c r="BF9" s="18">
        <v>0</v>
      </c>
      <c r="BG9" s="18">
        <v>3</v>
      </c>
      <c r="BH9" s="18">
        <v>1</v>
      </c>
      <c r="BI9" s="18">
        <v>1</v>
      </c>
      <c r="BJ9" s="18">
        <v>2</v>
      </c>
      <c r="BK9" s="19">
        <v>3</v>
      </c>
      <c r="BL9" s="9">
        <v>4</v>
      </c>
      <c r="BM9" s="9">
        <v>2</v>
      </c>
      <c r="BN9" s="9">
        <v>0</v>
      </c>
      <c r="BO9" s="9">
        <v>4</v>
      </c>
      <c r="BP9" s="9">
        <v>4</v>
      </c>
      <c r="BQ9" s="9">
        <v>4</v>
      </c>
      <c r="BR9" s="9">
        <v>3</v>
      </c>
      <c r="BS9" s="9">
        <v>5</v>
      </c>
      <c r="BT9" s="9">
        <v>5</v>
      </c>
      <c r="BU9" s="10">
        <v>3</v>
      </c>
      <c r="BV9" s="10">
        <v>4</v>
      </c>
      <c r="BW9" s="36">
        <v>3</v>
      </c>
    </row>
    <row r="10" spans="2:75" ht="17" thickBot="1" x14ac:dyDescent="0.5">
      <c r="B10" s="352"/>
      <c r="C10" s="43" t="s">
        <v>44</v>
      </c>
      <c r="D10" s="21"/>
      <c r="E10" s="21"/>
      <c r="F10" s="21"/>
      <c r="G10" s="21"/>
      <c r="H10" s="21"/>
      <c r="I10" s="21">
        <v>2</v>
      </c>
      <c r="J10" s="21">
        <v>1</v>
      </c>
      <c r="K10" s="21"/>
      <c r="L10" s="21"/>
      <c r="M10" s="21"/>
      <c r="N10" s="21"/>
      <c r="O10" s="22">
        <v>1</v>
      </c>
      <c r="P10" s="21">
        <v>1</v>
      </c>
      <c r="Q10" s="21"/>
      <c r="R10" s="21"/>
      <c r="S10" s="21"/>
      <c r="T10" s="21">
        <v>2</v>
      </c>
      <c r="U10" s="21">
        <v>1</v>
      </c>
      <c r="V10" s="21"/>
      <c r="W10" s="21">
        <v>1</v>
      </c>
      <c r="X10" s="21">
        <v>1</v>
      </c>
      <c r="Y10" s="23">
        <v>1</v>
      </c>
      <c r="Z10" s="23">
        <v>1</v>
      </c>
      <c r="AA10" s="24">
        <v>1</v>
      </c>
      <c r="AB10" s="25">
        <v>1</v>
      </c>
      <c r="AC10" s="23"/>
      <c r="AD10" s="23">
        <v>2</v>
      </c>
      <c r="AE10" s="23">
        <v>2</v>
      </c>
      <c r="AF10" s="23"/>
      <c r="AG10" s="24">
        <v>2</v>
      </c>
      <c r="AH10" s="23">
        <v>1</v>
      </c>
      <c r="AI10" s="23"/>
      <c r="AJ10" s="23"/>
      <c r="AK10" s="24"/>
      <c r="AL10" s="309"/>
      <c r="AM10" s="358"/>
      <c r="AN10" s="311"/>
      <c r="AO10" s="312"/>
      <c r="AP10" s="23">
        <v>1</v>
      </c>
      <c r="AQ10" s="23"/>
      <c r="AR10" s="23">
        <v>1</v>
      </c>
      <c r="AS10" s="24"/>
      <c r="AT10" s="25"/>
      <c r="AU10" s="23"/>
      <c r="AV10" s="23"/>
      <c r="AW10" s="23">
        <v>1</v>
      </c>
      <c r="AX10" s="23"/>
      <c r="AY10" s="24"/>
      <c r="AZ10" s="29"/>
      <c r="BA10" s="21"/>
      <c r="BB10" s="21">
        <v>1</v>
      </c>
      <c r="BC10" s="21"/>
      <c r="BD10" s="21"/>
      <c r="BE10" s="21"/>
      <c r="BF10" s="21"/>
      <c r="BG10" s="21"/>
      <c r="BH10" s="21">
        <v>1</v>
      </c>
      <c r="BI10" s="21">
        <v>1</v>
      </c>
      <c r="BJ10" s="21"/>
      <c r="BK10" s="22"/>
      <c r="BL10" s="21"/>
      <c r="BM10" s="21"/>
      <c r="BN10" s="21"/>
      <c r="BO10" s="21"/>
      <c r="BP10" s="21">
        <v>1</v>
      </c>
      <c r="BQ10" s="21"/>
      <c r="BR10" s="21">
        <v>2</v>
      </c>
      <c r="BS10" s="21">
        <v>2</v>
      </c>
      <c r="BT10" s="21">
        <v>2</v>
      </c>
      <c r="BU10" s="23"/>
      <c r="BV10" s="23">
        <v>1</v>
      </c>
      <c r="BW10" s="32"/>
    </row>
    <row r="11" spans="2:75" ht="17" thickBot="1" x14ac:dyDescent="0.5">
      <c r="B11" s="352"/>
      <c r="C11" s="37" t="s">
        <v>45</v>
      </c>
      <c r="D11" s="21">
        <v>1</v>
      </c>
      <c r="E11" s="21">
        <v>1</v>
      </c>
      <c r="F11" s="21">
        <v>1</v>
      </c>
      <c r="G11" s="21">
        <v>1</v>
      </c>
      <c r="H11" s="21"/>
      <c r="I11" s="21">
        <v>1</v>
      </c>
      <c r="J11" s="21">
        <v>1</v>
      </c>
      <c r="K11" s="21">
        <v>3</v>
      </c>
      <c r="L11" s="21">
        <v>1</v>
      </c>
      <c r="M11" s="21">
        <v>2</v>
      </c>
      <c r="N11" s="21"/>
      <c r="O11" s="22">
        <v>2</v>
      </c>
      <c r="P11" s="21">
        <v>2</v>
      </c>
      <c r="Q11" s="21">
        <v>2</v>
      </c>
      <c r="R11" s="21">
        <v>4</v>
      </c>
      <c r="S11" s="21">
        <v>2</v>
      </c>
      <c r="T11" s="21">
        <v>1</v>
      </c>
      <c r="U11" s="21">
        <v>3</v>
      </c>
      <c r="V11" s="21">
        <v>2</v>
      </c>
      <c r="W11" s="21"/>
      <c r="X11" s="21">
        <v>3</v>
      </c>
      <c r="Y11" s="23">
        <v>1</v>
      </c>
      <c r="Z11" s="23">
        <v>1</v>
      </c>
      <c r="AA11" s="24"/>
      <c r="AB11" s="25">
        <v>6</v>
      </c>
      <c r="AC11" s="23">
        <v>3</v>
      </c>
      <c r="AD11" s="23">
        <v>2</v>
      </c>
      <c r="AE11" s="23">
        <v>3</v>
      </c>
      <c r="AF11" s="23"/>
      <c r="AG11" s="24">
        <v>2</v>
      </c>
      <c r="AH11" s="23">
        <v>1</v>
      </c>
      <c r="AI11" s="23">
        <v>2</v>
      </c>
      <c r="AJ11" s="23">
        <v>1</v>
      </c>
      <c r="AK11" s="24">
        <v>1</v>
      </c>
      <c r="AL11" s="309"/>
      <c r="AM11" s="358"/>
      <c r="AN11" s="311"/>
      <c r="AO11" s="312"/>
      <c r="AP11" s="23"/>
      <c r="AQ11" s="23">
        <v>1</v>
      </c>
      <c r="AR11" s="23">
        <v>1</v>
      </c>
      <c r="AS11" s="24">
        <v>1</v>
      </c>
      <c r="AT11" s="25">
        <v>2</v>
      </c>
      <c r="AU11" s="23">
        <v>2</v>
      </c>
      <c r="AV11" s="23"/>
      <c r="AW11" s="23">
        <v>1</v>
      </c>
      <c r="AX11" s="23">
        <v>3</v>
      </c>
      <c r="AY11" s="24">
        <v>2</v>
      </c>
      <c r="AZ11" s="29">
        <v>1</v>
      </c>
      <c r="BA11" s="21">
        <v>2</v>
      </c>
      <c r="BB11" s="21">
        <v>2</v>
      </c>
      <c r="BC11" s="21">
        <v>1</v>
      </c>
      <c r="BD11" s="21">
        <v>1</v>
      </c>
      <c r="BE11" s="21">
        <v>1</v>
      </c>
      <c r="BF11" s="21"/>
      <c r="BG11" s="21">
        <v>3</v>
      </c>
      <c r="BH11" s="21"/>
      <c r="BI11" s="21"/>
      <c r="BJ11" s="21">
        <v>1</v>
      </c>
      <c r="BK11" s="22">
        <v>3</v>
      </c>
      <c r="BL11" s="21">
        <v>4</v>
      </c>
      <c r="BM11" s="21">
        <v>1</v>
      </c>
      <c r="BN11" s="21"/>
      <c r="BO11" s="21">
        <v>4</v>
      </c>
      <c r="BP11" s="21">
        <v>2</v>
      </c>
      <c r="BQ11" s="21">
        <v>2</v>
      </c>
      <c r="BR11" s="21"/>
      <c r="BS11" s="21">
        <v>3</v>
      </c>
      <c r="BT11" s="21">
        <v>3</v>
      </c>
      <c r="BU11" s="23">
        <v>2</v>
      </c>
      <c r="BV11" s="23">
        <v>3</v>
      </c>
      <c r="BW11" s="32">
        <v>3</v>
      </c>
    </row>
    <row r="12" spans="2:75" ht="17" thickBot="1" x14ac:dyDescent="0.35">
      <c r="B12" s="352"/>
      <c r="C12" s="44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>
        <v>1</v>
      </c>
      <c r="T12" s="26"/>
      <c r="U12" s="26"/>
      <c r="V12" s="26"/>
      <c r="W12" s="26"/>
      <c r="X12" s="26">
        <v>1</v>
      </c>
      <c r="Y12" s="26"/>
      <c r="Z12" s="26"/>
      <c r="AA12" s="27"/>
      <c r="AB12" s="28"/>
      <c r="AC12" s="26"/>
      <c r="AD12" s="26"/>
      <c r="AE12" s="26"/>
      <c r="AF12" s="26"/>
      <c r="AG12" s="27"/>
      <c r="AH12" s="26"/>
      <c r="AI12" s="26"/>
      <c r="AJ12" s="26">
        <v>1</v>
      </c>
      <c r="AK12" s="27"/>
      <c r="AL12" s="309"/>
      <c r="AM12" s="358"/>
      <c r="AN12" s="311"/>
      <c r="AO12" s="312"/>
      <c r="AP12" s="26"/>
      <c r="AQ12" s="26"/>
      <c r="AR12" s="26"/>
      <c r="AS12" s="27"/>
      <c r="AT12" s="28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>
        <v>1</v>
      </c>
      <c r="O13" s="27">
        <v>1</v>
      </c>
      <c r="P13" s="26"/>
      <c r="Q13" s="26"/>
      <c r="R13" s="26"/>
      <c r="S13" s="26">
        <v>1</v>
      </c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7"/>
      <c r="AH13" s="26">
        <v>1</v>
      </c>
      <c r="AI13" s="26"/>
      <c r="AJ13" s="26"/>
      <c r="AK13" s="27"/>
      <c r="AL13" s="309"/>
      <c r="AM13" s="358"/>
      <c r="AN13" s="311"/>
      <c r="AO13" s="312"/>
      <c r="AP13" s="26"/>
      <c r="AQ13" s="26"/>
      <c r="AR13" s="26"/>
      <c r="AS13" s="27"/>
      <c r="AT13" s="28"/>
      <c r="AU13" s="26"/>
      <c r="AV13" s="26"/>
      <c r="AW13" s="26"/>
      <c r="AX13" s="26"/>
      <c r="AY13" s="27"/>
      <c r="AZ13" s="28">
        <v>1</v>
      </c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>
        <v>1</v>
      </c>
      <c r="BN13" s="26"/>
      <c r="BO13" s="26"/>
      <c r="BP13" s="26">
        <v>1</v>
      </c>
      <c r="BQ13" s="26"/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>
        <v>1</v>
      </c>
      <c r="AG14" s="27"/>
      <c r="AH14" s="26"/>
      <c r="AI14" s="26">
        <v>1</v>
      </c>
      <c r="AJ14" s="26"/>
      <c r="AK14" s="27"/>
      <c r="AL14" s="373"/>
      <c r="AM14" s="374"/>
      <c r="AN14" s="369"/>
      <c r="AO14" s="370"/>
      <c r="AP14" s="26"/>
      <c r="AQ14" s="26"/>
      <c r="AR14" s="26"/>
      <c r="AS14" s="27"/>
      <c r="AT14" s="28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6"/>
      <c r="BG14" s="26"/>
      <c r="BH14" s="26"/>
      <c r="BI14" s="26"/>
      <c r="BJ14" s="26">
        <v>1</v>
      </c>
      <c r="BK14" s="27"/>
      <c r="BL14" s="26"/>
      <c r="BM14" s="26"/>
      <c r="BN14" s="26"/>
      <c r="BO14" s="26"/>
      <c r="BP14" s="26"/>
      <c r="BQ14" s="26">
        <v>2</v>
      </c>
      <c r="BR14" s="26">
        <v>1</v>
      </c>
      <c r="BS14" s="26"/>
      <c r="BT14" s="26"/>
      <c r="BU14" s="26">
        <v>1</v>
      </c>
      <c r="BV14" s="26"/>
      <c r="BW14" s="34"/>
    </row>
  </sheetData>
  <mergeCells count="28">
    <mergeCell ref="AL7:AM14"/>
    <mergeCell ref="BR8:BW8"/>
    <mergeCell ref="AP8:AS8"/>
    <mergeCell ref="AN7:AO14"/>
    <mergeCell ref="AT7:AY7"/>
    <mergeCell ref="AZ7:BK7"/>
    <mergeCell ref="D4:BW4"/>
    <mergeCell ref="D5:O5"/>
    <mergeCell ref="P5:AA5"/>
    <mergeCell ref="AB5:AM5"/>
    <mergeCell ref="AN5:AY5"/>
    <mergeCell ref="AZ5:BK5"/>
    <mergeCell ref="B4:C5"/>
    <mergeCell ref="B2:G2"/>
    <mergeCell ref="AZ8:BE8"/>
    <mergeCell ref="BF8:BK8"/>
    <mergeCell ref="BL8:BQ8"/>
    <mergeCell ref="D8:I8"/>
    <mergeCell ref="J8:O8"/>
    <mergeCell ref="P8:U8"/>
    <mergeCell ref="V8:AA8"/>
    <mergeCell ref="AB8:AG8"/>
    <mergeCell ref="AT8:AY8"/>
    <mergeCell ref="BL5:BW5"/>
    <mergeCell ref="B7:B14"/>
    <mergeCell ref="D7:O7"/>
    <mergeCell ref="P7:AA7"/>
    <mergeCell ref="BL7:BW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68F28-5CA8-4FEF-9DAC-D43A3314202D}">
  <dimension ref="B2:BW14"/>
  <sheetViews>
    <sheetView topLeftCell="AT1" workbookViewId="0">
      <selection activeCell="P35" sqref="P3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36</v>
      </c>
      <c r="C7" s="60" t="s">
        <v>48</v>
      </c>
      <c r="D7" s="354">
        <v>14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23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15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24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>
        <v>12</v>
      </c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76" t="s">
        <v>66</v>
      </c>
      <c r="BM7" s="249" t="s">
        <v>31</v>
      </c>
      <c r="BN7" s="250"/>
      <c r="BO7" s="360"/>
      <c r="BP7" s="361"/>
      <c r="BQ7" s="362"/>
      <c r="BR7" s="360"/>
      <c r="BS7" s="361"/>
      <c r="BT7" s="361"/>
      <c r="BU7" s="361"/>
      <c r="BV7" s="361"/>
      <c r="BW7" s="375"/>
    </row>
    <row r="8" spans="2:75" ht="17" thickBot="1" x14ac:dyDescent="0.5">
      <c r="B8" s="352"/>
      <c r="C8" s="60" t="s">
        <v>47</v>
      </c>
      <c r="D8" s="356">
        <v>3</v>
      </c>
      <c r="E8" s="347"/>
      <c r="F8" s="347"/>
      <c r="G8" s="347"/>
      <c r="H8" s="347"/>
      <c r="I8" s="347"/>
      <c r="J8" s="347">
        <v>11</v>
      </c>
      <c r="K8" s="347"/>
      <c r="L8" s="347"/>
      <c r="M8" s="347"/>
      <c r="N8" s="347"/>
      <c r="O8" s="347"/>
      <c r="P8" s="347">
        <v>10</v>
      </c>
      <c r="Q8" s="347"/>
      <c r="R8" s="347"/>
      <c r="S8" s="347"/>
      <c r="T8" s="347"/>
      <c r="U8" s="347"/>
      <c r="V8" s="347">
        <v>13</v>
      </c>
      <c r="W8" s="347"/>
      <c r="X8" s="347"/>
      <c r="Y8" s="347"/>
      <c r="Z8" s="347"/>
      <c r="AA8" s="347"/>
      <c r="AB8" s="347">
        <v>6</v>
      </c>
      <c r="AC8" s="347"/>
      <c r="AD8" s="347"/>
      <c r="AE8" s="347"/>
      <c r="AF8" s="347"/>
      <c r="AG8" s="347"/>
      <c r="AH8" s="347">
        <v>9</v>
      </c>
      <c r="AI8" s="347"/>
      <c r="AJ8" s="347"/>
      <c r="AK8" s="347"/>
      <c r="AL8" s="347"/>
      <c r="AM8" s="347"/>
      <c r="AN8" s="347">
        <v>11</v>
      </c>
      <c r="AO8" s="347"/>
      <c r="AP8" s="347"/>
      <c r="AQ8" s="347"/>
      <c r="AR8" s="347"/>
      <c r="AS8" s="347"/>
      <c r="AT8" s="347">
        <v>13</v>
      </c>
      <c r="AU8" s="347"/>
      <c r="AV8" s="347"/>
      <c r="AW8" s="347"/>
      <c r="AX8" s="347"/>
      <c r="AY8" s="347"/>
      <c r="AZ8" s="347">
        <v>7</v>
      </c>
      <c r="BA8" s="347"/>
      <c r="BB8" s="347"/>
      <c r="BC8" s="347"/>
      <c r="BD8" s="347"/>
      <c r="BE8" s="347"/>
      <c r="BF8" s="347">
        <v>5</v>
      </c>
      <c r="BG8" s="347"/>
      <c r="BH8" s="347"/>
      <c r="BI8" s="347"/>
      <c r="BJ8" s="347"/>
      <c r="BK8" s="347"/>
      <c r="BL8" s="377"/>
      <c r="BM8" s="311"/>
      <c r="BN8" s="312"/>
      <c r="BO8" s="348"/>
      <c r="BP8" s="349"/>
      <c r="BQ8" s="350"/>
      <c r="BR8" s="347">
        <v>5</v>
      </c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0</v>
      </c>
      <c r="E9" s="13">
        <v>1</v>
      </c>
      <c r="F9" s="13">
        <v>1</v>
      </c>
      <c r="G9" s="13">
        <v>0</v>
      </c>
      <c r="H9" s="13">
        <v>1</v>
      </c>
      <c r="I9" s="13">
        <v>0</v>
      </c>
      <c r="J9" s="13">
        <v>2</v>
      </c>
      <c r="K9" s="13">
        <v>1</v>
      </c>
      <c r="L9" s="13">
        <v>0</v>
      </c>
      <c r="M9" s="13">
        <v>3</v>
      </c>
      <c r="N9" s="13">
        <v>4</v>
      </c>
      <c r="O9" s="14">
        <v>1</v>
      </c>
      <c r="P9" s="13">
        <v>2</v>
      </c>
      <c r="Q9" s="13">
        <v>1</v>
      </c>
      <c r="R9" s="13">
        <v>0</v>
      </c>
      <c r="S9" s="13">
        <v>3</v>
      </c>
      <c r="T9" s="13">
        <v>1</v>
      </c>
      <c r="U9" s="13">
        <v>3</v>
      </c>
      <c r="V9" s="13">
        <v>0</v>
      </c>
      <c r="W9" s="13">
        <v>1</v>
      </c>
      <c r="X9" s="13">
        <v>2</v>
      </c>
      <c r="Y9" s="15">
        <v>4</v>
      </c>
      <c r="Z9" s="15">
        <v>0</v>
      </c>
      <c r="AA9" s="16">
        <v>6</v>
      </c>
      <c r="AB9" s="17">
        <v>2</v>
      </c>
      <c r="AC9" s="15">
        <v>1</v>
      </c>
      <c r="AD9" s="15">
        <v>0</v>
      </c>
      <c r="AE9" s="15">
        <v>1</v>
      </c>
      <c r="AF9" s="15">
        <v>2</v>
      </c>
      <c r="AG9" s="16">
        <v>0</v>
      </c>
      <c r="AH9" s="17">
        <v>3</v>
      </c>
      <c r="AI9" s="15">
        <v>4</v>
      </c>
      <c r="AJ9" s="15">
        <v>0</v>
      </c>
      <c r="AK9" s="15">
        <v>1</v>
      </c>
      <c r="AL9" s="15">
        <v>0</v>
      </c>
      <c r="AM9" s="16">
        <v>1</v>
      </c>
      <c r="AN9" s="17">
        <v>2</v>
      </c>
      <c r="AO9" s="15">
        <v>3</v>
      </c>
      <c r="AP9" s="15">
        <v>0</v>
      </c>
      <c r="AQ9" s="15">
        <v>2</v>
      </c>
      <c r="AR9" s="15">
        <v>1</v>
      </c>
      <c r="AS9" s="16">
        <v>3</v>
      </c>
      <c r="AT9" s="17">
        <v>2</v>
      </c>
      <c r="AU9" s="15">
        <v>3</v>
      </c>
      <c r="AV9" s="15">
        <v>1</v>
      </c>
      <c r="AW9" s="15">
        <v>4</v>
      </c>
      <c r="AX9" s="15">
        <v>1</v>
      </c>
      <c r="AY9" s="16">
        <v>2</v>
      </c>
      <c r="AZ9" s="35">
        <v>2</v>
      </c>
      <c r="BA9" s="18">
        <v>0</v>
      </c>
      <c r="BB9" s="18">
        <v>3</v>
      </c>
      <c r="BC9" s="18">
        <v>2</v>
      </c>
      <c r="BD9" s="18">
        <v>0</v>
      </c>
      <c r="BE9" s="19">
        <v>0</v>
      </c>
      <c r="BF9" s="18">
        <v>1</v>
      </c>
      <c r="BG9" s="18">
        <v>0</v>
      </c>
      <c r="BH9" s="18">
        <v>1</v>
      </c>
      <c r="BI9" s="18">
        <v>0</v>
      </c>
      <c r="BJ9" s="18">
        <v>2</v>
      </c>
      <c r="BK9" s="18">
        <v>1</v>
      </c>
      <c r="BL9" s="377"/>
      <c r="BM9" s="311"/>
      <c r="BN9" s="312"/>
      <c r="BO9" s="9">
        <v>0</v>
      </c>
      <c r="BP9" s="9">
        <v>0</v>
      </c>
      <c r="BQ9" s="19">
        <v>0</v>
      </c>
      <c r="BR9" s="9">
        <v>0</v>
      </c>
      <c r="BS9" s="9">
        <v>3</v>
      </c>
      <c r="BT9" s="9">
        <v>1</v>
      </c>
      <c r="BU9" s="10">
        <v>0</v>
      </c>
      <c r="BV9" s="10">
        <v>1</v>
      </c>
      <c r="BW9" s="36">
        <v>0</v>
      </c>
    </row>
    <row r="10" spans="2:75" ht="17" thickBot="1" x14ac:dyDescent="0.5">
      <c r="B10" s="352"/>
      <c r="C10" s="59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>
        <v>1</v>
      </c>
      <c r="N10" s="21"/>
      <c r="O10" s="22">
        <v>1</v>
      </c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>
        <v>1</v>
      </c>
      <c r="AV10" s="23"/>
      <c r="AW10" s="23"/>
      <c r="AX10" s="23">
        <v>1</v>
      </c>
      <c r="AY10" s="24"/>
      <c r="AZ10" s="29"/>
      <c r="BA10" s="21"/>
      <c r="BB10" s="21"/>
      <c r="BC10" s="21"/>
      <c r="BD10" s="21"/>
      <c r="BE10" s="22"/>
      <c r="BF10" s="21"/>
      <c r="BG10" s="21"/>
      <c r="BH10" s="21"/>
      <c r="BI10" s="21"/>
      <c r="BJ10" s="21"/>
      <c r="BK10" s="21"/>
      <c r="BL10" s="377"/>
      <c r="BM10" s="311"/>
      <c r="BN10" s="312"/>
      <c r="BO10" s="21"/>
      <c r="BP10" s="21"/>
      <c r="BQ10" s="22"/>
      <c r="BR10" s="21"/>
      <c r="BS10" s="21">
        <v>3</v>
      </c>
      <c r="BT10" s="21">
        <v>1</v>
      </c>
      <c r="BU10" s="23"/>
      <c r="BV10" s="23"/>
      <c r="BW10" s="32"/>
    </row>
    <row r="11" spans="2:75" ht="17" thickBot="1" x14ac:dyDescent="0.5">
      <c r="B11" s="352"/>
      <c r="C11" s="37" t="s">
        <v>45</v>
      </c>
      <c r="D11" s="21"/>
      <c r="E11" s="21">
        <v>1</v>
      </c>
      <c r="F11" s="21">
        <v>1</v>
      </c>
      <c r="G11" s="21"/>
      <c r="H11" s="21">
        <v>1</v>
      </c>
      <c r="I11" s="21"/>
      <c r="J11" s="21">
        <v>2</v>
      </c>
      <c r="K11" s="21">
        <v>1</v>
      </c>
      <c r="L11" s="21"/>
      <c r="M11" s="21">
        <v>1</v>
      </c>
      <c r="N11" s="21">
        <v>4</v>
      </c>
      <c r="O11" s="22"/>
      <c r="P11" s="21">
        <v>2</v>
      </c>
      <c r="Q11" s="21"/>
      <c r="R11" s="21"/>
      <c r="S11" s="21">
        <v>2</v>
      </c>
      <c r="T11" s="21">
        <v>1</v>
      </c>
      <c r="U11" s="21">
        <v>2</v>
      </c>
      <c r="V11" s="21"/>
      <c r="W11" s="21">
        <v>1</v>
      </c>
      <c r="X11" s="21">
        <v>2</v>
      </c>
      <c r="Y11" s="23">
        <v>3</v>
      </c>
      <c r="Z11" s="23"/>
      <c r="AA11" s="24">
        <v>4</v>
      </c>
      <c r="AB11" s="25">
        <v>1</v>
      </c>
      <c r="AC11" s="23">
        <v>1</v>
      </c>
      <c r="AD11" s="23"/>
      <c r="AE11" s="23">
        <v>1</v>
      </c>
      <c r="AF11" s="23">
        <v>2</v>
      </c>
      <c r="AG11" s="23"/>
      <c r="AH11" s="23">
        <v>3</v>
      </c>
      <c r="AI11" s="23">
        <v>2</v>
      </c>
      <c r="AJ11" s="23"/>
      <c r="AK11" s="23">
        <v>1</v>
      </c>
      <c r="AL11" s="23"/>
      <c r="AM11" s="24">
        <v>1</v>
      </c>
      <c r="AN11" s="25"/>
      <c r="AO11" s="23">
        <v>3</v>
      </c>
      <c r="AP11" s="23"/>
      <c r="AQ11" s="23">
        <v>2</v>
      </c>
      <c r="AR11" s="23">
        <v>1</v>
      </c>
      <c r="AS11" s="23">
        <v>3</v>
      </c>
      <c r="AT11" s="23">
        <v>2</v>
      </c>
      <c r="AU11" s="23">
        <v>2</v>
      </c>
      <c r="AV11" s="23">
        <v>1</v>
      </c>
      <c r="AW11" s="23">
        <v>3</v>
      </c>
      <c r="AX11" s="23"/>
      <c r="AY11" s="24">
        <v>2</v>
      </c>
      <c r="AZ11" s="29">
        <v>2</v>
      </c>
      <c r="BA11" s="21"/>
      <c r="BB11" s="21">
        <v>3</v>
      </c>
      <c r="BC11" s="21">
        <v>2</v>
      </c>
      <c r="BD11" s="21"/>
      <c r="BE11" s="22"/>
      <c r="BF11" s="21">
        <v>1</v>
      </c>
      <c r="BG11" s="21"/>
      <c r="BH11" s="21">
        <v>1</v>
      </c>
      <c r="BI11" s="21"/>
      <c r="BJ11" s="21">
        <v>2</v>
      </c>
      <c r="BK11" s="21">
        <v>1</v>
      </c>
      <c r="BL11" s="377"/>
      <c r="BM11" s="311"/>
      <c r="BN11" s="312"/>
      <c r="BO11" s="21"/>
      <c r="BP11" s="21"/>
      <c r="BQ11" s="22"/>
      <c r="BR11" s="21"/>
      <c r="BS11" s="21"/>
      <c r="BT11" s="21"/>
      <c r="BU11" s="23"/>
      <c r="BV11" s="23"/>
      <c r="BW11" s="32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>
        <v>1</v>
      </c>
      <c r="T12" s="26"/>
      <c r="U12" s="26"/>
      <c r="V12" s="26"/>
      <c r="W12" s="26"/>
      <c r="X12" s="26"/>
      <c r="Y12" s="26">
        <v>1</v>
      </c>
      <c r="Z12" s="26"/>
      <c r="AA12" s="27">
        <v>1</v>
      </c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7"/>
      <c r="BF12" s="26"/>
      <c r="BG12" s="26"/>
      <c r="BH12" s="26"/>
      <c r="BI12" s="26"/>
      <c r="BJ12" s="26"/>
      <c r="BK12" s="26"/>
      <c r="BL12" s="377"/>
      <c r="BM12" s="311"/>
      <c r="BN12" s="312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>
        <v>1</v>
      </c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>
        <v>1</v>
      </c>
      <c r="AJ13" s="26"/>
      <c r="AK13" s="26"/>
      <c r="AL13" s="26"/>
      <c r="AM13" s="27"/>
      <c r="AN13" s="28">
        <v>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7"/>
      <c r="BF13" s="26"/>
      <c r="BG13" s="26"/>
      <c r="BH13" s="26"/>
      <c r="BI13" s="26"/>
      <c r="BJ13" s="26"/>
      <c r="BK13" s="26"/>
      <c r="BL13" s="377"/>
      <c r="BM13" s="311"/>
      <c r="BN13" s="312"/>
      <c r="BO13" s="26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>
        <v>1</v>
      </c>
      <c r="R14" s="26"/>
      <c r="S14" s="26"/>
      <c r="T14" s="26"/>
      <c r="U14" s="26">
        <v>1</v>
      </c>
      <c r="V14" s="26"/>
      <c r="W14" s="26"/>
      <c r="X14" s="26"/>
      <c r="Y14" s="26"/>
      <c r="Z14" s="26"/>
      <c r="AA14" s="27">
        <v>1</v>
      </c>
      <c r="AB14" s="28">
        <v>1</v>
      </c>
      <c r="AC14" s="26"/>
      <c r="AD14" s="26"/>
      <c r="AE14" s="26"/>
      <c r="AF14" s="26"/>
      <c r="AG14" s="26"/>
      <c r="AH14" s="26"/>
      <c r="AI14" s="26">
        <v>1</v>
      </c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>
        <v>1</v>
      </c>
      <c r="AX14" s="26"/>
      <c r="AY14" s="27"/>
      <c r="AZ14" s="28"/>
      <c r="BA14" s="26"/>
      <c r="BB14" s="26"/>
      <c r="BC14" s="26"/>
      <c r="BD14" s="26"/>
      <c r="BE14" s="27"/>
      <c r="BF14" s="26"/>
      <c r="BG14" s="26"/>
      <c r="BH14" s="26"/>
      <c r="BI14" s="26"/>
      <c r="BJ14" s="26"/>
      <c r="BK14" s="26"/>
      <c r="BL14" s="377"/>
      <c r="BM14" s="286"/>
      <c r="BN14" s="287"/>
      <c r="BO14" s="26"/>
      <c r="BP14" s="26"/>
      <c r="BQ14" s="27"/>
      <c r="BR14" s="26"/>
      <c r="BS14" s="26"/>
      <c r="BT14" s="26"/>
      <c r="BU14" s="26"/>
      <c r="BV14" s="26">
        <v>1</v>
      </c>
      <c r="BW14" s="34"/>
    </row>
  </sheetData>
  <mergeCells count="31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N8:AS8"/>
    <mergeCell ref="AH8:AM8"/>
    <mergeCell ref="D8:I8"/>
    <mergeCell ref="J8:O8"/>
    <mergeCell ref="P8:U8"/>
    <mergeCell ref="V8:AA8"/>
    <mergeCell ref="AB8:AG8"/>
    <mergeCell ref="AN7:AY7"/>
    <mergeCell ref="AB7:AM7"/>
    <mergeCell ref="AT8:AY8"/>
    <mergeCell ref="BR7:BW7"/>
    <mergeCell ref="BR8:BW8"/>
    <mergeCell ref="BM7:BN14"/>
    <mergeCell ref="AZ8:BE8"/>
    <mergeCell ref="BO8:BQ8"/>
    <mergeCell ref="BO7:BQ7"/>
    <mergeCell ref="BL7:BL14"/>
    <mergeCell ref="BF8:BK8"/>
    <mergeCell ref="AZ7:BK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768C-6BC9-4002-BA14-652306DBBA61}">
  <dimension ref="B2:BW14"/>
  <sheetViews>
    <sheetView zoomScale="85" zoomScaleNormal="85" workbookViewId="0">
      <selection activeCell="J24" sqref="J2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37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37</v>
      </c>
      <c r="C7" s="60" t="s">
        <v>48</v>
      </c>
      <c r="D7" s="354">
        <v>5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3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2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1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67"/>
      <c r="BA7" s="292" t="s">
        <v>66</v>
      </c>
      <c r="BB7" s="379" t="s">
        <v>31</v>
      </c>
      <c r="BC7" s="379"/>
      <c r="BD7" s="361"/>
      <c r="BE7" s="362"/>
      <c r="BF7" s="360"/>
      <c r="BG7" s="361"/>
      <c r="BH7" s="361"/>
      <c r="BI7" s="361"/>
      <c r="BJ7" s="361"/>
      <c r="BK7" s="362"/>
      <c r="BL7" s="360">
        <v>3</v>
      </c>
      <c r="BM7" s="361"/>
      <c r="BN7" s="361"/>
      <c r="BO7" s="361"/>
      <c r="BP7" s="361"/>
      <c r="BQ7" s="361"/>
      <c r="BR7" s="361"/>
      <c r="BS7" s="361"/>
      <c r="BT7" s="361"/>
      <c r="BU7" s="361"/>
      <c r="BV7" s="361"/>
      <c r="BW7" s="375"/>
    </row>
    <row r="8" spans="2:75" ht="17" thickBot="1" x14ac:dyDescent="0.5">
      <c r="B8" s="352"/>
      <c r="C8" s="60" t="s">
        <v>47</v>
      </c>
      <c r="D8" s="356">
        <v>3</v>
      </c>
      <c r="E8" s="347"/>
      <c r="F8" s="347"/>
      <c r="G8" s="347"/>
      <c r="H8" s="347"/>
      <c r="I8" s="347"/>
      <c r="J8" s="347">
        <v>2</v>
      </c>
      <c r="K8" s="347"/>
      <c r="L8" s="347"/>
      <c r="M8" s="347"/>
      <c r="N8" s="347"/>
      <c r="O8" s="347"/>
      <c r="P8" s="347">
        <v>1</v>
      </c>
      <c r="Q8" s="347"/>
      <c r="R8" s="347"/>
      <c r="S8" s="347"/>
      <c r="T8" s="347"/>
      <c r="U8" s="347"/>
      <c r="V8" s="347">
        <v>2</v>
      </c>
      <c r="W8" s="347"/>
      <c r="X8" s="347"/>
      <c r="Y8" s="347"/>
      <c r="Z8" s="347"/>
      <c r="AA8" s="347"/>
      <c r="AB8" s="347">
        <v>1</v>
      </c>
      <c r="AC8" s="347"/>
      <c r="AD8" s="347"/>
      <c r="AE8" s="347"/>
      <c r="AF8" s="347"/>
      <c r="AG8" s="347"/>
      <c r="AH8" s="347">
        <v>1</v>
      </c>
      <c r="AI8" s="347"/>
      <c r="AJ8" s="347"/>
      <c r="AK8" s="347"/>
      <c r="AL8" s="347"/>
      <c r="AM8" s="347"/>
      <c r="AN8" s="347">
        <v>1</v>
      </c>
      <c r="AO8" s="347"/>
      <c r="AP8" s="347"/>
      <c r="AQ8" s="347"/>
      <c r="AR8" s="347"/>
      <c r="AS8" s="347"/>
      <c r="AT8" s="347">
        <v>0</v>
      </c>
      <c r="AU8" s="347"/>
      <c r="AV8" s="347"/>
      <c r="AW8" s="347"/>
      <c r="AX8" s="347"/>
      <c r="AY8" s="347"/>
      <c r="AZ8" s="91">
        <v>1</v>
      </c>
      <c r="BA8" s="310"/>
      <c r="BB8" s="380"/>
      <c r="BC8" s="380"/>
      <c r="BD8" s="349"/>
      <c r="BE8" s="350"/>
      <c r="BF8" s="348">
        <v>1</v>
      </c>
      <c r="BG8" s="349"/>
      <c r="BH8" s="349"/>
      <c r="BI8" s="349"/>
      <c r="BJ8" s="349"/>
      <c r="BK8" s="350"/>
      <c r="BL8" s="350">
        <v>1</v>
      </c>
      <c r="BM8" s="347"/>
      <c r="BN8" s="347"/>
      <c r="BO8" s="347"/>
      <c r="BP8" s="347"/>
      <c r="BQ8" s="347"/>
      <c r="BR8" s="350">
        <v>2</v>
      </c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0</v>
      </c>
      <c r="K9" s="13">
        <v>1</v>
      </c>
      <c r="L9" s="13">
        <v>0</v>
      </c>
      <c r="M9" s="13">
        <v>1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1</v>
      </c>
      <c r="W9" s="13">
        <v>1</v>
      </c>
      <c r="X9" s="13">
        <v>0</v>
      </c>
      <c r="Y9" s="15">
        <v>0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1</v>
      </c>
      <c r="AG9" s="16">
        <v>0</v>
      </c>
      <c r="AH9" s="17">
        <v>1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1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0</v>
      </c>
      <c r="AV9" s="15">
        <v>0</v>
      </c>
      <c r="AW9" s="15">
        <v>0</v>
      </c>
      <c r="AX9" s="15">
        <v>0</v>
      </c>
      <c r="AY9" s="16">
        <v>0</v>
      </c>
      <c r="AZ9" s="18">
        <v>0</v>
      </c>
      <c r="BA9" s="310"/>
      <c r="BB9" s="380"/>
      <c r="BC9" s="380"/>
      <c r="BD9" s="18">
        <v>0</v>
      </c>
      <c r="BE9" s="19">
        <v>0</v>
      </c>
      <c r="BF9" s="18">
        <v>0</v>
      </c>
      <c r="BG9" s="18">
        <v>0</v>
      </c>
      <c r="BH9" s="18">
        <v>0</v>
      </c>
      <c r="BI9" s="18">
        <v>0</v>
      </c>
      <c r="BJ9" s="18">
        <v>1</v>
      </c>
      <c r="BK9" s="19">
        <v>0</v>
      </c>
      <c r="BL9" s="9">
        <v>0</v>
      </c>
      <c r="BM9" s="9">
        <v>0</v>
      </c>
      <c r="BN9" s="9">
        <v>0</v>
      </c>
      <c r="BO9" s="10">
        <v>0</v>
      </c>
      <c r="BP9" s="10">
        <v>0</v>
      </c>
      <c r="BQ9" s="10">
        <v>1</v>
      </c>
      <c r="BR9" s="9">
        <v>0</v>
      </c>
      <c r="BS9" s="9">
        <v>0</v>
      </c>
      <c r="BT9" s="9">
        <v>1</v>
      </c>
      <c r="BU9" s="10">
        <v>0</v>
      </c>
      <c r="BV9" s="10">
        <v>0</v>
      </c>
      <c r="BW9" s="36">
        <v>1</v>
      </c>
    </row>
    <row r="10" spans="2:75" ht="17" thickBot="1" x14ac:dyDescent="0.5">
      <c r="B10" s="352"/>
      <c r="C10" s="59" t="s">
        <v>44</v>
      </c>
      <c r="D10" s="21"/>
      <c r="E10" s="21"/>
      <c r="F10" s="21"/>
      <c r="G10" s="21"/>
      <c r="H10" s="21">
        <v>1</v>
      </c>
      <c r="I10" s="21"/>
      <c r="J10" s="21"/>
      <c r="K10" s="21">
        <v>1</v>
      </c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>
        <v>1</v>
      </c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1"/>
      <c r="BA10" s="310"/>
      <c r="BB10" s="380"/>
      <c r="BC10" s="380"/>
      <c r="BD10" s="21"/>
      <c r="BE10" s="22"/>
      <c r="BF10" s="21"/>
      <c r="BG10" s="21"/>
      <c r="BH10" s="21"/>
      <c r="BI10" s="21"/>
      <c r="BJ10" s="21"/>
      <c r="BK10" s="22"/>
      <c r="BL10" s="21"/>
      <c r="BM10" s="21"/>
      <c r="BN10" s="21"/>
      <c r="BO10" s="23"/>
      <c r="BP10" s="23"/>
      <c r="BQ10" s="23"/>
      <c r="BR10" s="21"/>
      <c r="BS10" s="21"/>
      <c r="BT10" s="21">
        <v>1</v>
      </c>
      <c r="BU10" s="23"/>
      <c r="BV10" s="23"/>
      <c r="BW10" s="32"/>
    </row>
    <row r="11" spans="2:75" ht="17" thickBot="1" x14ac:dyDescent="0.5">
      <c r="B11" s="352"/>
      <c r="C11" s="37" t="s">
        <v>45</v>
      </c>
      <c r="D11" s="21">
        <v>1</v>
      </c>
      <c r="E11" s="21"/>
      <c r="F11" s="21"/>
      <c r="G11" s="21"/>
      <c r="H11" s="21"/>
      <c r="I11" s="21"/>
      <c r="J11" s="21"/>
      <c r="K11" s="21"/>
      <c r="L11" s="21"/>
      <c r="M11" s="21">
        <v>1</v>
      </c>
      <c r="N11" s="21"/>
      <c r="O11" s="22"/>
      <c r="P11" s="21"/>
      <c r="Q11" s="21"/>
      <c r="R11" s="21"/>
      <c r="S11" s="21">
        <v>1</v>
      </c>
      <c r="T11" s="21"/>
      <c r="U11" s="21"/>
      <c r="V11" s="21"/>
      <c r="W11" s="21">
        <v>1</v>
      </c>
      <c r="X11" s="21"/>
      <c r="Y11" s="23"/>
      <c r="Z11" s="23"/>
      <c r="AA11" s="24"/>
      <c r="AB11" s="25"/>
      <c r="AC11" s="23"/>
      <c r="AD11" s="23"/>
      <c r="AE11" s="23"/>
      <c r="AF11" s="23">
        <v>1</v>
      </c>
      <c r="AG11" s="23"/>
      <c r="AH11" s="23"/>
      <c r="AI11" s="23"/>
      <c r="AJ11" s="23"/>
      <c r="AK11" s="23"/>
      <c r="AL11" s="23"/>
      <c r="AM11" s="24"/>
      <c r="AN11" s="25">
        <v>1</v>
      </c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1"/>
      <c r="BA11" s="310"/>
      <c r="BB11" s="380"/>
      <c r="BC11" s="380"/>
      <c r="BD11" s="21"/>
      <c r="BE11" s="22"/>
      <c r="BF11" s="21"/>
      <c r="BG11" s="21"/>
      <c r="BH11" s="21"/>
      <c r="BI11" s="21"/>
      <c r="BJ11" s="21">
        <v>1</v>
      </c>
      <c r="BK11" s="22"/>
      <c r="BL11" s="21"/>
      <c r="BM11" s="21"/>
      <c r="BN11" s="21"/>
      <c r="BO11" s="23"/>
      <c r="BP11" s="23"/>
      <c r="BQ11" s="23">
        <v>1</v>
      </c>
      <c r="BR11" s="21"/>
      <c r="BS11" s="21"/>
      <c r="BT11" s="21"/>
      <c r="BU11" s="23"/>
      <c r="BV11" s="23"/>
      <c r="BW11" s="32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6"/>
      <c r="BA12" s="310"/>
      <c r="BB12" s="380"/>
      <c r="BC12" s="380"/>
      <c r="BD12" s="26"/>
      <c r="BE12" s="27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>
        <v>1</v>
      </c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6"/>
      <c r="BA13" s="310"/>
      <c r="BB13" s="380"/>
      <c r="BC13" s="380"/>
      <c r="BD13" s="26"/>
      <c r="BE13" s="27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>
        <v>1</v>
      </c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6"/>
      <c r="BA14" s="378"/>
      <c r="BB14" s="381"/>
      <c r="BC14" s="381"/>
      <c r="BD14" s="26"/>
      <c r="BE14" s="27"/>
      <c r="BF14" s="26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34">
        <v>1</v>
      </c>
    </row>
  </sheetData>
  <mergeCells count="31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AN8:AS8"/>
    <mergeCell ref="B7:B14"/>
    <mergeCell ref="D7:O7"/>
    <mergeCell ref="P7:AA7"/>
    <mergeCell ref="AB7:AM7"/>
    <mergeCell ref="AN7:AY7"/>
    <mergeCell ref="AT8:AY8"/>
    <mergeCell ref="D8:I8"/>
    <mergeCell ref="J8:O8"/>
    <mergeCell ref="P8:U8"/>
    <mergeCell ref="V8:AA8"/>
    <mergeCell ref="AB8:AG8"/>
    <mergeCell ref="BA7:BA14"/>
    <mergeCell ref="BB7:BC14"/>
    <mergeCell ref="BL7:BW7"/>
    <mergeCell ref="BR8:BW8"/>
    <mergeCell ref="BL8:BQ8"/>
    <mergeCell ref="BF7:BK7"/>
    <mergeCell ref="BF8:BK8"/>
    <mergeCell ref="BD8:BE8"/>
    <mergeCell ref="BD7:BE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6714-5A64-4D1F-A73E-538A08354D64}">
  <dimension ref="B2:BW14"/>
  <sheetViews>
    <sheetView workbookViewId="0">
      <selection activeCell="B4" sqref="B4:C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32</v>
      </c>
      <c r="C7" s="60" t="s">
        <v>48</v>
      </c>
      <c r="D7" s="354">
        <v>5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4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2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8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/>
      <c r="BA7" s="361"/>
      <c r="BB7" s="361"/>
      <c r="BC7" s="361"/>
      <c r="BD7" s="361"/>
      <c r="BE7" s="362"/>
      <c r="BF7" s="67"/>
      <c r="BG7" s="67"/>
      <c r="BH7" s="67"/>
      <c r="BI7" s="247" t="s">
        <v>66</v>
      </c>
      <c r="BJ7" s="357"/>
      <c r="BK7" s="249" t="s">
        <v>31</v>
      </c>
      <c r="BL7" s="250"/>
      <c r="BM7" s="67"/>
      <c r="BN7" s="67"/>
      <c r="BO7" s="67"/>
      <c r="BP7" s="67"/>
      <c r="BQ7" s="68"/>
      <c r="BR7" s="67"/>
      <c r="BS7" s="67"/>
      <c r="BT7" s="67"/>
      <c r="BU7" s="67"/>
      <c r="BV7" s="67"/>
      <c r="BW7" s="70"/>
    </row>
    <row r="8" spans="2:75" ht="17" thickBot="1" x14ac:dyDescent="0.5">
      <c r="B8" s="352"/>
      <c r="C8" s="60" t="s">
        <v>47</v>
      </c>
      <c r="D8" s="356">
        <v>3</v>
      </c>
      <c r="E8" s="347"/>
      <c r="F8" s="347"/>
      <c r="G8" s="347"/>
      <c r="H8" s="347"/>
      <c r="I8" s="347"/>
      <c r="J8" s="347">
        <v>2</v>
      </c>
      <c r="K8" s="347"/>
      <c r="L8" s="347"/>
      <c r="M8" s="347"/>
      <c r="N8" s="347"/>
      <c r="O8" s="347"/>
      <c r="P8" s="347">
        <v>1</v>
      </c>
      <c r="Q8" s="347"/>
      <c r="R8" s="347"/>
      <c r="S8" s="347"/>
      <c r="T8" s="347"/>
      <c r="U8" s="347"/>
      <c r="V8" s="347">
        <v>3</v>
      </c>
      <c r="W8" s="347"/>
      <c r="X8" s="347"/>
      <c r="Y8" s="347"/>
      <c r="Z8" s="347"/>
      <c r="AA8" s="347"/>
      <c r="AB8" s="347">
        <v>0</v>
      </c>
      <c r="AC8" s="347"/>
      <c r="AD8" s="347"/>
      <c r="AE8" s="347"/>
      <c r="AF8" s="347"/>
      <c r="AG8" s="347"/>
      <c r="AH8" s="347">
        <v>2</v>
      </c>
      <c r="AI8" s="347"/>
      <c r="AJ8" s="347"/>
      <c r="AK8" s="347"/>
      <c r="AL8" s="347"/>
      <c r="AM8" s="347"/>
      <c r="AN8" s="347">
        <v>4</v>
      </c>
      <c r="AO8" s="347"/>
      <c r="AP8" s="347"/>
      <c r="AQ8" s="347"/>
      <c r="AR8" s="347"/>
      <c r="AS8" s="347"/>
      <c r="AT8" s="347">
        <v>4</v>
      </c>
      <c r="AU8" s="347"/>
      <c r="AV8" s="347"/>
      <c r="AW8" s="347"/>
      <c r="AX8" s="347"/>
      <c r="AY8" s="347"/>
      <c r="AZ8" s="347">
        <v>2</v>
      </c>
      <c r="BA8" s="347"/>
      <c r="BB8" s="347"/>
      <c r="BC8" s="347"/>
      <c r="BD8" s="347"/>
      <c r="BE8" s="347"/>
      <c r="BF8" s="348"/>
      <c r="BG8" s="349"/>
      <c r="BH8" s="349"/>
      <c r="BI8" s="309"/>
      <c r="BJ8" s="358"/>
      <c r="BK8" s="311"/>
      <c r="BL8" s="312"/>
      <c r="BM8" s="349"/>
      <c r="BN8" s="349"/>
      <c r="BO8" s="349"/>
      <c r="BP8" s="349"/>
      <c r="BQ8" s="350"/>
      <c r="BR8" s="350">
        <v>2</v>
      </c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2</v>
      </c>
      <c r="E9" s="13">
        <v>0</v>
      </c>
      <c r="F9" s="13">
        <v>0</v>
      </c>
      <c r="G9" s="13">
        <v>0</v>
      </c>
      <c r="H9" s="13">
        <v>0</v>
      </c>
      <c r="I9" s="13">
        <v>1</v>
      </c>
      <c r="J9" s="13">
        <v>0</v>
      </c>
      <c r="K9" s="13">
        <v>1</v>
      </c>
      <c r="L9" s="13">
        <v>0</v>
      </c>
      <c r="M9" s="13">
        <v>1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0</v>
      </c>
      <c r="W9" s="13">
        <v>1</v>
      </c>
      <c r="X9" s="13">
        <v>0</v>
      </c>
      <c r="Y9" s="15">
        <v>1</v>
      </c>
      <c r="Z9" s="15">
        <v>1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1</v>
      </c>
      <c r="AI9" s="15">
        <v>0</v>
      </c>
      <c r="AJ9" s="15">
        <v>0</v>
      </c>
      <c r="AK9" s="15">
        <v>1</v>
      </c>
      <c r="AL9" s="15">
        <v>0</v>
      </c>
      <c r="AM9" s="16">
        <v>0</v>
      </c>
      <c r="AN9" s="17">
        <v>1</v>
      </c>
      <c r="AO9" s="15">
        <v>1</v>
      </c>
      <c r="AP9" s="15">
        <v>0</v>
      </c>
      <c r="AQ9" s="15">
        <v>1</v>
      </c>
      <c r="AR9" s="15">
        <v>0</v>
      </c>
      <c r="AS9" s="16">
        <v>1</v>
      </c>
      <c r="AT9" s="17">
        <v>0</v>
      </c>
      <c r="AU9" s="15">
        <v>0</v>
      </c>
      <c r="AV9" s="15">
        <v>1</v>
      </c>
      <c r="AW9" s="15">
        <v>1</v>
      </c>
      <c r="AX9" s="15">
        <v>1</v>
      </c>
      <c r="AY9" s="16">
        <v>1</v>
      </c>
      <c r="AZ9" s="17">
        <v>1</v>
      </c>
      <c r="BA9" s="15">
        <v>0</v>
      </c>
      <c r="BB9" s="15">
        <v>0</v>
      </c>
      <c r="BC9" s="15">
        <v>1</v>
      </c>
      <c r="BD9" s="15">
        <v>0</v>
      </c>
      <c r="BE9" s="16">
        <v>0</v>
      </c>
      <c r="BF9" s="18">
        <v>0</v>
      </c>
      <c r="BG9" s="18">
        <v>0</v>
      </c>
      <c r="BH9" s="18">
        <v>0</v>
      </c>
      <c r="BI9" s="309"/>
      <c r="BJ9" s="358"/>
      <c r="BK9" s="311"/>
      <c r="BL9" s="312"/>
      <c r="BM9" s="9">
        <v>0</v>
      </c>
      <c r="BN9" s="9">
        <v>0</v>
      </c>
      <c r="BO9" s="10">
        <v>1</v>
      </c>
      <c r="BP9" s="10">
        <v>0</v>
      </c>
      <c r="BQ9" s="16">
        <v>0</v>
      </c>
      <c r="BR9" s="9">
        <v>0</v>
      </c>
      <c r="BS9" s="9">
        <v>1</v>
      </c>
      <c r="BT9" s="9">
        <v>1</v>
      </c>
      <c r="BU9" s="10">
        <v>0</v>
      </c>
      <c r="BV9" s="10">
        <v>0</v>
      </c>
      <c r="BW9" s="36">
        <v>0</v>
      </c>
    </row>
    <row r="10" spans="2:75" ht="17" thickBot="1" x14ac:dyDescent="0.5">
      <c r="B10" s="352"/>
      <c r="C10" s="59" t="s">
        <v>44</v>
      </c>
      <c r="D10" s="31">
        <v>1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>
        <v>1</v>
      </c>
      <c r="AI10" s="23"/>
      <c r="AJ10" s="23"/>
      <c r="AK10" s="23"/>
      <c r="AL10" s="23"/>
      <c r="AM10" s="24"/>
      <c r="AN10" s="25">
        <v>1</v>
      </c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4"/>
      <c r="BF10" s="21"/>
      <c r="BG10" s="21"/>
      <c r="BH10" s="21"/>
      <c r="BI10" s="309"/>
      <c r="BJ10" s="358"/>
      <c r="BK10" s="311"/>
      <c r="BL10" s="312"/>
      <c r="BM10" s="21"/>
      <c r="BN10" s="21"/>
      <c r="BO10" s="23"/>
      <c r="BP10" s="23"/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352"/>
      <c r="C11" s="37" t="s">
        <v>45</v>
      </c>
      <c r="D11" s="31">
        <v>1</v>
      </c>
      <c r="E11" s="21"/>
      <c r="F11" s="21"/>
      <c r="G11" s="21"/>
      <c r="H11" s="21"/>
      <c r="I11" s="21">
        <v>1</v>
      </c>
      <c r="J11" s="21"/>
      <c r="K11" s="21"/>
      <c r="L11" s="21"/>
      <c r="M11" s="21">
        <v>1</v>
      </c>
      <c r="N11" s="21"/>
      <c r="O11" s="22"/>
      <c r="P11" s="21"/>
      <c r="Q11" s="21"/>
      <c r="R11" s="21"/>
      <c r="S11" s="21"/>
      <c r="T11" s="21"/>
      <c r="U11" s="21"/>
      <c r="V11" s="21"/>
      <c r="W11" s="21">
        <v>1</v>
      </c>
      <c r="X11" s="21"/>
      <c r="Y11" s="23">
        <v>1</v>
      </c>
      <c r="Z11" s="23">
        <v>1</v>
      </c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>
        <v>1</v>
      </c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>
        <v>1</v>
      </c>
      <c r="AW11" s="23"/>
      <c r="AX11" s="23">
        <v>1</v>
      </c>
      <c r="AY11" s="24"/>
      <c r="AZ11" s="25">
        <v>1</v>
      </c>
      <c r="BA11" s="23"/>
      <c r="BB11" s="23"/>
      <c r="BC11" s="23">
        <v>1</v>
      </c>
      <c r="BD11" s="23"/>
      <c r="BE11" s="24"/>
      <c r="BF11" s="21"/>
      <c r="BG11" s="21"/>
      <c r="BH11" s="21"/>
      <c r="BI11" s="309"/>
      <c r="BJ11" s="358"/>
      <c r="BK11" s="311"/>
      <c r="BL11" s="312"/>
      <c r="BM11" s="21"/>
      <c r="BN11" s="21"/>
      <c r="BO11" s="23">
        <v>1</v>
      </c>
      <c r="BP11" s="23"/>
      <c r="BQ11" s="24"/>
      <c r="BR11" s="21"/>
      <c r="BS11" s="21">
        <v>1</v>
      </c>
      <c r="BT11" s="21"/>
      <c r="BU11" s="23"/>
      <c r="BV11" s="23"/>
      <c r="BW11" s="32"/>
    </row>
    <row r="12" spans="2:75" ht="17" thickBot="1" x14ac:dyDescent="0.35">
      <c r="B12" s="352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>
        <v>1</v>
      </c>
      <c r="AT12" s="26"/>
      <c r="AU12" s="26"/>
      <c r="AV12" s="26"/>
      <c r="AW12" s="26">
        <v>1</v>
      </c>
      <c r="AX12" s="26"/>
      <c r="AY12" s="27"/>
      <c r="AZ12" s="28"/>
      <c r="BA12" s="26"/>
      <c r="BB12" s="26"/>
      <c r="BC12" s="26"/>
      <c r="BD12" s="26"/>
      <c r="BE12" s="27"/>
      <c r="BF12" s="26"/>
      <c r="BG12" s="26"/>
      <c r="BH12" s="26"/>
      <c r="BI12" s="309"/>
      <c r="BJ12" s="358"/>
      <c r="BK12" s="311"/>
      <c r="BL12" s="312"/>
      <c r="BM12" s="26"/>
      <c r="BN12" s="26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33"/>
      <c r="E13" s="26"/>
      <c r="F13" s="26"/>
      <c r="G13" s="26"/>
      <c r="H13" s="26"/>
      <c r="I13" s="26"/>
      <c r="J13" s="26"/>
      <c r="K13" s="26">
        <v>1</v>
      </c>
      <c r="L13" s="26"/>
      <c r="M13" s="26"/>
      <c r="N13" s="26"/>
      <c r="O13" s="27"/>
      <c r="P13" s="26"/>
      <c r="Q13" s="26"/>
      <c r="R13" s="26"/>
      <c r="S13" s="26">
        <v>1</v>
      </c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>
        <v>1</v>
      </c>
      <c r="AP13" s="26"/>
      <c r="AQ13" s="26">
        <v>1</v>
      </c>
      <c r="AR13" s="26"/>
      <c r="AS13" s="26"/>
      <c r="AT13" s="26"/>
      <c r="AU13" s="26"/>
      <c r="AV13" s="26"/>
      <c r="AW13" s="26"/>
      <c r="AX13" s="26"/>
      <c r="AY13" s="27">
        <v>1</v>
      </c>
      <c r="AZ13" s="28"/>
      <c r="BA13" s="26"/>
      <c r="BB13" s="26"/>
      <c r="BC13" s="26"/>
      <c r="BD13" s="26"/>
      <c r="BE13" s="27"/>
      <c r="BF13" s="26"/>
      <c r="BG13" s="26"/>
      <c r="BH13" s="26"/>
      <c r="BI13" s="309"/>
      <c r="BJ13" s="358"/>
      <c r="BK13" s="311"/>
      <c r="BL13" s="312"/>
      <c r="BM13" s="26"/>
      <c r="BN13" s="26"/>
      <c r="BO13" s="26"/>
      <c r="BP13" s="26"/>
      <c r="BQ13" s="27"/>
      <c r="BR13" s="26"/>
      <c r="BS13" s="26"/>
      <c r="BT13" s="26">
        <v>1</v>
      </c>
      <c r="BU13" s="26"/>
      <c r="BV13" s="26"/>
      <c r="BW13" s="34"/>
    </row>
    <row r="14" spans="2:75" ht="17" thickBot="1" x14ac:dyDescent="0.35">
      <c r="B14" s="353"/>
      <c r="C14" s="37" t="s">
        <v>51</v>
      </c>
      <c r="D14" s="6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40"/>
      <c r="AZ14" s="38"/>
      <c r="BA14" s="39"/>
      <c r="BB14" s="39"/>
      <c r="BC14" s="39"/>
      <c r="BD14" s="39"/>
      <c r="BE14" s="40"/>
      <c r="BF14" s="39"/>
      <c r="BG14" s="39"/>
      <c r="BH14" s="39"/>
      <c r="BI14" s="304"/>
      <c r="BJ14" s="291"/>
      <c r="BK14" s="286"/>
      <c r="BL14" s="287"/>
      <c r="BM14" s="39"/>
      <c r="BN14" s="39"/>
      <c r="BO14" s="39"/>
      <c r="BP14" s="39"/>
      <c r="BQ14" s="40"/>
      <c r="BR14" s="39"/>
      <c r="BS14" s="39"/>
      <c r="BT14" s="39"/>
      <c r="BU14" s="39"/>
      <c r="BV14" s="39"/>
      <c r="BW14" s="41"/>
    </row>
  </sheetData>
  <mergeCells count="29">
    <mergeCell ref="BR8:BW8"/>
    <mergeCell ref="BK7:BL14"/>
    <mergeCell ref="BM8:BQ8"/>
    <mergeCell ref="BI7:BJ14"/>
    <mergeCell ref="BF8:BH8"/>
    <mergeCell ref="AB7:AM7"/>
    <mergeCell ref="AN7:AY7"/>
    <mergeCell ref="AT8:AY8"/>
    <mergeCell ref="D8:I8"/>
    <mergeCell ref="J8:O8"/>
    <mergeCell ref="P8:U8"/>
    <mergeCell ref="V8:AA8"/>
    <mergeCell ref="AB8:AG8"/>
    <mergeCell ref="AZ8:BE8"/>
    <mergeCell ref="AZ7:BE7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AN8:AS8"/>
    <mergeCell ref="B7:B14"/>
    <mergeCell ref="D7:O7"/>
    <mergeCell ref="P7:AA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81EB-556F-43A5-98E8-BF4E8A54A45E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79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79</v>
      </c>
      <c r="C7" s="60" t="s">
        <v>48</v>
      </c>
      <c r="D7" s="354">
        <v>3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5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6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5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>
        <v>1</v>
      </c>
      <c r="BA7" s="361"/>
      <c r="BB7" s="361"/>
      <c r="BC7" s="361"/>
      <c r="BD7" s="361"/>
      <c r="BE7" s="362"/>
      <c r="BF7" s="360"/>
      <c r="BG7" s="361"/>
      <c r="BH7" s="361"/>
      <c r="BI7" s="362"/>
      <c r="BJ7" s="247" t="s">
        <v>25</v>
      </c>
      <c r="BK7" s="292"/>
      <c r="BL7" s="249" t="s">
        <v>31</v>
      </c>
      <c r="BM7" s="250"/>
      <c r="BN7" s="360"/>
      <c r="BO7" s="361"/>
      <c r="BP7" s="361"/>
      <c r="BQ7" s="362"/>
      <c r="BR7" s="360">
        <v>0</v>
      </c>
      <c r="BS7" s="361"/>
      <c r="BT7" s="361"/>
      <c r="BU7" s="361"/>
      <c r="BV7" s="361"/>
      <c r="BW7" s="375"/>
    </row>
    <row r="8" spans="2:75" ht="17" thickBot="1" x14ac:dyDescent="0.5">
      <c r="B8" s="352"/>
      <c r="C8" s="60" t="s">
        <v>47</v>
      </c>
      <c r="D8" s="356">
        <v>2</v>
      </c>
      <c r="E8" s="347"/>
      <c r="F8" s="347"/>
      <c r="G8" s="347"/>
      <c r="H8" s="347"/>
      <c r="I8" s="347"/>
      <c r="J8" s="347">
        <v>1</v>
      </c>
      <c r="K8" s="347"/>
      <c r="L8" s="347"/>
      <c r="M8" s="347"/>
      <c r="N8" s="347"/>
      <c r="O8" s="347"/>
      <c r="P8" s="347">
        <v>1</v>
      </c>
      <c r="Q8" s="347"/>
      <c r="R8" s="347"/>
      <c r="S8" s="347"/>
      <c r="T8" s="347"/>
      <c r="U8" s="347"/>
      <c r="V8" s="347">
        <v>4</v>
      </c>
      <c r="W8" s="347"/>
      <c r="X8" s="347"/>
      <c r="Y8" s="347"/>
      <c r="Z8" s="347"/>
      <c r="AA8" s="347"/>
      <c r="AB8" s="347">
        <v>5</v>
      </c>
      <c r="AC8" s="347"/>
      <c r="AD8" s="347"/>
      <c r="AE8" s="347"/>
      <c r="AF8" s="347"/>
      <c r="AG8" s="347"/>
      <c r="AH8" s="347">
        <v>1</v>
      </c>
      <c r="AI8" s="347"/>
      <c r="AJ8" s="347"/>
      <c r="AK8" s="347"/>
      <c r="AL8" s="347"/>
      <c r="AM8" s="347"/>
      <c r="AN8" s="347">
        <v>3</v>
      </c>
      <c r="AO8" s="347"/>
      <c r="AP8" s="347"/>
      <c r="AQ8" s="347"/>
      <c r="AR8" s="347"/>
      <c r="AS8" s="347"/>
      <c r="AT8" s="347">
        <v>2</v>
      </c>
      <c r="AU8" s="347"/>
      <c r="AV8" s="347"/>
      <c r="AW8" s="347"/>
      <c r="AX8" s="347"/>
      <c r="AY8" s="347"/>
      <c r="AZ8" s="347">
        <v>1</v>
      </c>
      <c r="BA8" s="347"/>
      <c r="BB8" s="347"/>
      <c r="BC8" s="347"/>
      <c r="BD8" s="347"/>
      <c r="BE8" s="347"/>
      <c r="BF8" s="348"/>
      <c r="BG8" s="349"/>
      <c r="BH8" s="349"/>
      <c r="BI8" s="350"/>
      <c r="BJ8" s="309"/>
      <c r="BK8" s="310"/>
      <c r="BL8" s="311"/>
      <c r="BM8" s="312"/>
      <c r="BN8" s="348"/>
      <c r="BO8" s="349"/>
      <c r="BP8" s="349"/>
      <c r="BQ8" s="350"/>
      <c r="BR8" s="350">
        <v>0</v>
      </c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4">
        <v>1</v>
      </c>
      <c r="P9" s="13">
        <v>1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2</v>
      </c>
      <c r="W9" s="13">
        <v>1</v>
      </c>
      <c r="X9" s="13">
        <v>0</v>
      </c>
      <c r="Y9" s="15">
        <v>0</v>
      </c>
      <c r="Z9" s="15">
        <v>0</v>
      </c>
      <c r="AA9" s="16">
        <v>1</v>
      </c>
      <c r="AB9" s="17">
        <v>0</v>
      </c>
      <c r="AC9" s="15">
        <v>1</v>
      </c>
      <c r="AD9" s="15">
        <v>1</v>
      </c>
      <c r="AE9" s="15">
        <v>2</v>
      </c>
      <c r="AF9" s="15">
        <v>0</v>
      </c>
      <c r="AG9" s="16">
        <v>1</v>
      </c>
      <c r="AH9" s="17">
        <v>0</v>
      </c>
      <c r="AI9" s="15">
        <v>0</v>
      </c>
      <c r="AJ9" s="15">
        <v>0</v>
      </c>
      <c r="AK9" s="15">
        <v>1</v>
      </c>
      <c r="AL9" s="15">
        <v>0</v>
      </c>
      <c r="AM9" s="16">
        <v>0</v>
      </c>
      <c r="AN9" s="17">
        <v>1</v>
      </c>
      <c r="AO9" s="15">
        <v>0</v>
      </c>
      <c r="AP9" s="15">
        <v>1</v>
      </c>
      <c r="AQ9" s="15">
        <v>0</v>
      </c>
      <c r="AR9" s="15">
        <v>0</v>
      </c>
      <c r="AS9" s="16">
        <v>1</v>
      </c>
      <c r="AT9" s="17">
        <v>0</v>
      </c>
      <c r="AU9" s="15">
        <v>0</v>
      </c>
      <c r="AV9" s="15">
        <v>1</v>
      </c>
      <c r="AW9" s="15">
        <v>0</v>
      </c>
      <c r="AX9" s="15">
        <v>0</v>
      </c>
      <c r="AY9" s="16">
        <v>1</v>
      </c>
      <c r="AZ9" s="17">
        <v>0</v>
      </c>
      <c r="BA9" s="15">
        <v>1</v>
      </c>
      <c r="BB9" s="15">
        <v>0</v>
      </c>
      <c r="BC9" s="15">
        <v>0</v>
      </c>
      <c r="BD9" s="15">
        <v>0</v>
      </c>
      <c r="BE9" s="16">
        <v>0</v>
      </c>
      <c r="BF9" s="18">
        <v>0</v>
      </c>
      <c r="BG9" s="18">
        <v>0</v>
      </c>
      <c r="BH9" s="18">
        <v>1</v>
      </c>
      <c r="BI9" s="18">
        <v>0</v>
      </c>
      <c r="BJ9" s="309"/>
      <c r="BK9" s="310"/>
      <c r="BL9" s="311"/>
      <c r="BM9" s="312"/>
      <c r="BN9" s="10">
        <v>1</v>
      </c>
      <c r="BO9" s="10">
        <v>0</v>
      </c>
      <c r="BP9" s="10">
        <v>1</v>
      </c>
      <c r="BQ9" s="16">
        <v>0</v>
      </c>
      <c r="BR9" s="9">
        <v>0</v>
      </c>
      <c r="BS9" s="9">
        <v>0</v>
      </c>
      <c r="BT9" s="9">
        <v>0</v>
      </c>
      <c r="BU9" s="10">
        <v>0</v>
      </c>
      <c r="BV9" s="10">
        <v>0</v>
      </c>
      <c r="BW9" s="36">
        <v>0</v>
      </c>
    </row>
    <row r="10" spans="2:75" ht="17" thickBot="1" x14ac:dyDescent="0.5">
      <c r="B10" s="352"/>
      <c r="C10" s="59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>
        <v>1</v>
      </c>
      <c r="P10" s="21"/>
      <c r="Q10" s="21"/>
      <c r="R10" s="21"/>
      <c r="S10" s="21"/>
      <c r="T10" s="21"/>
      <c r="U10" s="21"/>
      <c r="V10" s="21">
        <v>2</v>
      </c>
      <c r="W10" s="21"/>
      <c r="X10" s="21"/>
      <c r="Y10" s="23"/>
      <c r="Z10" s="23"/>
      <c r="AA10" s="24"/>
      <c r="AB10" s="25"/>
      <c r="AC10" s="23"/>
      <c r="AD10" s="23">
        <v>1</v>
      </c>
      <c r="AE10" s="23">
        <v>1</v>
      </c>
      <c r="AF10" s="23"/>
      <c r="AG10" s="23"/>
      <c r="AH10" s="23"/>
      <c r="AI10" s="23"/>
      <c r="AJ10" s="23"/>
      <c r="AK10" s="23"/>
      <c r="AL10" s="23"/>
      <c r="AM10" s="24"/>
      <c r="AN10" s="25">
        <v>1</v>
      </c>
      <c r="AO10" s="23"/>
      <c r="AP10" s="23">
        <v>1</v>
      </c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>
        <v>1</v>
      </c>
      <c r="BI10" s="21"/>
      <c r="BJ10" s="309"/>
      <c r="BK10" s="310"/>
      <c r="BL10" s="311"/>
      <c r="BM10" s="312"/>
      <c r="BN10" s="23">
        <v>1</v>
      </c>
      <c r="BO10" s="23"/>
      <c r="BP10" s="23">
        <v>1</v>
      </c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352"/>
      <c r="C11" s="37" t="s">
        <v>45</v>
      </c>
      <c r="D11" s="21"/>
      <c r="E11" s="21"/>
      <c r="F11" s="21"/>
      <c r="G11" s="21"/>
      <c r="H11" s="21">
        <v>1</v>
      </c>
      <c r="I11" s="21"/>
      <c r="J11" s="21"/>
      <c r="K11" s="21"/>
      <c r="L11" s="21"/>
      <c r="M11" s="21"/>
      <c r="N11" s="21"/>
      <c r="O11" s="22"/>
      <c r="P11" s="21">
        <v>1</v>
      </c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>
        <v>1</v>
      </c>
      <c r="AD11" s="23"/>
      <c r="AE11" s="23">
        <v>1</v>
      </c>
      <c r="AF11" s="23"/>
      <c r="AG11" s="23">
        <v>1</v>
      </c>
      <c r="AH11" s="23"/>
      <c r="AI11" s="23"/>
      <c r="AJ11" s="23"/>
      <c r="AK11" s="23">
        <v>1</v>
      </c>
      <c r="AL11" s="23"/>
      <c r="AM11" s="24"/>
      <c r="AN11" s="25"/>
      <c r="AO11" s="23"/>
      <c r="AP11" s="23"/>
      <c r="AQ11" s="23"/>
      <c r="AR11" s="23"/>
      <c r="AS11" s="23">
        <v>1</v>
      </c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309"/>
      <c r="BK11" s="310"/>
      <c r="BL11" s="311"/>
      <c r="BM11" s="312"/>
      <c r="BN11" s="23"/>
      <c r="BO11" s="23"/>
      <c r="BP11" s="23"/>
      <c r="BQ11" s="24"/>
      <c r="BR11" s="21"/>
      <c r="BS11" s="21"/>
      <c r="BT11" s="21"/>
      <c r="BU11" s="23"/>
      <c r="BV11" s="23"/>
      <c r="BW11" s="32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>
        <v>1</v>
      </c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309"/>
      <c r="BK12" s="310"/>
      <c r="BL12" s="311"/>
      <c r="BM12" s="312"/>
      <c r="BN12" s="26"/>
      <c r="BO12" s="26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>
        <v>1</v>
      </c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>
        <v>1</v>
      </c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>
        <v>1</v>
      </c>
      <c r="AW13" s="26"/>
      <c r="AX13" s="26"/>
      <c r="AY13" s="27">
        <v>1</v>
      </c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309"/>
      <c r="BK13" s="310"/>
      <c r="BL13" s="311"/>
      <c r="BM13" s="312"/>
      <c r="BN13" s="26"/>
      <c r="BO13" s="26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>
        <v>1</v>
      </c>
      <c r="BB14" s="26"/>
      <c r="BC14" s="26"/>
      <c r="BD14" s="26"/>
      <c r="BE14" s="26"/>
      <c r="BF14" s="28"/>
      <c r="BG14" s="26"/>
      <c r="BH14" s="26"/>
      <c r="BI14" s="26"/>
      <c r="BJ14" s="304"/>
      <c r="BK14" s="290"/>
      <c r="BL14" s="286"/>
      <c r="BM14" s="287"/>
      <c r="BN14" s="26"/>
      <c r="BO14" s="26"/>
      <c r="BP14" s="26"/>
      <c r="BQ14" s="27"/>
      <c r="BR14" s="26"/>
      <c r="BS14" s="26"/>
      <c r="BT14" s="26"/>
      <c r="BU14" s="26"/>
      <c r="BV14" s="26"/>
      <c r="BW14" s="34"/>
    </row>
  </sheetData>
  <mergeCells count="32">
    <mergeCell ref="BR7:BW7"/>
    <mergeCell ref="AZ7:BE7"/>
    <mergeCell ref="BR8:BW8"/>
    <mergeCell ref="AZ8:BE8"/>
    <mergeCell ref="BF8:BI8"/>
    <mergeCell ref="BF7:BI7"/>
    <mergeCell ref="BJ7:BK14"/>
    <mergeCell ref="BL7:BM14"/>
    <mergeCell ref="BN8:BQ8"/>
    <mergeCell ref="BN7:BQ7"/>
    <mergeCell ref="AB7:AM7"/>
    <mergeCell ref="D8:I8"/>
    <mergeCell ref="J8:O8"/>
    <mergeCell ref="P8:U8"/>
    <mergeCell ref="V8:AA8"/>
    <mergeCell ref="AB8:AG8"/>
    <mergeCell ref="AN7:AY7"/>
    <mergeCell ref="AN8:AS8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B7:B14"/>
    <mergeCell ref="D7:O7"/>
    <mergeCell ref="P7:AA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BA3-DDDC-4D73-9441-4F8DD9BEF17C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76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76</v>
      </c>
      <c r="C7" s="60" t="s">
        <v>48</v>
      </c>
      <c r="D7" s="354">
        <v>2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3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3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1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>
        <v>0</v>
      </c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68"/>
      <c r="BM7" s="376" t="s">
        <v>66</v>
      </c>
      <c r="BN7" s="249" t="s">
        <v>31</v>
      </c>
      <c r="BO7" s="250"/>
      <c r="BP7" s="360"/>
      <c r="BQ7" s="362"/>
      <c r="BR7" s="360"/>
      <c r="BS7" s="361"/>
      <c r="BT7" s="361"/>
      <c r="BU7" s="361"/>
      <c r="BV7" s="361"/>
      <c r="BW7" s="375"/>
    </row>
    <row r="8" spans="2:75" ht="17" thickBot="1" x14ac:dyDescent="0.5">
      <c r="B8" s="352"/>
      <c r="C8" s="60" t="s">
        <v>47</v>
      </c>
      <c r="D8" s="356">
        <v>0</v>
      </c>
      <c r="E8" s="347"/>
      <c r="F8" s="347"/>
      <c r="G8" s="347"/>
      <c r="H8" s="347"/>
      <c r="I8" s="347"/>
      <c r="J8" s="347">
        <v>2</v>
      </c>
      <c r="K8" s="347"/>
      <c r="L8" s="347"/>
      <c r="M8" s="347"/>
      <c r="N8" s="347"/>
      <c r="O8" s="347"/>
      <c r="P8" s="347">
        <v>3</v>
      </c>
      <c r="Q8" s="347"/>
      <c r="R8" s="347"/>
      <c r="S8" s="347"/>
      <c r="T8" s="347"/>
      <c r="U8" s="347"/>
      <c r="V8" s="347">
        <v>0</v>
      </c>
      <c r="W8" s="347"/>
      <c r="X8" s="347"/>
      <c r="Y8" s="347"/>
      <c r="Z8" s="347"/>
      <c r="AA8" s="347"/>
      <c r="AB8" s="347">
        <v>1</v>
      </c>
      <c r="AC8" s="347"/>
      <c r="AD8" s="347"/>
      <c r="AE8" s="347"/>
      <c r="AF8" s="347"/>
      <c r="AG8" s="347"/>
      <c r="AH8" s="347">
        <v>2</v>
      </c>
      <c r="AI8" s="347"/>
      <c r="AJ8" s="347"/>
      <c r="AK8" s="347"/>
      <c r="AL8" s="347"/>
      <c r="AM8" s="347"/>
      <c r="AN8" s="347">
        <v>0</v>
      </c>
      <c r="AO8" s="347"/>
      <c r="AP8" s="347"/>
      <c r="AQ8" s="347"/>
      <c r="AR8" s="347"/>
      <c r="AS8" s="347"/>
      <c r="AT8" s="347">
        <v>1</v>
      </c>
      <c r="AU8" s="347"/>
      <c r="AV8" s="347"/>
      <c r="AW8" s="347"/>
      <c r="AX8" s="347"/>
      <c r="AY8" s="347"/>
      <c r="AZ8" s="347">
        <v>0</v>
      </c>
      <c r="BA8" s="347"/>
      <c r="BB8" s="347"/>
      <c r="BC8" s="347"/>
      <c r="BD8" s="347"/>
      <c r="BE8" s="347"/>
      <c r="BF8" s="382">
        <v>0</v>
      </c>
      <c r="BG8" s="383"/>
      <c r="BH8" s="383"/>
      <c r="BI8" s="383"/>
      <c r="BJ8" s="383"/>
      <c r="BK8" s="384"/>
      <c r="BL8" s="91"/>
      <c r="BM8" s="377"/>
      <c r="BN8" s="311"/>
      <c r="BO8" s="312"/>
      <c r="BP8" s="348"/>
      <c r="BQ8" s="350"/>
      <c r="BR8" s="350">
        <v>1</v>
      </c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1</v>
      </c>
      <c r="K9" s="13">
        <v>0</v>
      </c>
      <c r="L9" s="13">
        <v>0</v>
      </c>
      <c r="M9" s="13">
        <v>0</v>
      </c>
      <c r="N9" s="13">
        <v>1</v>
      </c>
      <c r="O9" s="14">
        <v>0</v>
      </c>
      <c r="P9" s="13">
        <v>2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0</v>
      </c>
      <c r="Z9" s="15">
        <v>0</v>
      </c>
      <c r="AA9" s="16">
        <v>0</v>
      </c>
      <c r="AB9" s="17">
        <v>1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1</v>
      </c>
      <c r="AJ9" s="15">
        <v>0</v>
      </c>
      <c r="AK9" s="15">
        <v>0</v>
      </c>
      <c r="AL9" s="15">
        <v>0</v>
      </c>
      <c r="AM9" s="16">
        <v>1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0</v>
      </c>
      <c r="AV9" s="15">
        <v>1</v>
      </c>
      <c r="AW9" s="15">
        <v>0</v>
      </c>
      <c r="AX9" s="15">
        <v>0</v>
      </c>
      <c r="AY9" s="16">
        <v>0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0</v>
      </c>
      <c r="BJ9" s="18">
        <v>0</v>
      </c>
      <c r="BK9" s="19">
        <v>0</v>
      </c>
      <c r="BL9" s="16">
        <v>0</v>
      </c>
      <c r="BM9" s="377"/>
      <c r="BN9" s="311"/>
      <c r="BO9" s="312"/>
      <c r="BP9" s="10">
        <v>1</v>
      </c>
      <c r="BQ9" s="16">
        <v>0</v>
      </c>
      <c r="BR9" s="9">
        <v>0</v>
      </c>
      <c r="BS9" s="9">
        <v>0</v>
      </c>
      <c r="BT9" s="9">
        <v>1</v>
      </c>
      <c r="BU9" s="10">
        <v>0</v>
      </c>
      <c r="BV9" s="10">
        <v>0</v>
      </c>
      <c r="BW9" s="36">
        <v>0</v>
      </c>
    </row>
    <row r="10" spans="2:75" ht="17" thickBot="1" x14ac:dyDescent="0.5">
      <c r="B10" s="352"/>
      <c r="C10" s="59" t="s">
        <v>44</v>
      </c>
      <c r="D10" s="21"/>
      <c r="E10" s="21"/>
      <c r="F10" s="21"/>
      <c r="G10" s="21"/>
      <c r="H10" s="21"/>
      <c r="I10" s="21"/>
      <c r="J10" s="21">
        <v>1</v>
      </c>
      <c r="K10" s="21"/>
      <c r="L10" s="21"/>
      <c r="M10" s="21"/>
      <c r="N10" s="21"/>
      <c r="O10" s="22"/>
      <c r="P10" s="21"/>
      <c r="Q10" s="21"/>
      <c r="R10" s="21">
        <v>1</v>
      </c>
      <c r="S10" s="21"/>
      <c r="T10" s="21"/>
      <c r="U10" s="21"/>
      <c r="V10" s="21"/>
      <c r="W10" s="21"/>
      <c r="X10" s="21"/>
      <c r="Y10" s="23"/>
      <c r="Z10" s="23"/>
      <c r="AA10" s="24"/>
      <c r="AB10" s="25">
        <v>1</v>
      </c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>
        <v>1</v>
      </c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4"/>
      <c r="BM10" s="377"/>
      <c r="BN10" s="311"/>
      <c r="BO10" s="312"/>
      <c r="BP10" s="23">
        <v>1</v>
      </c>
      <c r="BQ10" s="24"/>
      <c r="BR10" s="21"/>
      <c r="BS10" s="21"/>
      <c r="BT10" s="21"/>
      <c r="BU10" s="23"/>
      <c r="BV10" s="23"/>
      <c r="BW10" s="32"/>
    </row>
    <row r="11" spans="2:75" ht="17" thickBot="1" x14ac:dyDescent="0.5">
      <c r="B11" s="352"/>
      <c r="C11" s="37" t="s">
        <v>45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>
        <v>1</v>
      </c>
      <c r="O11" s="22"/>
      <c r="P11" s="21">
        <v>2</v>
      </c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>
        <v>1</v>
      </c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21"/>
      <c r="BK11" s="22"/>
      <c r="BL11" s="24"/>
      <c r="BM11" s="377"/>
      <c r="BN11" s="311"/>
      <c r="BO11" s="312"/>
      <c r="BP11" s="23"/>
      <c r="BQ11" s="24"/>
      <c r="BR11" s="21"/>
      <c r="BS11" s="21"/>
      <c r="BT11" s="21"/>
      <c r="BU11" s="23"/>
      <c r="BV11" s="23"/>
      <c r="BW11" s="32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7"/>
      <c r="BM12" s="377"/>
      <c r="BN12" s="311"/>
      <c r="BO12" s="312"/>
      <c r="BP12" s="26"/>
      <c r="BQ12" s="27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26"/>
      <c r="BK13" s="27"/>
      <c r="BL13" s="27"/>
      <c r="BM13" s="377"/>
      <c r="BN13" s="311"/>
      <c r="BO13" s="312"/>
      <c r="BP13" s="26"/>
      <c r="BQ13" s="27"/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>
        <v>1</v>
      </c>
      <c r="AW14" s="26"/>
      <c r="AX14" s="26"/>
      <c r="AY14" s="27"/>
      <c r="AZ14" s="28"/>
      <c r="BA14" s="26"/>
      <c r="BB14" s="26"/>
      <c r="BC14" s="26"/>
      <c r="BD14" s="26"/>
      <c r="BE14" s="26"/>
      <c r="BF14" s="28"/>
      <c r="BG14" s="26"/>
      <c r="BH14" s="26"/>
      <c r="BI14" s="26"/>
      <c r="BJ14" s="26"/>
      <c r="BK14" s="27"/>
      <c r="BL14" s="27"/>
      <c r="BM14" s="385"/>
      <c r="BN14" s="286"/>
      <c r="BO14" s="287"/>
      <c r="BP14" s="26"/>
      <c r="BQ14" s="27"/>
      <c r="BR14" s="26"/>
      <c r="BS14" s="26"/>
      <c r="BT14" s="26">
        <v>1</v>
      </c>
      <c r="BU14" s="26"/>
      <c r="BV14" s="26"/>
      <c r="BW14" s="34"/>
    </row>
  </sheetData>
  <mergeCells count="31">
    <mergeCell ref="BM7:BM14"/>
    <mergeCell ref="BR8:BW8"/>
    <mergeCell ref="BP8:BQ8"/>
    <mergeCell ref="BP7:BQ7"/>
    <mergeCell ref="BN7:BO14"/>
    <mergeCell ref="BR7:BW7"/>
    <mergeCell ref="AN7:AY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9719-D565-465A-AE41-3784966C6F99}">
  <dimension ref="B2:BW14"/>
  <sheetViews>
    <sheetView workbookViewId="0">
      <selection activeCell="P26" sqref="P2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195</v>
      </c>
      <c r="C7" s="60" t="s">
        <v>48</v>
      </c>
      <c r="D7" s="354"/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/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/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/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55"/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63"/>
    </row>
    <row r="8" spans="2:75" ht="17" thickBot="1" x14ac:dyDescent="0.5">
      <c r="B8" s="352"/>
      <c r="C8" s="60" t="s">
        <v>47</v>
      </c>
      <c r="D8" s="356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  <c r="AH8" s="347"/>
      <c r="AI8" s="347"/>
      <c r="AJ8" s="347"/>
      <c r="AK8" s="347"/>
      <c r="AL8" s="347"/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7"/>
      <c r="BF8" s="382"/>
      <c r="BG8" s="383"/>
      <c r="BH8" s="383"/>
      <c r="BI8" s="383"/>
      <c r="BJ8" s="383"/>
      <c r="BK8" s="384"/>
      <c r="BL8" s="347"/>
      <c r="BM8" s="347"/>
      <c r="BN8" s="347"/>
      <c r="BO8" s="347"/>
      <c r="BP8" s="347"/>
      <c r="BQ8" s="347"/>
      <c r="BR8" s="347"/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2</v>
      </c>
      <c r="I9" s="13">
        <v>0</v>
      </c>
      <c r="J9" s="13">
        <v>1</v>
      </c>
      <c r="K9" s="13">
        <v>2</v>
      </c>
      <c r="L9" s="13">
        <v>1</v>
      </c>
      <c r="M9" s="13">
        <v>1</v>
      </c>
      <c r="N9" s="13">
        <v>0</v>
      </c>
      <c r="O9" s="14">
        <v>0</v>
      </c>
      <c r="P9" s="13">
        <v>3</v>
      </c>
      <c r="Q9" s="13">
        <v>1</v>
      </c>
      <c r="R9" s="13">
        <v>3</v>
      </c>
      <c r="S9" s="13">
        <v>0</v>
      </c>
      <c r="T9" s="13">
        <v>1</v>
      </c>
      <c r="U9" s="13">
        <v>0</v>
      </c>
      <c r="V9" s="13">
        <v>1</v>
      </c>
      <c r="W9" s="13">
        <v>1</v>
      </c>
      <c r="X9" s="13">
        <v>2</v>
      </c>
      <c r="Y9" s="15">
        <v>2</v>
      </c>
      <c r="Z9" s="15">
        <v>1</v>
      </c>
      <c r="AA9" s="16">
        <v>2</v>
      </c>
      <c r="AB9" s="17">
        <v>3</v>
      </c>
      <c r="AC9" s="15">
        <v>0</v>
      </c>
      <c r="AD9" s="15">
        <v>1</v>
      </c>
      <c r="AE9" s="15">
        <v>3</v>
      </c>
      <c r="AF9" s="15">
        <v>1</v>
      </c>
      <c r="AG9" s="16">
        <v>1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1</v>
      </c>
      <c r="AQ9" s="15">
        <v>3</v>
      </c>
      <c r="AR9" s="15">
        <v>2</v>
      </c>
      <c r="AS9" s="16">
        <v>4</v>
      </c>
      <c r="AT9" s="17">
        <v>1</v>
      </c>
      <c r="AU9" s="15">
        <v>0</v>
      </c>
      <c r="AV9" s="15">
        <v>1</v>
      </c>
      <c r="AW9" s="15">
        <v>1</v>
      </c>
      <c r="AX9" s="15">
        <v>1</v>
      </c>
      <c r="AY9" s="16">
        <v>2</v>
      </c>
      <c r="AZ9" s="17">
        <v>0</v>
      </c>
      <c r="BA9" s="15">
        <v>2</v>
      </c>
      <c r="BB9" s="15">
        <v>2</v>
      </c>
      <c r="BC9" s="15">
        <v>2</v>
      </c>
      <c r="BD9" s="15">
        <v>1</v>
      </c>
      <c r="BE9" s="16">
        <v>1</v>
      </c>
      <c r="BF9" s="35">
        <v>0</v>
      </c>
      <c r="BG9" s="18">
        <v>0</v>
      </c>
      <c r="BH9" s="18">
        <v>1</v>
      </c>
      <c r="BI9" s="18">
        <v>2</v>
      </c>
      <c r="BJ9" s="18">
        <v>1</v>
      </c>
      <c r="BK9" s="19">
        <v>0</v>
      </c>
      <c r="BL9" s="13">
        <v>1</v>
      </c>
      <c r="BM9" s="13">
        <v>1</v>
      </c>
      <c r="BN9" s="13">
        <v>3</v>
      </c>
      <c r="BO9" s="13">
        <v>2</v>
      </c>
      <c r="BP9" s="13">
        <v>1</v>
      </c>
      <c r="BQ9" s="13">
        <v>1</v>
      </c>
      <c r="BR9" s="13">
        <v>1</v>
      </c>
      <c r="BS9" s="13">
        <v>0</v>
      </c>
      <c r="BT9" s="13">
        <v>0</v>
      </c>
      <c r="BU9" s="15">
        <v>2</v>
      </c>
      <c r="BV9" s="15">
        <v>1</v>
      </c>
      <c r="BW9" s="98">
        <v>2</v>
      </c>
    </row>
    <row r="10" spans="2:75" ht="17" thickBot="1" x14ac:dyDescent="0.5">
      <c r="B10" s="352"/>
      <c r="C10" s="119" t="s">
        <v>44</v>
      </c>
      <c r="D10" s="31"/>
      <c r="E10" s="21"/>
      <c r="F10" s="21">
        <v>1</v>
      </c>
      <c r="G10" s="21"/>
      <c r="H10" s="21">
        <v>1</v>
      </c>
      <c r="I10" s="21"/>
      <c r="J10" s="21"/>
      <c r="K10" s="21">
        <v>1</v>
      </c>
      <c r="L10" s="21"/>
      <c r="M10" s="21">
        <v>1</v>
      </c>
      <c r="N10" s="21"/>
      <c r="O10" s="22"/>
      <c r="P10" s="21">
        <v>1</v>
      </c>
      <c r="Q10" s="21"/>
      <c r="R10" s="21"/>
      <c r="S10" s="21"/>
      <c r="T10" s="21">
        <v>1</v>
      </c>
      <c r="U10" s="21"/>
      <c r="V10" s="21">
        <v>1</v>
      </c>
      <c r="W10" s="21"/>
      <c r="X10" s="21"/>
      <c r="Y10" s="23">
        <v>1</v>
      </c>
      <c r="Z10" s="23">
        <v>1</v>
      </c>
      <c r="AA10" s="24">
        <v>2</v>
      </c>
      <c r="AB10" s="25"/>
      <c r="AC10" s="23"/>
      <c r="AD10" s="23">
        <v>1</v>
      </c>
      <c r="AE10" s="23">
        <v>1</v>
      </c>
      <c r="AF10" s="23"/>
      <c r="AG10" s="23">
        <v>1</v>
      </c>
      <c r="AH10" s="23"/>
      <c r="AI10" s="23"/>
      <c r="AJ10" s="23"/>
      <c r="AK10" s="23"/>
      <c r="AL10" s="23"/>
      <c r="AM10" s="24"/>
      <c r="AN10" s="25"/>
      <c r="AO10" s="23"/>
      <c r="AP10" s="23"/>
      <c r="AQ10" s="23">
        <v>1</v>
      </c>
      <c r="AR10" s="23">
        <v>1</v>
      </c>
      <c r="AS10" s="23">
        <v>1</v>
      </c>
      <c r="AT10" s="23"/>
      <c r="AU10" s="23"/>
      <c r="AV10" s="23"/>
      <c r="AW10" s="23"/>
      <c r="AX10" s="23"/>
      <c r="AY10" s="24">
        <v>1</v>
      </c>
      <c r="AZ10" s="25"/>
      <c r="BA10" s="23"/>
      <c r="BB10" s="23">
        <v>1</v>
      </c>
      <c r="BC10" s="23"/>
      <c r="BD10" s="23">
        <v>1</v>
      </c>
      <c r="BE10" s="23"/>
      <c r="BF10" s="29"/>
      <c r="BG10" s="21"/>
      <c r="BH10" s="21"/>
      <c r="BI10" s="21">
        <v>2</v>
      </c>
      <c r="BJ10" s="21">
        <v>1</v>
      </c>
      <c r="BK10" s="22"/>
      <c r="BL10" s="21">
        <v>1</v>
      </c>
      <c r="BM10" s="21"/>
      <c r="BN10" s="21"/>
      <c r="BO10" s="21">
        <v>1</v>
      </c>
      <c r="BP10" s="21"/>
      <c r="BQ10" s="21"/>
      <c r="BR10" s="21"/>
      <c r="BS10" s="21"/>
      <c r="BT10" s="21"/>
      <c r="BU10" s="23">
        <v>1</v>
      </c>
      <c r="BV10" s="23">
        <v>1</v>
      </c>
      <c r="BW10" s="32"/>
    </row>
    <row r="11" spans="2:75" ht="17" thickBot="1" x14ac:dyDescent="0.5">
      <c r="B11" s="352"/>
      <c r="C11" s="37" t="s">
        <v>45</v>
      </c>
      <c r="D11" s="31"/>
      <c r="E11" s="21"/>
      <c r="F11" s="21"/>
      <c r="G11" s="21"/>
      <c r="H11" s="21"/>
      <c r="I11" s="21"/>
      <c r="J11" s="21"/>
      <c r="K11" s="21">
        <v>1</v>
      </c>
      <c r="L11" s="21">
        <v>1</v>
      </c>
      <c r="M11" s="21"/>
      <c r="N11" s="21"/>
      <c r="O11" s="22"/>
      <c r="P11" s="21">
        <v>2</v>
      </c>
      <c r="Q11" s="21">
        <v>1</v>
      </c>
      <c r="R11" s="21"/>
      <c r="S11" s="21"/>
      <c r="T11" s="21"/>
      <c r="U11" s="21"/>
      <c r="V11" s="21"/>
      <c r="W11" s="21"/>
      <c r="X11" s="21">
        <v>1</v>
      </c>
      <c r="Y11" s="23">
        <v>1</v>
      </c>
      <c r="Z11" s="23"/>
      <c r="AA11" s="24"/>
      <c r="AB11" s="25">
        <v>2</v>
      </c>
      <c r="AC11" s="23"/>
      <c r="AD11" s="23"/>
      <c r="AE11" s="23">
        <v>1</v>
      </c>
      <c r="AF11" s="23">
        <v>1</v>
      </c>
      <c r="AG11" s="23"/>
      <c r="AH11" s="23"/>
      <c r="AI11" s="23"/>
      <c r="AJ11" s="23"/>
      <c r="AK11" s="23"/>
      <c r="AL11" s="23"/>
      <c r="AM11" s="24"/>
      <c r="AN11" s="25"/>
      <c r="AO11" s="23"/>
      <c r="AP11" s="23">
        <v>1</v>
      </c>
      <c r="AQ11" s="23">
        <v>2</v>
      </c>
      <c r="AR11" s="23">
        <v>1</v>
      </c>
      <c r="AS11" s="23">
        <v>3</v>
      </c>
      <c r="AT11" s="23"/>
      <c r="AU11" s="23"/>
      <c r="AV11" s="23"/>
      <c r="AW11" s="23">
        <v>1</v>
      </c>
      <c r="AX11" s="23">
        <v>1</v>
      </c>
      <c r="AY11" s="24">
        <v>1</v>
      </c>
      <c r="AZ11" s="25"/>
      <c r="BA11" s="23">
        <v>1</v>
      </c>
      <c r="BB11" s="23"/>
      <c r="BC11" s="23">
        <v>1</v>
      </c>
      <c r="BD11" s="23"/>
      <c r="BE11" s="23">
        <v>1</v>
      </c>
      <c r="BF11" s="29"/>
      <c r="BG11" s="21"/>
      <c r="BH11" s="21">
        <v>1</v>
      </c>
      <c r="BI11" s="21"/>
      <c r="BJ11" s="21"/>
      <c r="BK11" s="22"/>
      <c r="BL11" s="21"/>
      <c r="BM11" s="21"/>
      <c r="BN11" s="21">
        <v>2</v>
      </c>
      <c r="BO11" s="21">
        <v>1</v>
      </c>
      <c r="BP11" s="21"/>
      <c r="BQ11" s="21"/>
      <c r="BR11" s="21">
        <v>1</v>
      </c>
      <c r="BS11" s="21"/>
      <c r="BT11" s="21"/>
      <c r="BU11" s="23">
        <v>1</v>
      </c>
      <c r="BV11" s="23"/>
      <c r="BW11" s="32">
        <v>2</v>
      </c>
    </row>
    <row r="12" spans="2:75" ht="17" thickBot="1" x14ac:dyDescent="0.35">
      <c r="B12" s="352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33"/>
      <c r="E13" s="26"/>
      <c r="F13" s="26"/>
      <c r="G13" s="26"/>
      <c r="H13" s="26">
        <v>1</v>
      </c>
      <c r="I13" s="26"/>
      <c r="J13" s="26"/>
      <c r="K13" s="26"/>
      <c r="L13" s="26"/>
      <c r="M13" s="26"/>
      <c r="N13" s="26"/>
      <c r="O13" s="27"/>
      <c r="P13" s="26"/>
      <c r="Q13" s="26"/>
      <c r="R13" s="26">
        <v>2</v>
      </c>
      <c r="S13" s="26"/>
      <c r="T13" s="26"/>
      <c r="U13" s="26"/>
      <c r="V13" s="26"/>
      <c r="W13" s="26">
        <v>1</v>
      </c>
      <c r="X13" s="26">
        <v>1</v>
      </c>
      <c r="Y13" s="26"/>
      <c r="Z13" s="26"/>
      <c r="AA13" s="27"/>
      <c r="AB13" s="28">
        <v>1</v>
      </c>
      <c r="AC13" s="26"/>
      <c r="AD13" s="26"/>
      <c r="AE13" s="26">
        <v>1</v>
      </c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>
        <v>1</v>
      </c>
      <c r="AW13" s="26"/>
      <c r="AX13" s="26"/>
      <c r="AY13" s="27"/>
      <c r="AZ13" s="28"/>
      <c r="BA13" s="26"/>
      <c r="BB13" s="26"/>
      <c r="BC13" s="26">
        <v>1</v>
      </c>
      <c r="BD13" s="26"/>
      <c r="BE13" s="26"/>
      <c r="BF13" s="28"/>
      <c r="BG13" s="26"/>
      <c r="BH13" s="26"/>
      <c r="BI13" s="26"/>
      <c r="BJ13" s="26"/>
      <c r="BK13" s="27"/>
      <c r="BL13" s="26"/>
      <c r="BM13" s="26">
        <v>1</v>
      </c>
      <c r="BN13" s="26">
        <v>1</v>
      </c>
      <c r="BO13" s="26"/>
      <c r="BP13" s="26">
        <v>1</v>
      </c>
      <c r="BQ13" s="26">
        <v>1</v>
      </c>
      <c r="BR13" s="26"/>
      <c r="BS13" s="26"/>
      <c r="BT13" s="26"/>
      <c r="BU13" s="26"/>
      <c r="BV13" s="26"/>
      <c r="BW13" s="34"/>
    </row>
    <row r="14" spans="2:75" ht="17" thickBot="1" x14ac:dyDescent="0.35">
      <c r="B14" s="353"/>
      <c r="C14" s="37" t="s">
        <v>51</v>
      </c>
      <c r="D14" s="61"/>
      <c r="E14" s="39"/>
      <c r="F14" s="39"/>
      <c r="G14" s="39"/>
      <c r="H14" s="39"/>
      <c r="I14" s="39"/>
      <c r="J14" s="39">
        <v>1</v>
      </c>
      <c r="K14" s="39"/>
      <c r="L14" s="39"/>
      <c r="M14" s="39"/>
      <c r="N14" s="39"/>
      <c r="O14" s="40"/>
      <c r="P14" s="39"/>
      <c r="Q14" s="39"/>
      <c r="R14" s="39">
        <v>1</v>
      </c>
      <c r="S14" s="39"/>
      <c r="T14" s="39"/>
      <c r="U14" s="39"/>
      <c r="V14" s="39"/>
      <c r="W14" s="39"/>
      <c r="X14" s="39"/>
      <c r="Y14" s="39"/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>
        <v>1</v>
      </c>
      <c r="AU14" s="39"/>
      <c r="AV14" s="39"/>
      <c r="AW14" s="39"/>
      <c r="AX14" s="39"/>
      <c r="AY14" s="40"/>
      <c r="AZ14" s="38"/>
      <c r="BA14" s="39">
        <v>1</v>
      </c>
      <c r="BB14" s="39">
        <v>1</v>
      </c>
      <c r="BC14" s="39"/>
      <c r="BD14" s="39"/>
      <c r="BE14" s="39"/>
      <c r="BF14" s="38"/>
      <c r="BG14" s="39"/>
      <c r="BH14" s="39"/>
      <c r="BI14" s="39"/>
      <c r="BJ14" s="39"/>
      <c r="BK14" s="40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41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B2F05-0CA0-49F6-B1C4-ABBDFBDBFBD2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7.398437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206</v>
      </c>
      <c r="C7" s="60" t="s">
        <v>48</v>
      </c>
      <c r="D7" s="354">
        <v>4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5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2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1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>
        <v>4</v>
      </c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55">
        <v>2</v>
      </c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55"/>
    </row>
    <row r="8" spans="2:75" ht="17" thickBot="1" x14ac:dyDescent="0.5">
      <c r="B8" s="352"/>
      <c r="C8" s="60" t="s">
        <v>47</v>
      </c>
      <c r="D8" s="356">
        <v>1</v>
      </c>
      <c r="E8" s="347"/>
      <c r="F8" s="347"/>
      <c r="G8" s="347"/>
      <c r="H8" s="347"/>
      <c r="I8" s="347"/>
      <c r="J8" s="347">
        <v>3</v>
      </c>
      <c r="K8" s="347"/>
      <c r="L8" s="347"/>
      <c r="M8" s="347"/>
      <c r="N8" s="347"/>
      <c r="O8" s="347"/>
      <c r="P8" s="347">
        <v>1</v>
      </c>
      <c r="Q8" s="347"/>
      <c r="R8" s="347"/>
      <c r="S8" s="347"/>
      <c r="T8" s="347"/>
      <c r="U8" s="347"/>
      <c r="V8" s="347">
        <v>4</v>
      </c>
      <c r="W8" s="347"/>
      <c r="X8" s="347"/>
      <c r="Y8" s="347"/>
      <c r="Z8" s="347"/>
      <c r="AA8" s="347"/>
      <c r="AB8" s="347">
        <v>2</v>
      </c>
      <c r="AC8" s="347"/>
      <c r="AD8" s="347"/>
      <c r="AE8" s="347"/>
      <c r="AF8" s="347"/>
      <c r="AG8" s="347"/>
      <c r="AH8" s="347">
        <v>0</v>
      </c>
      <c r="AI8" s="347"/>
      <c r="AJ8" s="347"/>
      <c r="AK8" s="347"/>
      <c r="AL8" s="347"/>
      <c r="AM8" s="347"/>
      <c r="AN8" s="347">
        <v>0</v>
      </c>
      <c r="AO8" s="347"/>
      <c r="AP8" s="347"/>
      <c r="AQ8" s="347"/>
      <c r="AR8" s="347"/>
      <c r="AS8" s="347"/>
      <c r="AT8" s="347">
        <v>1</v>
      </c>
      <c r="AU8" s="347"/>
      <c r="AV8" s="347"/>
      <c r="AW8" s="347"/>
      <c r="AX8" s="347"/>
      <c r="AY8" s="347"/>
      <c r="AZ8" s="347">
        <v>3</v>
      </c>
      <c r="BA8" s="347"/>
      <c r="BB8" s="347"/>
      <c r="BC8" s="347"/>
      <c r="BD8" s="347"/>
      <c r="BE8" s="347"/>
      <c r="BF8" s="382">
        <v>1</v>
      </c>
      <c r="BG8" s="383"/>
      <c r="BH8" s="383"/>
      <c r="BI8" s="383"/>
      <c r="BJ8" s="383"/>
      <c r="BK8" s="384"/>
      <c r="BL8" s="347">
        <v>1</v>
      </c>
      <c r="BM8" s="347"/>
      <c r="BN8" s="347"/>
      <c r="BO8" s="347"/>
      <c r="BP8" s="347"/>
      <c r="BQ8" s="347"/>
      <c r="BR8" s="347">
        <v>1</v>
      </c>
      <c r="BS8" s="347"/>
      <c r="BT8" s="347"/>
      <c r="BU8" s="347"/>
      <c r="BV8" s="347"/>
      <c r="BW8" s="347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0</v>
      </c>
      <c r="I9" s="13">
        <v>0</v>
      </c>
      <c r="J9" s="13">
        <v>2</v>
      </c>
      <c r="K9" s="13">
        <v>0</v>
      </c>
      <c r="L9" s="13">
        <v>1</v>
      </c>
      <c r="M9" s="13">
        <v>0</v>
      </c>
      <c r="N9" s="13">
        <v>0</v>
      </c>
      <c r="O9" s="14">
        <v>0</v>
      </c>
      <c r="P9" s="13">
        <v>0</v>
      </c>
      <c r="Q9" s="13">
        <v>0</v>
      </c>
      <c r="R9" s="13">
        <v>0</v>
      </c>
      <c r="S9" s="13">
        <v>1</v>
      </c>
      <c r="T9" s="13">
        <v>0</v>
      </c>
      <c r="U9" s="13">
        <v>0</v>
      </c>
      <c r="V9" s="13">
        <v>1</v>
      </c>
      <c r="W9" s="13">
        <v>0</v>
      </c>
      <c r="X9" s="13">
        <v>0</v>
      </c>
      <c r="Y9" s="15">
        <v>0</v>
      </c>
      <c r="Z9" s="15">
        <v>2</v>
      </c>
      <c r="AA9" s="16">
        <v>1</v>
      </c>
      <c r="AB9" s="17">
        <v>0</v>
      </c>
      <c r="AC9" s="15">
        <v>0</v>
      </c>
      <c r="AD9" s="15">
        <v>0</v>
      </c>
      <c r="AE9" s="15">
        <v>1</v>
      </c>
      <c r="AF9" s="15">
        <v>1</v>
      </c>
      <c r="AG9" s="16">
        <v>0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0</v>
      </c>
      <c r="AU9" s="15">
        <v>1</v>
      </c>
      <c r="AV9" s="15">
        <v>0</v>
      </c>
      <c r="AW9" s="15">
        <v>0</v>
      </c>
      <c r="AX9" s="15">
        <v>0</v>
      </c>
      <c r="AY9" s="16">
        <v>0</v>
      </c>
      <c r="AZ9" s="17">
        <v>0</v>
      </c>
      <c r="BA9" s="15">
        <v>1</v>
      </c>
      <c r="BB9" s="15">
        <v>0</v>
      </c>
      <c r="BC9" s="15">
        <v>2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1</v>
      </c>
      <c r="BJ9" s="18">
        <v>0</v>
      </c>
      <c r="BK9" s="19">
        <v>0</v>
      </c>
      <c r="BL9" s="13">
        <v>1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0</v>
      </c>
      <c r="BW9" s="16">
        <v>1</v>
      </c>
    </row>
    <row r="10" spans="2:75" ht="17" thickBot="1" x14ac:dyDescent="0.5">
      <c r="B10" s="352"/>
      <c r="C10" s="108" t="s">
        <v>44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>
        <v>1</v>
      </c>
      <c r="W10" s="21"/>
      <c r="X10" s="21"/>
      <c r="Y10" s="23"/>
      <c r="Z10" s="23">
        <v>2</v>
      </c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/>
    </row>
    <row r="11" spans="2:75" ht="17" thickBot="1" x14ac:dyDescent="0.5">
      <c r="B11" s="352"/>
      <c r="C11" s="37" t="s">
        <v>45</v>
      </c>
      <c r="D11" s="21"/>
      <c r="E11" s="21"/>
      <c r="F11" s="21">
        <v>1</v>
      </c>
      <c r="G11" s="21"/>
      <c r="H11" s="21"/>
      <c r="I11" s="21"/>
      <c r="J11" s="21">
        <v>1</v>
      </c>
      <c r="K11" s="21"/>
      <c r="L11" s="21">
        <v>1</v>
      </c>
      <c r="M11" s="21"/>
      <c r="N11" s="21"/>
      <c r="O11" s="22"/>
      <c r="P11" s="21"/>
      <c r="Q11" s="21"/>
      <c r="R11" s="21"/>
      <c r="S11" s="21">
        <v>1</v>
      </c>
      <c r="T11" s="21"/>
      <c r="U11" s="21"/>
      <c r="V11" s="21"/>
      <c r="W11" s="21"/>
      <c r="X11" s="21"/>
      <c r="Y11" s="23"/>
      <c r="Z11" s="23"/>
      <c r="AA11" s="24">
        <v>1</v>
      </c>
      <c r="AB11" s="25"/>
      <c r="AC11" s="23"/>
      <c r="AD11" s="23"/>
      <c r="AE11" s="23"/>
      <c r="AF11" s="23">
        <v>1</v>
      </c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>
        <v>1</v>
      </c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>
        <v>1</v>
      </c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24">
        <v>1</v>
      </c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>
        <v>1</v>
      </c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>
        <v>1</v>
      </c>
      <c r="BB13" s="26"/>
      <c r="BC13" s="26"/>
      <c r="BD13" s="26"/>
      <c r="BE13" s="26"/>
      <c r="BF13" s="28"/>
      <c r="BG13" s="26"/>
      <c r="BH13" s="26"/>
      <c r="BI13" s="26"/>
      <c r="BJ13" s="26"/>
      <c r="BK13" s="27"/>
      <c r="BL13" s="26">
        <v>1</v>
      </c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>
        <v>1</v>
      </c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/>
      <c r="BB14" s="26"/>
      <c r="BC14" s="26">
        <v>2</v>
      </c>
      <c r="BD14" s="26"/>
      <c r="BE14" s="26"/>
      <c r="BF14" s="28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AN8:AS8"/>
    <mergeCell ref="AT8:AY8"/>
    <mergeCell ref="BR8:BW8"/>
    <mergeCell ref="BL7:BW7"/>
    <mergeCell ref="BL8:BQ8"/>
    <mergeCell ref="D8:I8"/>
    <mergeCell ref="J8:O8"/>
    <mergeCell ref="P8:U8"/>
    <mergeCell ref="V8:AA8"/>
    <mergeCell ref="AB8:AG8"/>
    <mergeCell ref="AH8:AM8"/>
    <mergeCell ref="AZ7:BK7"/>
    <mergeCell ref="AZ8:BE8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6940-E0EB-4659-BF06-5538B0ED2749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202</v>
      </c>
      <c r="C7" s="60" t="s">
        <v>48</v>
      </c>
      <c r="D7" s="354">
        <v>13</v>
      </c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>
        <v>18</v>
      </c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>
        <v>15</v>
      </c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>
        <v>17</v>
      </c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>
        <v>9</v>
      </c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55"/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55"/>
    </row>
    <row r="8" spans="2:75" ht="17" thickBot="1" x14ac:dyDescent="0.5">
      <c r="B8" s="352"/>
      <c r="C8" s="60" t="s">
        <v>47</v>
      </c>
      <c r="D8" s="356">
        <v>8</v>
      </c>
      <c r="E8" s="347"/>
      <c r="F8" s="347"/>
      <c r="G8" s="347"/>
      <c r="H8" s="347"/>
      <c r="I8" s="347"/>
      <c r="J8" s="347">
        <v>5</v>
      </c>
      <c r="K8" s="347"/>
      <c r="L8" s="347"/>
      <c r="M8" s="347"/>
      <c r="N8" s="347"/>
      <c r="O8" s="347"/>
      <c r="P8" s="347">
        <v>8</v>
      </c>
      <c r="Q8" s="347"/>
      <c r="R8" s="347"/>
      <c r="S8" s="347"/>
      <c r="T8" s="347"/>
      <c r="U8" s="347"/>
      <c r="V8" s="347">
        <v>10</v>
      </c>
      <c r="W8" s="347"/>
      <c r="X8" s="347"/>
      <c r="Y8" s="347"/>
      <c r="Z8" s="347"/>
      <c r="AA8" s="347"/>
      <c r="AB8" s="347">
        <v>2</v>
      </c>
      <c r="AC8" s="347"/>
      <c r="AD8" s="347"/>
      <c r="AE8" s="347"/>
      <c r="AF8" s="347"/>
      <c r="AG8" s="347"/>
      <c r="AH8" s="347">
        <v>13</v>
      </c>
      <c r="AI8" s="347"/>
      <c r="AJ8" s="347"/>
      <c r="AK8" s="347"/>
      <c r="AL8" s="347"/>
      <c r="AM8" s="347"/>
      <c r="AN8" s="347">
        <v>7</v>
      </c>
      <c r="AO8" s="347"/>
      <c r="AP8" s="347"/>
      <c r="AQ8" s="347"/>
      <c r="AR8" s="347"/>
      <c r="AS8" s="347"/>
      <c r="AT8" s="347">
        <v>10</v>
      </c>
      <c r="AU8" s="347"/>
      <c r="AV8" s="347"/>
      <c r="AW8" s="347"/>
      <c r="AX8" s="347"/>
      <c r="AY8" s="347"/>
      <c r="AZ8" s="347">
        <v>6</v>
      </c>
      <c r="BA8" s="347"/>
      <c r="BB8" s="347"/>
      <c r="BC8" s="347"/>
      <c r="BD8" s="347"/>
      <c r="BE8" s="348"/>
      <c r="BF8" s="383">
        <v>3</v>
      </c>
      <c r="BG8" s="383"/>
      <c r="BH8" s="383"/>
      <c r="BI8" s="383"/>
      <c r="BJ8" s="383"/>
      <c r="BK8" s="384"/>
      <c r="BL8" s="347"/>
      <c r="BM8" s="347"/>
      <c r="BN8" s="347"/>
      <c r="BO8" s="347"/>
      <c r="BP8" s="347"/>
      <c r="BQ8" s="347"/>
      <c r="BR8" s="347"/>
      <c r="BS8" s="347"/>
      <c r="BT8" s="347"/>
      <c r="BU8" s="347"/>
      <c r="BV8" s="347"/>
      <c r="BW8" s="347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3</v>
      </c>
      <c r="G9" s="13">
        <v>2</v>
      </c>
      <c r="H9" s="13">
        <v>1</v>
      </c>
      <c r="I9" s="13">
        <v>2</v>
      </c>
      <c r="J9" s="13">
        <v>0</v>
      </c>
      <c r="K9" s="13">
        <v>2</v>
      </c>
      <c r="L9" s="13">
        <v>1</v>
      </c>
      <c r="M9" s="13">
        <v>1</v>
      </c>
      <c r="N9" s="13">
        <v>0</v>
      </c>
      <c r="O9" s="14">
        <v>1</v>
      </c>
      <c r="P9" s="13">
        <v>1</v>
      </c>
      <c r="Q9" s="13">
        <v>3</v>
      </c>
      <c r="R9" s="13">
        <v>1</v>
      </c>
      <c r="S9" s="13">
        <v>2</v>
      </c>
      <c r="T9" s="13">
        <v>0</v>
      </c>
      <c r="U9" s="13">
        <v>1</v>
      </c>
      <c r="V9" s="13">
        <v>3</v>
      </c>
      <c r="W9" s="13">
        <v>1</v>
      </c>
      <c r="X9" s="13">
        <v>2</v>
      </c>
      <c r="Y9" s="15">
        <v>1</v>
      </c>
      <c r="Z9" s="15">
        <v>1</v>
      </c>
      <c r="AA9" s="16">
        <v>2</v>
      </c>
      <c r="AB9" s="17">
        <v>1</v>
      </c>
      <c r="AC9" s="15">
        <v>0</v>
      </c>
      <c r="AD9" s="15">
        <v>0</v>
      </c>
      <c r="AE9" s="15">
        <v>0</v>
      </c>
      <c r="AF9" s="15">
        <v>1</v>
      </c>
      <c r="AG9" s="16">
        <v>0</v>
      </c>
      <c r="AH9" s="17">
        <v>5</v>
      </c>
      <c r="AI9" s="15">
        <v>1</v>
      </c>
      <c r="AJ9" s="15">
        <v>3</v>
      </c>
      <c r="AK9" s="15">
        <v>1</v>
      </c>
      <c r="AL9" s="15">
        <v>3</v>
      </c>
      <c r="AM9" s="16">
        <v>0</v>
      </c>
      <c r="AN9" s="17">
        <v>1</v>
      </c>
      <c r="AO9" s="15">
        <v>2</v>
      </c>
      <c r="AP9" s="15">
        <v>1</v>
      </c>
      <c r="AQ9" s="15">
        <v>0</v>
      </c>
      <c r="AR9" s="15">
        <v>2</v>
      </c>
      <c r="AS9" s="16">
        <v>1</v>
      </c>
      <c r="AT9" s="17">
        <v>0</v>
      </c>
      <c r="AU9" s="15">
        <v>1</v>
      </c>
      <c r="AV9" s="15">
        <v>2</v>
      </c>
      <c r="AW9" s="15">
        <v>0</v>
      </c>
      <c r="AX9" s="15">
        <v>2</v>
      </c>
      <c r="AY9" s="16">
        <v>5</v>
      </c>
      <c r="AZ9" s="17">
        <v>1</v>
      </c>
      <c r="BA9" s="15">
        <v>0</v>
      </c>
      <c r="BB9" s="15">
        <v>3</v>
      </c>
      <c r="BC9" s="15">
        <v>1</v>
      </c>
      <c r="BD9" s="15">
        <v>1</v>
      </c>
      <c r="BE9" s="15">
        <v>0</v>
      </c>
      <c r="BF9" s="18">
        <v>1</v>
      </c>
      <c r="BG9" s="18">
        <v>0</v>
      </c>
      <c r="BH9" s="18">
        <v>1</v>
      </c>
      <c r="BI9" s="18">
        <v>1</v>
      </c>
      <c r="BJ9" s="18">
        <v>0</v>
      </c>
      <c r="BK9" s="19">
        <v>0</v>
      </c>
      <c r="BL9" s="13"/>
      <c r="BM9" s="13"/>
      <c r="BN9" s="13"/>
      <c r="BO9" s="13"/>
      <c r="BP9" s="13"/>
      <c r="BQ9" s="13"/>
      <c r="BR9" s="13"/>
      <c r="BS9" s="13"/>
      <c r="BT9" s="13"/>
      <c r="BU9" s="15"/>
      <c r="BV9" s="15"/>
      <c r="BW9" s="16"/>
    </row>
    <row r="10" spans="2:75" ht="17" thickBot="1" x14ac:dyDescent="0.5">
      <c r="B10" s="352"/>
      <c r="C10" s="118" t="s">
        <v>44</v>
      </c>
      <c r="D10" s="21"/>
      <c r="E10" s="21"/>
      <c r="F10" s="21"/>
      <c r="G10" s="21">
        <v>1</v>
      </c>
      <c r="H10" s="21"/>
      <c r="I10" s="21"/>
      <c r="J10" s="21"/>
      <c r="K10" s="21"/>
      <c r="L10" s="21">
        <v>1</v>
      </c>
      <c r="M10" s="21"/>
      <c r="N10" s="21"/>
      <c r="O10" s="22"/>
      <c r="P10" s="21">
        <v>1</v>
      </c>
      <c r="Q10" s="21">
        <v>1</v>
      </c>
      <c r="R10" s="21"/>
      <c r="S10" s="21"/>
      <c r="T10" s="21"/>
      <c r="U10" s="21"/>
      <c r="V10" s="21">
        <v>3</v>
      </c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>
        <v>1</v>
      </c>
      <c r="AK10" s="23"/>
      <c r="AL10" s="23">
        <v>1</v>
      </c>
      <c r="AM10" s="24"/>
      <c r="AN10" s="25"/>
      <c r="AO10" s="23"/>
      <c r="AP10" s="23"/>
      <c r="AQ10" s="23"/>
      <c r="AR10" s="23">
        <v>2</v>
      </c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1"/>
      <c r="BG10" s="21"/>
      <c r="BH10" s="21">
        <v>1</v>
      </c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/>
    </row>
    <row r="11" spans="2:75" ht="17" thickBot="1" x14ac:dyDescent="0.5">
      <c r="B11" s="352"/>
      <c r="C11" s="37" t="s">
        <v>45</v>
      </c>
      <c r="D11" s="21"/>
      <c r="E11" s="21"/>
      <c r="F11" s="21">
        <v>3</v>
      </c>
      <c r="G11" s="21">
        <v>1</v>
      </c>
      <c r="H11" s="21">
        <v>1</v>
      </c>
      <c r="I11" s="21"/>
      <c r="J11" s="21"/>
      <c r="K11" s="21">
        <v>1</v>
      </c>
      <c r="L11" s="21"/>
      <c r="M11" s="21">
        <v>1</v>
      </c>
      <c r="N11" s="21"/>
      <c r="O11" s="22">
        <v>1</v>
      </c>
      <c r="P11" s="21"/>
      <c r="Q11" s="21">
        <v>1</v>
      </c>
      <c r="R11" s="21">
        <v>1</v>
      </c>
      <c r="S11" s="21">
        <v>2</v>
      </c>
      <c r="T11" s="21"/>
      <c r="U11" s="21"/>
      <c r="V11" s="21"/>
      <c r="W11" s="21">
        <v>1</v>
      </c>
      <c r="X11" s="21">
        <v>2</v>
      </c>
      <c r="Y11" s="23">
        <v>1</v>
      </c>
      <c r="Z11" s="23">
        <v>1</v>
      </c>
      <c r="AA11" s="24">
        <v>2</v>
      </c>
      <c r="AB11" s="25">
        <v>1</v>
      </c>
      <c r="AC11" s="23"/>
      <c r="AD11" s="23"/>
      <c r="AE11" s="23"/>
      <c r="AF11" s="23"/>
      <c r="AG11" s="23"/>
      <c r="AH11" s="23">
        <v>5</v>
      </c>
      <c r="AI11" s="23">
        <v>1</v>
      </c>
      <c r="AJ11" s="23">
        <v>2</v>
      </c>
      <c r="AK11" s="23">
        <v>1</v>
      </c>
      <c r="AL11" s="23">
        <v>2</v>
      </c>
      <c r="AM11" s="24"/>
      <c r="AN11" s="25">
        <v>1</v>
      </c>
      <c r="AO11" s="23">
        <v>2</v>
      </c>
      <c r="AP11" s="23">
        <v>1</v>
      </c>
      <c r="AQ11" s="23"/>
      <c r="AR11" s="23"/>
      <c r="AS11" s="23"/>
      <c r="AT11" s="23"/>
      <c r="AU11" s="23">
        <v>1</v>
      </c>
      <c r="AV11" s="23">
        <v>2</v>
      </c>
      <c r="AW11" s="23"/>
      <c r="AX11" s="23">
        <v>2</v>
      </c>
      <c r="AY11" s="24">
        <v>5</v>
      </c>
      <c r="AZ11" s="25">
        <v>1</v>
      </c>
      <c r="BA11" s="23"/>
      <c r="BB11" s="23"/>
      <c r="BC11" s="23">
        <v>1</v>
      </c>
      <c r="BD11" s="23">
        <v>1</v>
      </c>
      <c r="BE11" s="23"/>
      <c r="BF11" s="21">
        <v>1</v>
      </c>
      <c r="BG11" s="21"/>
      <c r="BH11" s="21"/>
      <c r="BI11" s="21">
        <v>1</v>
      </c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24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>
        <v>1</v>
      </c>
      <c r="J12" s="26"/>
      <c r="K12" s="26">
        <v>1</v>
      </c>
      <c r="L12" s="26"/>
      <c r="M12" s="26"/>
      <c r="N12" s="26"/>
      <c r="O12" s="27"/>
      <c r="P12" s="26"/>
      <c r="Q12" s="26"/>
      <c r="R12" s="26"/>
      <c r="S12" s="26"/>
      <c r="T12" s="26"/>
      <c r="U12" s="26">
        <v>1</v>
      </c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>
        <v>1</v>
      </c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>
        <v>1</v>
      </c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>
        <v>1</v>
      </c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>
        <v>1</v>
      </c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>
        <v>1</v>
      </c>
      <c r="AT14" s="26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7:B14"/>
    <mergeCell ref="D7:O7"/>
    <mergeCell ref="P7:AA7"/>
    <mergeCell ref="AB7:AM7"/>
    <mergeCell ref="AN7:AY7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F823-5815-43F7-B5B4-813B9FD39B42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220</v>
      </c>
      <c r="C7" s="60" t="s">
        <v>48</v>
      </c>
      <c r="D7" s="354"/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/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/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/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55"/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55"/>
    </row>
    <row r="8" spans="2:75" ht="17" thickBot="1" x14ac:dyDescent="0.5">
      <c r="B8" s="352"/>
      <c r="C8" s="60" t="s">
        <v>47</v>
      </c>
      <c r="D8" s="356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  <c r="AH8" s="347"/>
      <c r="AI8" s="347"/>
      <c r="AJ8" s="347"/>
      <c r="AK8" s="347"/>
      <c r="AL8" s="347"/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7"/>
      <c r="BF8" s="382"/>
      <c r="BG8" s="383"/>
      <c r="BH8" s="383"/>
      <c r="BI8" s="383"/>
      <c r="BJ8" s="383"/>
      <c r="BK8" s="384"/>
      <c r="BL8" s="347"/>
      <c r="BM8" s="347"/>
      <c r="BN8" s="347"/>
      <c r="BO8" s="347"/>
      <c r="BP8" s="347"/>
      <c r="BQ8" s="347"/>
      <c r="BR8" s="347"/>
      <c r="BS8" s="347"/>
      <c r="BT8" s="347"/>
      <c r="BU8" s="347"/>
      <c r="BV8" s="347"/>
      <c r="BW8" s="347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0</v>
      </c>
      <c r="G9" s="13">
        <v>0</v>
      </c>
      <c r="H9" s="13">
        <v>0</v>
      </c>
      <c r="I9" s="13">
        <v>1</v>
      </c>
      <c r="J9" s="13">
        <v>0</v>
      </c>
      <c r="K9" s="13">
        <v>0</v>
      </c>
      <c r="L9" s="13">
        <v>1</v>
      </c>
      <c r="M9" s="13">
        <v>0</v>
      </c>
      <c r="N9" s="13">
        <v>1</v>
      </c>
      <c r="O9" s="14">
        <v>0</v>
      </c>
      <c r="P9" s="13">
        <v>0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0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0</v>
      </c>
      <c r="AJ9" s="15">
        <v>0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0</v>
      </c>
      <c r="AR9" s="15">
        <v>0</v>
      </c>
      <c r="AS9" s="16">
        <v>0</v>
      </c>
      <c r="AT9" s="17">
        <v>1</v>
      </c>
      <c r="AU9" s="15">
        <v>0</v>
      </c>
      <c r="AV9" s="15">
        <v>0</v>
      </c>
      <c r="AW9" s="15">
        <v>0</v>
      </c>
      <c r="AX9" s="15">
        <v>0</v>
      </c>
      <c r="AY9" s="16">
        <v>0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6">
        <v>0</v>
      </c>
      <c r="BF9" s="35">
        <v>0</v>
      </c>
      <c r="BG9" s="18">
        <v>0</v>
      </c>
      <c r="BH9" s="18">
        <v>0</v>
      </c>
      <c r="BI9" s="18">
        <v>0</v>
      </c>
      <c r="BJ9" s="18">
        <v>1</v>
      </c>
      <c r="BK9" s="19">
        <v>1</v>
      </c>
      <c r="BL9" s="13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1</v>
      </c>
      <c r="BW9" s="16">
        <v>1</v>
      </c>
    </row>
    <row r="10" spans="2:75" ht="17" thickBot="1" x14ac:dyDescent="0.5">
      <c r="B10" s="352"/>
      <c r="C10" s="118" t="s">
        <v>44</v>
      </c>
      <c r="D10" s="21"/>
      <c r="E10" s="21"/>
      <c r="F10" s="21"/>
      <c r="G10" s="21"/>
      <c r="H10" s="21"/>
      <c r="I10" s="21">
        <v>1</v>
      </c>
      <c r="J10" s="21"/>
      <c r="K10" s="21"/>
      <c r="L10" s="21"/>
      <c r="M10" s="21"/>
      <c r="N10" s="21"/>
      <c r="O10" s="22"/>
      <c r="P10" s="21"/>
      <c r="Q10" s="21"/>
      <c r="R10" s="21"/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/>
      <c r="AN10" s="25"/>
      <c r="AO10" s="23"/>
      <c r="AP10" s="23"/>
      <c r="AQ10" s="23"/>
      <c r="AR10" s="23"/>
      <c r="AS10" s="23"/>
      <c r="AT10" s="23">
        <v>1</v>
      </c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9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24">
        <v>1</v>
      </c>
    </row>
    <row r="11" spans="2:75" ht="17" thickBot="1" x14ac:dyDescent="0.5">
      <c r="B11" s="352"/>
      <c r="C11" s="37" t="s">
        <v>45</v>
      </c>
      <c r="D11" s="21"/>
      <c r="E11" s="21"/>
      <c r="F11" s="21"/>
      <c r="G11" s="21"/>
      <c r="H11" s="21"/>
      <c r="I11" s="21"/>
      <c r="J11" s="21"/>
      <c r="K11" s="21"/>
      <c r="L11" s="21">
        <v>1</v>
      </c>
      <c r="M11" s="21"/>
      <c r="N11" s="21">
        <v>1</v>
      </c>
      <c r="O11" s="22"/>
      <c r="P11" s="21"/>
      <c r="Q11" s="21"/>
      <c r="R11" s="21">
        <v>1</v>
      </c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4"/>
      <c r="AZ11" s="25"/>
      <c r="BA11" s="23"/>
      <c r="BB11" s="23"/>
      <c r="BC11" s="23"/>
      <c r="BD11" s="23"/>
      <c r="BE11" s="23"/>
      <c r="BF11" s="29"/>
      <c r="BG11" s="21"/>
      <c r="BH11" s="21"/>
      <c r="BI11" s="21"/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>
        <v>1</v>
      </c>
      <c r="BW11" s="24"/>
    </row>
    <row r="12" spans="2:75" ht="17" thickBot="1" x14ac:dyDescent="0.35">
      <c r="B12" s="352"/>
      <c r="C12" s="57" t="s">
        <v>46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8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7"/>
    </row>
    <row r="13" spans="2:75" ht="17" thickBot="1" x14ac:dyDescent="0.35">
      <c r="B13" s="352"/>
      <c r="C13" s="37" t="s">
        <v>72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8"/>
      <c r="BG13" s="26"/>
      <c r="BH13" s="26"/>
      <c r="BI13" s="26"/>
      <c r="BJ13" s="26">
        <v>1</v>
      </c>
      <c r="BK13" s="27">
        <v>1</v>
      </c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7"/>
    </row>
    <row r="14" spans="2:75" ht="17" thickBot="1" x14ac:dyDescent="0.35">
      <c r="B14" s="353"/>
      <c r="C14" s="37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8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7"/>
      <c r="AN14" s="28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7"/>
      <c r="AZ14" s="28"/>
      <c r="BA14" s="26"/>
      <c r="BB14" s="26"/>
      <c r="BC14" s="26"/>
      <c r="BD14" s="26"/>
      <c r="BE14" s="26"/>
      <c r="BF14" s="28"/>
      <c r="BG14" s="26"/>
      <c r="BH14" s="26"/>
      <c r="BI14" s="26"/>
      <c r="BJ14" s="26"/>
      <c r="BK14" s="27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7"/>
    </row>
  </sheetData>
  <mergeCells count="28"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7:B14"/>
    <mergeCell ref="D7:O7"/>
    <mergeCell ref="P7:AA7"/>
    <mergeCell ref="AB7:AM7"/>
    <mergeCell ref="AN7:AY7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85B6E-3A55-41A0-8D63-B207CBC6308D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66"/>
      <c r="C2" s="366"/>
      <c r="D2" s="366"/>
      <c r="E2" s="366"/>
      <c r="F2" s="366"/>
      <c r="G2" s="366"/>
    </row>
    <row r="3" spans="2:75" ht="15" thickBot="1" x14ac:dyDescent="0.35"/>
    <row r="4" spans="2:75" ht="17" thickBot="1" x14ac:dyDescent="0.5">
      <c r="B4" s="337" t="s">
        <v>35</v>
      </c>
      <c r="C4" s="364"/>
      <c r="D4" s="341" t="s">
        <v>43</v>
      </c>
      <c r="E4" s="342"/>
      <c r="F4" s="342"/>
      <c r="G4" s="342"/>
      <c r="H4" s="342"/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2"/>
      <c r="AC4" s="342"/>
      <c r="AD4" s="342"/>
      <c r="AE4" s="342"/>
      <c r="AF4" s="342"/>
      <c r="AG4" s="342"/>
      <c r="AH4" s="342"/>
      <c r="AI4" s="342"/>
      <c r="AJ4" s="342"/>
      <c r="AK4" s="342"/>
      <c r="AL4" s="342"/>
      <c r="AM4" s="342"/>
      <c r="AN4" s="342"/>
      <c r="AO4" s="342"/>
      <c r="AP4" s="342"/>
      <c r="AQ4" s="342"/>
      <c r="AR4" s="342"/>
      <c r="AS4" s="342"/>
      <c r="AT4" s="342"/>
      <c r="AU4" s="342"/>
      <c r="AV4" s="342"/>
      <c r="AW4" s="342"/>
      <c r="AX4" s="342"/>
      <c r="AY4" s="342"/>
      <c r="AZ4" s="342"/>
      <c r="BA4" s="342"/>
      <c r="BB4" s="342"/>
      <c r="BC4" s="342"/>
      <c r="BD4" s="342"/>
      <c r="BE4" s="342"/>
      <c r="BF4" s="342"/>
      <c r="BG4" s="342"/>
      <c r="BH4" s="342"/>
      <c r="BI4" s="342"/>
      <c r="BJ4" s="342"/>
      <c r="BK4" s="342"/>
      <c r="BL4" s="342"/>
      <c r="BM4" s="342"/>
      <c r="BN4" s="342"/>
      <c r="BO4" s="342"/>
      <c r="BP4" s="342"/>
      <c r="BQ4" s="342"/>
      <c r="BR4" s="342"/>
      <c r="BS4" s="342"/>
      <c r="BT4" s="342"/>
      <c r="BU4" s="342"/>
      <c r="BV4" s="342"/>
      <c r="BW4" s="343"/>
    </row>
    <row r="5" spans="2:75" ht="17" thickBot="1" x14ac:dyDescent="0.5">
      <c r="B5" s="338"/>
      <c r="C5" s="365"/>
      <c r="D5" s="344" t="s">
        <v>42</v>
      </c>
      <c r="E5" s="345"/>
      <c r="F5" s="345"/>
      <c r="G5" s="345"/>
      <c r="H5" s="345"/>
      <c r="I5" s="345"/>
      <c r="J5" s="345"/>
      <c r="K5" s="345"/>
      <c r="L5" s="345"/>
      <c r="M5" s="345"/>
      <c r="N5" s="345"/>
      <c r="O5" s="346"/>
      <c r="P5" s="344" t="s">
        <v>27</v>
      </c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6"/>
      <c r="AB5" s="341" t="s">
        <v>28</v>
      </c>
      <c r="AC5" s="342"/>
      <c r="AD5" s="342"/>
      <c r="AE5" s="342"/>
      <c r="AF5" s="342"/>
      <c r="AG5" s="342"/>
      <c r="AH5" s="342"/>
      <c r="AI5" s="342"/>
      <c r="AJ5" s="342"/>
      <c r="AK5" s="342"/>
      <c r="AL5" s="342"/>
      <c r="AM5" s="343"/>
      <c r="AN5" s="341" t="s">
        <v>29</v>
      </c>
      <c r="AO5" s="342"/>
      <c r="AP5" s="342"/>
      <c r="AQ5" s="342"/>
      <c r="AR5" s="342"/>
      <c r="AS5" s="342"/>
      <c r="AT5" s="342"/>
      <c r="AU5" s="342"/>
      <c r="AV5" s="342"/>
      <c r="AW5" s="342"/>
      <c r="AX5" s="342"/>
      <c r="AY5" s="343"/>
      <c r="AZ5" s="341" t="s">
        <v>30</v>
      </c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3"/>
      <c r="BL5" s="341" t="s">
        <v>34</v>
      </c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3"/>
    </row>
    <row r="6" spans="2:75" ht="17" thickBot="1" x14ac:dyDescent="0.5">
      <c r="B6" s="11" t="s">
        <v>0</v>
      </c>
      <c r="C6" s="20" t="s">
        <v>50</v>
      </c>
      <c r="D6" s="6" t="s">
        <v>12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7" t="s">
        <v>5</v>
      </c>
      <c r="M6" s="7" t="s">
        <v>7</v>
      </c>
      <c r="N6" s="7" t="s">
        <v>9</v>
      </c>
      <c r="O6" s="8" t="s">
        <v>11</v>
      </c>
      <c r="P6" s="6" t="s">
        <v>12</v>
      </c>
      <c r="Q6" s="7" t="s">
        <v>14</v>
      </c>
      <c r="R6" s="7" t="s">
        <v>15</v>
      </c>
      <c r="S6" s="7" t="s">
        <v>16</v>
      </c>
      <c r="T6" s="7" t="s">
        <v>17</v>
      </c>
      <c r="U6" s="7" t="s">
        <v>18</v>
      </c>
      <c r="V6" s="7" t="s">
        <v>19</v>
      </c>
      <c r="W6" s="7" t="s">
        <v>20</v>
      </c>
      <c r="X6" s="7" t="s">
        <v>5</v>
      </c>
      <c r="Y6" s="7" t="s">
        <v>7</v>
      </c>
      <c r="Z6" s="7" t="s">
        <v>9</v>
      </c>
      <c r="AA6" s="8" t="s">
        <v>11</v>
      </c>
      <c r="AB6" s="12" t="s">
        <v>13</v>
      </c>
      <c r="AC6" s="7" t="s">
        <v>14</v>
      </c>
      <c r="AD6" s="7" t="s">
        <v>15</v>
      </c>
      <c r="AE6" s="7" t="s">
        <v>16</v>
      </c>
      <c r="AF6" s="7" t="s">
        <v>17</v>
      </c>
      <c r="AG6" s="7" t="s">
        <v>18</v>
      </c>
      <c r="AH6" s="7" t="s">
        <v>19</v>
      </c>
      <c r="AI6" s="7" t="s">
        <v>20</v>
      </c>
      <c r="AJ6" s="7" t="s">
        <v>5</v>
      </c>
      <c r="AK6" s="7" t="s">
        <v>6</v>
      </c>
      <c r="AL6" s="7" t="s">
        <v>8</v>
      </c>
      <c r="AM6" s="8" t="s">
        <v>10</v>
      </c>
      <c r="AN6" s="6" t="s">
        <v>13</v>
      </c>
      <c r="AO6" s="7" t="s">
        <v>14</v>
      </c>
      <c r="AP6" s="7" t="s">
        <v>15</v>
      </c>
      <c r="AQ6" s="7" t="s">
        <v>16</v>
      </c>
      <c r="AR6" s="7" t="s">
        <v>17</v>
      </c>
      <c r="AS6" s="7" t="s">
        <v>18</v>
      </c>
      <c r="AT6" s="7" t="s">
        <v>19</v>
      </c>
      <c r="AU6" s="7" t="s">
        <v>20</v>
      </c>
      <c r="AV6" s="7" t="s">
        <v>5</v>
      </c>
      <c r="AW6" s="7" t="s">
        <v>6</v>
      </c>
      <c r="AX6" s="7" t="s">
        <v>8</v>
      </c>
      <c r="AY6" s="8" t="s">
        <v>10</v>
      </c>
      <c r="AZ6" s="6" t="s">
        <v>13</v>
      </c>
      <c r="BA6" s="7" t="s">
        <v>14</v>
      </c>
      <c r="BB6" s="7" t="s">
        <v>15</v>
      </c>
      <c r="BC6" s="7" t="s">
        <v>16</v>
      </c>
      <c r="BD6" s="7" t="s">
        <v>17</v>
      </c>
      <c r="BE6" s="7" t="s">
        <v>18</v>
      </c>
      <c r="BF6" s="7" t="s">
        <v>19</v>
      </c>
      <c r="BG6" s="7" t="s">
        <v>20</v>
      </c>
      <c r="BH6" s="7" t="s">
        <v>5</v>
      </c>
      <c r="BI6" s="7" t="s">
        <v>6</v>
      </c>
      <c r="BJ6" s="7" t="s">
        <v>8</v>
      </c>
      <c r="BK6" s="8" t="s">
        <v>10</v>
      </c>
      <c r="BL6" s="6" t="s">
        <v>13</v>
      </c>
      <c r="BM6" s="7" t="s">
        <v>14</v>
      </c>
      <c r="BN6" s="7" t="s">
        <v>15</v>
      </c>
      <c r="BO6" s="7" t="s">
        <v>16</v>
      </c>
      <c r="BP6" s="7" t="s">
        <v>17</v>
      </c>
      <c r="BQ6" s="7" t="s">
        <v>18</v>
      </c>
      <c r="BR6" s="7" t="s">
        <v>19</v>
      </c>
      <c r="BS6" s="7" t="s">
        <v>20</v>
      </c>
      <c r="BT6" s="7" t="s">
        <v>5</v>
      </c>
      <c r="BU6" s="7" t="s">
        <v>6</v>
      </c>
      <c r="BV6" s="7" t="s">
        <v>8</v>
      </c>
      <c r="BW6" s="8" t="s">
        <v>10</v>
      </c>
    </row>
    <row r="7" spans="2:75" ht="17" thickBot="1" x14ac:dyDescent="0.5">
      <c r="B7" s="351" t="s">
        <v>214</v>
      </c>
      <c r="C7" s="60" t="s">
        <v>48</v>
      </c>
      <c r="D7" s="354"/>
      <c r="E7" s="355"/>
      <c r="F7" s="355"/>
      <c r="G7" s="355"/>
      <c r="H7" s="355"/>
      <c r="I7" s="355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60"/>
      <c r="AC7" s="361"/>
      <c r="AD7" s="361"/>
      <c r="AE7" s="361"/>
      <c r="AF7" s="361"/>
      <c r="AG7" s="361"/>
      <c r="AH7" s="361"/>
      <c r="AI7" s="361"/>
      <c r="AJ7" s="361"/>
      <c r="AK7" s="361"/>
      <c r="AL7" s="361"/>
      <c r="AM7" s="362"/>
      <c r="AN7" s="360"/>
      <c r="AO7" s="361"/>
      <c r="AP7" s="361"/>
      <c r="AQ7" s="361"/>
      <c r="AR7" s="361"/>
      <c r="AS7" s="361"/>
      <c r="AT7" s="361"/>
      <c r="AU7" s="361"/>
      <c r="AV7" s="361"/>
      <c r="AW7" s="361"/>
      <c r="AX7" s="361"/>
      <c r="AY7" s="362"/>
      <c r="AZ7" s="360"/>
      <c r="BA7" s="361"/>
      <c r="BB7" s="361"/>
      <c r="BC7" s="361"/>
      <c r="BD7" s="361"/>
      <c r="BE7" s="361"/>
      <c r="BF7" s="361"/>
      <c r="BG7" s="361"/>
      <c r="BH7" s="361"/>
      <c r="BI7" s="361"/>
      <c r="BJ7" s="361"/>
      <c r="BK7" s="362"/>
      <c r="BL7" s="355"/>
      <c r="BM7" s="355"/>
      <c r="BN7" s="355"/>
      <c r="BO7" s="355"/>
      <c r="BP7" s="355"/>
      <c r="BQ7" s="355"/>
      <c r="BR7" s="355"/>
      <c r="BS7" s="355"/>
      <c r="BT7" s="355"/>
      <c r="BU7" s="355"/>
      <c r="BV7" s="355"/>
      <c r="BW7" s="363"/>
    </row>
    <row r="8" spans="2:75" ht="17" thickBot="1" x14ac:dyDescent="0.5">
      <c r="B8" s="352"/>
      <c r="C8" s="60" t="s">
        <v>47</v>
      </c>
      <c r="D8" s="356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  <c r="AH8" s="347"/>
      <c r="AI8" s="347"/>
      <c r="AJ8" s="347"/>
      <c r="AK8" s="347"/>
      <c r="AL8" s="347"/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8"/>
      <c r="BF8" s="383"/>
      <c r="BG8" s="383"/>
      <c r="BH8" s="383"/>
      <c r="BI8" s="383"/>
      <c r="BJ8" s="383"/>
      <c r="BK8" s="384"/>
      <c r="BL8" s="347"/>
      <c r="BM8" s="347"/>
      <c r="BN8" s="347"/>
      <c r="BO8" s="347"/>
      <c r="BP8" s="347"/>
      <c r="BQ8" s="347"/>
      <c r="BR8" s="347"/>
      <c r="BS8" s="347"/>
      <c r="BT8" s="347"/>
      <c r="BU8" s="347"/>
      <c r="BV8" s="347"/>
      <c r="BW8" s="359"/>
    </row>
    <row r="9" spans="2:75" ht="17" thickBot="1" x14ac:dyDescent="0.5">
      <c r="B9" s="352"/>
      <c r="C9" s="58" t="s">
        <v>49</v>
      </c>
      <c r="D9" s="30">
        <v>0</v>
      </c>
      <c r="E9" s="13">
        <v>0</v>
      </c>
      <c r="F9" s="13">
        <v>1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4">
        <v>1</v>
      </c>
      <c r="P9" s="13">
        <v>0</v>
      </c>
      <c r="Q9" s="13">
        <v>0</v>
      </c>
      <c r="R9" s="13">
        <v>1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5">
        <v>1</v>
      </c>
      <c r="Z9" s="15">
        <v>0</v>
      </c>
      <c r="AA9" s="16">
        <v>0</v>
      </c>
      <c r="AB9" s="17">
        <v>0</v>
      </c>
      <c r="AC9" s="15">
        <v>0</v>
      </c>
      <c r="AD9" s="15">
        <v>0</v>
      </c>
      <c r="AE9" s="15">
        <v>0</v>
      </c>
      <c r="AF9" s="15">
        <v>0</v>
      </c>
      <c r="AG9" s="16">
        <v>0</v>
      </c>
      <c r="AH9" s="17">
        <v>0</v>
      </c>
      <c r="AI9" s="15">
        <v>0</v>
      </c>
      <c r="AJ9" s="15">
        <v>1</v>
      </c>
      <c r="AK9" s="15">
        <v>0</v>
      </c>
      <c r="AL9" s="15">
        <v>0</v>
      </c>
      <c r="AM9" s="16">
        <v>0</v>
      </c>
      <c r="AN9" s="17">
        <v>0</v>
      </c>
      <c r="AO9" s="15">
        <v>0</v>
      </c>
      <c r="AP9" s="15">
        <v>0</v>
      </c>
      <c r="AQ9" s="15">
        <v>1</v>
      </c>
      <c r="AR9" s="15">
        <v>0</v>
      </c>
      <c r="AS9" s="16">
        <v>0</v>
      </c>
      <c r="AT9" s="17">
        <v>0</v>
      </c>
      <c r="AU9" s="15">
        <v>1</v>
      </c>
      <c r="AV9" s="15">
        <v>0</v>
      </c>
      <c r="AW9" s="15">
        <v>0</v>
      </c>
      <c r="AX9" s="15">
        <v>0</v>
      </c>
      <c r="AY9" s="16">
        <v>1</v>
      </c>
      <c r="AZ9" s="17">
        <v>0</v>
      </c>
      <c r="BA9" s="15">
        <v>0</v>
      </c>
      <c r="BB9" s="15">
        <v>0</v>
      </c>
      <c r="BC9" s="15">
        <v>0</v>
      </c>
      <c r="BD9" s="15">
        <v>0</v>
      </c>
      <c r="BE9" s="15">
        <v>0</v>
      </c>
      <c r="BF9" s="18">
        <v>1</v>
      </c>
      <c r="BG9" s="18">
        <v>0</v>
      </c>
      <c r="BH9" s="18">
        <v>0</v>
      </c>
      <c r="BI9" s="18">
        <v>0</v>
      </c>
      <c r="BJ9" s="18">
        <v>0</v>
      </c>
      <c r="BK9" s="19">
        <v>0</v>
      </c>
      <c r="BL9" s="13">
        <v>0</v>
      </c>
      <c r="BM9" s="13">
        <v>0</v>
      </c>
      <c r="BN9" s="13">
        <v>0</v>
      </c>
      <c r="BO9" s="13">
        <v>0</v>
      </c>
      <c r="BP9" s="13">
        <v>0</v>
      </c>
      <c r="BQ9" s="13">
        <v>0</v>
      </c>
      <c r="BR9" s="13">
        <v>0</v>
      </c>
      <c r="BS9" s="13">
        <v>0</v>
      </c>
      <c r="BT9" s="13">
        <v>0</v>
      </c>
      <c r="BU9" s="15">
        <v>0</v>
      </c>
      <c r="BV9" s="15">
        <v>1</v>
      </c>
      <c r="BW9" s="98">
        <v>1</v>
      </c>
    </row>
    <row r="10" spans="2:75" ht="17" thickBot="1" x14ac:dyDescent="0.5">
      <c r="B10" s="352"/>
      <c r="C10" s="118" t="s">
        <v>44</v>
      </c>
      <c r="D10" s="31"/>
      <c r="E10" s="21"/>
      <c r="F10" s="21">
        <v>1</v>
      </c>
      <c r="G10" s="21"/>
      <c r="H10" s="21"/>
      <c r="I10" s="21"/>
      <c r="J10" s="21"/>
      <c r="K10" s="21"/>
      <c r="L10" s="21"/>
      <c r="M10" s="21"/>
      <c r="N10" s="21"/>
      <c r="O10" s="22"/>
      <c r="P10" s="21"/>
      <c r="Q10" s="21"/>
      <c r="R10" s="21">
        <v>1</v>
      </c>
      <c r="S10" s="21"/>
      <c r="T10" s="21"/>
      <c r="U10" s="21"/>
      <c r="V10" s="21"/>
      <c r="W10" s="21"/>
      <c r="X10" s="21"/>
      <c r="Y10" s="23"/>
      <c r="Z10" s="23"/>
      <c r="AA10" s="24"/>
      <c r="AB10" s="25"/>
      <c r="AC10" s="23"/>
      <c r="AD10" s="23"/>
      <c r="AE10" s="23"/>
      <c r="AF10" s="23"/>
      <c r="AG10" s="23"/>
      <c r="AH10" s="23"/>
      <c r="AI10" s="23"/>
      <c r="AJ10" s="23">
        <v>1</v>
      </c>
      <c r="AK10" s="23"/>
      <c r="AL10" s="23"/>
      <c r="AM10" s="24"/>
      <c r="AN10" s="25"/>
      <c r="AO10" s="23"/>
      <c r="AP10" s="23"/>
      <c r="AQ10" s="23">
        <v>1</v>
      </c>
      <c r="AR10" s="23"/>
      <c r="AS10" s="23"/>
      <c r="AT10" s="23"/>
      <c r="AU10" s="23"/>
      <c r="AV10" s="23"/>
      <c r="AW10" s="23"/>
      <c r="AX10" s="23"/>
      <c r="AY10" s="24"/>
      <c r="AZ10" s="25"/>
      <c r="BA10" s="23"/>
      <c r="BB10" s="23"/>
      <c r="BC10" s="23"/>
      <c r="BD10" s="23"/>
      <c r="BE10" s="23"/>
      <c r="BF10" s="21"/>
      <c r="BG10" s="21"/>
      <c r="BH10" s="21"/>
      <c r="BI10" s="21"/>
      <c r="BJ10" s="21"/>
      <c r="BK10" s="22"/>
      <c r="BL10" s="21"/>
      <c r="BM10" s="21"/>
      <c r="BN10" s="21"/>
      <c r="BO10" s="21"/>
      <c r="BP10" s="21"/>
      <c r="BQ10" s="21"/>
      <c r="BR10" s="21"/>
      <c r="BS10" s="21"/>
      <c r="BT10" s="21"/>
      <c r="BU10" s="23"/>
      <c r="BV10" s="23"/>
      <c r="BW10" s="32"/>
    </row>
    <row r="11" spans="2:75" ht="17" thickBot="1" x14ac:dyDescent="0.5">
      <c r="B11" s="352"/>
      <c r="C11" s="37" t="s">
        <v>45</v>
      </c>
      <c r="D11" s="3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2">
        <v>1</v>
      </c>
      <c r="P11" s="21"/>
      <c r="Q11" s="21"/>
      <c r="R11" s="21"/>
      <c r="S11" s="21"/>
      <c r="T11" s="21"/>
      <c r="U11" s="21"/>
      <c r="V11" s="21"/>
      <c r="W11" s="21"/>
      <c r="X11" s="21"/>
      <c r="Y11" s="23"/>
      <c r="Z11" s="23"/>
      <c r="AA11" s="24"/>
      <c r="AB11" s="25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/>
      <c r="AN11" s="25"/>
      <c r="AO11" s="23"/>
      <c r="AP11" s="23"/>
      <c r="AQ11" s="23"/>
      <c r="AR11" s="23"/>
      <c r="AS11" s="23"/>
      <c r="AT11" s="23"/>
      <c r="AU11" s="23">
        <v>1</v>
      </c>
      <c r="AV11" s="23"/>
      <c r="AW11" s="23"/>
      <c r="AX11" s="23"/>
      <c r="AY11" s="24">
        <v>1</v>
      </c>
      <c r="AZ11" s="25"/>
      <c r="BA11" s="23"/>
      <c r="BB11" s="23"/>
      <c r="BC11" s="23"/>
      <c r="BD11" s="23"/>
      <c r="BE11" s="23"/>
      <c r="BF11" s="21">
        <v>1</v>
      </c>
      <c r="BG11" s="21"/>
      <c r="BH11" s="21"/>
      <c r="BI11" s="21"/>
      <c r="BJ11" s="21"/>
      <c r="BK11" s="22"/>
      <c r="BL11" s="21"/>
      <c r="BM11" s="21"/>
      <c r="BN11" s="21"/>
      <c r="BO11" s="21"/>
      <c r="BP11" s="21"/>
      <c r="BQ11" s="21"/>
      <c r="BR11" s="21"/>
      <c r="BS11" s="21"/>
      <c r="BT11" s="21"/>
      <c r="BU11" s="23"/>
      <c r="BV11" s="23"/>
      <c r="BW11" s="32">
        <v>1</v>
      </c>
    </row>
    <row r="12" spans="2:75" ht="17" thickBot="1" x14ac:dyDescent="0.35">
      <c r="B12" s="352"/>
      <c r="C12" s="57" t="s">
        <v>46</v>
      </c>
      <c r="D12" s="33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8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7"/>
      <c r="AN12" s="28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7"/>
      <c r="AZ12" s="28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7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34"/>
    </row>
    <row r="13" spans="2:75" ht="17" thickBot="1" x14ac:dyDescent="0.35">
      <c r="B13" s="352"/>
      <c r="C13" s="37" t="s">
        <v>72</v>
      </c>
      <c r="D13" s="33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8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7"/>
      <c r="AN13" s="28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7"/>
      <c r="AZ13" s="28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7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>
        <v>1</v>
      </c>
      <c r="BW13" s="34"/>
    </row>
    <row r="14" spans="2:75" ht="17" thickBot="1" x14ac:dyDescent="0.35">
      <c r="B14" s="353"/>
      <c r="C14" s="37" t="s">
        <v>51</v>
      </c>
      <c r="D14" s="61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/>
      <c r="P14" s="39"/>
      <c r="Q14" s="39"/>
      <c r="R14" s="39"/>
      <c r="S14" s="39"/>
      <c r="T14" s="39"/>
      <c r="U14" s="39"/>
      <c r="V14" s="39"/>
      <c r="W14" s="39"/>
      <c r="X14" s="39"/>
      <c r="Y14" s="39">
        <v>1</v>
      </c>
      <c r="Z14" s="39"/>
      <c r="AA14" s="40"/>
      <c r="AB14" s="38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40"/>
      <c r="AN14" s="38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40"/>
      <c r="AZ14" s="38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40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41"/>
    </row>
  </sheetData>
  <mergeCells count="28"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7:B14"/>
    <mergeCell ref="D7:O7"/>
    <mergeCell ref="P7:AA7"/>
    <mergeCell ref="AB7:AM7"/>
    <mergeCell ref="AN7:AY7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poisson</vt:lpstr>
      <vt:lpstr>施工期表</vt:lpstr>
      <vt:lpstr>control group</vt:lpstr>
      <vt:lpstr>align_test</vt:lpstr>
      <vt:lpstr>Pair</vt:lpstr>
      <vt:lpstr>to_panel_data</vt:lpstr>
      <vt:lpstr>to_panel_data_test</vt:lpstr>
      <vt:lpstr>總表</vt:lpstr>
      <vt:lpstr>潮州燒冷冰</vt:lpstr>
      <vt:lpstr>歸仁圓環</vt:lpstr>
      <vt:lpstr>中興新村圓環</vt:lpstr>
      <vt:lpstr>三多商圈圓環</vt:lpstr>
      <vt:lpstr>芒果圓環</vt:lpstr>
      <vt:lpstr>岡山圓環</vt:lpstr>
      <vt:lpstr>大村圓環</vt:lpstr>
      <vt:lpstr>內埔圓環</vt:lpstr>
      <vt:lpstr>南投市中心圓環</vt:lpstr>
      <vt:lpstr>麻豆圓環</vt:lpstr>
      <vt:lpstr>高雄控制組五</vt:lpstr>
      <vt:lpstr>高雄控制組二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2026-05-13T11:41:16Z</dcterms:modified>
</cp:coreProperties>
</file>